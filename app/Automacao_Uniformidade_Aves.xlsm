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E5D1E7B1-6628-F0F0-D09B-76B25B5F3CD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/Users/rafael/Documents/"/>
    </mc:Choice>
  </mc:AlternateContent>
  <xr:revisionPtr revIDLastSave="0" documentId="13_ncr:1_{6826B7D6-F5E1-F74C-89CE-BEBBBF3CB9B8}" xr6:coauthVersionLast="47" xr6:coauthVersionMax="47" xr10:uidLastSave="{00000000-0000-0000-0000-000000000000}"/>
  <bookViews>
    <workbookView xWindow="0" yWindow="500" windowWidth="25600" windowHeight="14140" activeTab="4" xr2:uid="{5D09937A-B644-F046-9891-C721536F26F1}"/>
  </bookViews>
  <sheets>
    <sheet name="Suporte_Linhagens" sheetId="1" state="veryHidden" r:id="rId1"/>
    <sheet name="Manual_Linhagens" sheetId="3" state="veryHidden" r:id="rId2"/>
    <sheet name="Fases_Criação" sheetId="4" state="veryHidden" r:id="rId3"/>
    <sheet name="Cadastro_Lote" sheetId="2" state="veryHidden" r:id="rId4"/>
    <sheet name="INICIO" sheetId="8" r:id="rId5"/>
    <sheet name="NOVO LOTE" sheetId="9" state="veryHidden" r:id="rId6"/>
    <sheet name="NOVA COLETA" sheetId="5" state="veryHidden" r:id="rId7"/>
    <sheet name="PAINEL DE CONTROLE" sheetId="6" state="veryHidden" r:id="rId8"/>
    <sheet name="HISTÓRICO GERAL" sheetId="7" state="veryHidden" r:id="rId9"/>
    <sheet name="CONFIGURAÇÕES" sheetId="10" state="veryHidden" r:id="rId10"/>
  </sheets>
  <definedNames>
    <definedName name="Linhagem_Frango">Suporte_Linhagens!$E$1:$E$3</definedName>
    <definedName name="Linhagem_Poedeira_Branca">Suporte_Linhagens!$C$1:$C$10</definedName>
    <definedName name="Linhagem_Poedeira_Marrom">Suporte_Linhagens!$D$1:$D$9</definedName>
    <definedName name="Tipo_Frango">Suporte_Linhagens!$B$1</definedName>
    <definedName name="Tipo_Poedeira">Suporte_Linhagens!$A$1:$A$2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6" l="1"/>
  <c r="C5" i="6"/>
  <c r="C9" i="6" s="1"/>
  <c r="C6" i="6"/>
  <c r="D1822" i="3"/>
  <c r="D1823" i="3" s="1"/>
  <c r="D1824" i="3" s="1"/>
  <c r="D1825" i="3" s="1"/>
  <c r="D1826" i="3" s="1"/>
  <c r="D1827" i="3" s="1"/>
  <c r="D1828" i="3" s="1"/>
  <c r="D1829" i="3" s="1"/>
  <c r="D1830" i="3" s="1"/>
  <c r="D1831" i="3" s="1"/>
  <c r="D1832" i="3" s="1"/>
  <c r="D1833" i="3" s="1"/>
  <c r="D1834" i="3" s="1"/>
  <c r="D1835" i="3" s="1"/>
  <c r="D1836" i="3" s="1"/>
  <c r="D1837" i="3" s="1"/>
  <c r="D1838" i="3" s="1"/>
  <c r="D1839" i="3" s="1"/>
  <c r="D1840" i="3" s="1"/>
  <c r="D1841" i="3" s="1"/>
  <c r="D1842" i="3" s="1"/>
  <c r="D1843" i="3" s="1"/>
  <c r="D1844" i="3" s="1"/>
  <c r="D1845" i="3" s="1"/>
  <c r="D1846" i="3" s="1"/>
  <c r="D1847" i="3" s="1"/>
  <c r="D1848" i="3" s="1"/>
  <c r="D1849" i="3" s="1"/>
  <c r="D1850" i="3" s="1"/>
  <c r="D1851" i="3" s="1"/>
  <c r="D1852" i="3" s="1"/>
  <c r="D1853" i="3" s="1"/>
  <c r="D1854" i="3" s="1"/>
  <c r="D1855" i="3" s="1"/>
  <c r="D1856" i="3" s="1"/>
  <c r="D1857" i="3" s="1"/>
  <c r="D1858" i="3" s="1"/>
  <c r="D1859" i="3" s="1"/>
  <c r="D1860" i="3" s="1"/>
  <c r="D1861" i="3" s="1"/>
  <c r="D1862" i="3" s="1"/>
  <c r="D1863" i="3" s="1"/>
  <c r="D1864" i="3" s="1"/>
  <c r="D1865" i="3" s="1"/>
  <c r="D1866" i="3" s="1"/>
  <c r="D1867" i="3" s="1"/>
  <c r="D1868" i="3" s="1"/>
  <c r="D1869" i="3" s="1"/>
  <c r="D1870" i="3" s="1"/>
  <c r="D1871" i="3" s="1"/>
  <c r="D1872" i="3" s="1"/>
  <c r="D1873" i="3" s="1"/>
  <c r="D1874" i="3" s="1"/>
  <c r="D1875" i="3" s="1"/>
  <c r="D1876" i="3" s="1"/>
  <c r="D1877" i="3" s="1"/>
  <c r="D1878" i="3" s="1"/>
  <c r="D1879" i="3" s="1"/>
  <c r="D1880" i="3" s="1"/>
  <c r="D1881" i="3" s="1"/>
  <c r="D1882" i="3" s="1"/>
  <c r="D1883" i="3" s="1"/>
  <c r="D1884" i="3" s="1"/>
  <c r="D1885" i="3" s="1"/>
  <c r="D1886" i="3" s="1"/>
  <c r="D1887" i="3" s="1"/>
  <c r="D1888" i="3" s="1"/>
  <c r="D1889" i="3" s="1"/>
  <c r="D1890" i="3" s="1"/>
  <c r="D1891" i="3" s="1"/>
  <c r="D1892" i="3" s="1"/>
  <c r="D1893" i="3" s="1"/>
  <c r="D1894" i="3" s="1"/>
  <c r="D1895" i="3" s="1"/>
  <c r="D1896" i="3" s="1"/>
  <c r="D1897" i="3" s="1"/>
  <c r="D1898" i="3" s="1"/>
  <c r="D1899" i="3" s="1"/>
  <c r="D1900" i="3" s="1"/>
  <c r="D1901" i="3" s="1"/>
  <c r="D1902" i="3" s="1"/>
  <c r="D1903" i="3" s="1"/>
  <c r="D1904" i="3" s="1"/>
  <c r="D1905" i="3" s="1"/>
  <c r="D1906" i="3" s="1"/>
  <c r="D1907" i="3" s="1"/>
  <c r="D1908" i="3" s="1"/>
  <c r="D1909" i="3" s="1"/>
  <c r="D1910" i="3" s="1"/>
  <c r="D1911" i="3" s="1"/>
  <c r="D1912" i="3" s="1"/>
  <c r="D1913" i="3" s="1"/>
  <c r="D1914" i="3" s="1"/>
  <c r="D1915" i="3" s="1"/>
  <c r="D1916" i="3" s="1"/>
  <c r="D1917" i="3" s="1"/>
  <c r="D1918" i="3" s="1"/>
  <c r="D1919" i="3" s="1"/>
  <c r="D1722" i="3"/>
  <c r="D1723" i="3" s="1"/>
  <c r="D1724" i="3" s="1"/>
  <c r="D1725" i="3" s="1"/>
  <c r="D1726" i="3" s="1"/>
  <c r="D1727" i="3" s="1"/>
  <c r="D1728" i="3" s="1"/>
  <c r="D1729" i="3" s="1"/>
  <c r="D1730" i="3" s="1"/>
  <c r="D1731" i="3" s="1"/>
  <c r="D1732" i="3" s="1"/>
  <c r="D1733" i="3" s="1"/>
  <c r="D1734" i="3" s="1"/>
  <c r="D1735" i="3" s="1"/>
  <c r="D1736" i="3" s="1"/>
  <c r="D1737" i="3" s="1"/>
  <c r="D1738" i="3" s="1"/>
  <c r="D1739" i="3" s="1"/>
  <c r="D1740" i="3" s="1"/>
  <c r="D1741" i="3" s="1"/>
  <c r="D1742" i="3" s="1"/>
  <c r="D1743" i="3" s="1"/>
  <c r="D1744" i="3" s="1"/>
  <c r="D1745" i="3" s="1"/>
  <c r="D1746" i="3" s="1"/>
  <c r="D1747" i="3" s="1"/>
  <c r="D1748" i="3" s="1"/>
  <c r="D1749" i="3" s="1"/>
  <c r="D1750" i="3" s="1"/>
  <c r="D1751" i="3" s="1"/>
  <c r="D1752" i="3" s="1"/>
  <c r="D1753" i="3" s="1"/>
  <c r="D1754" i="3" s="1"/>
  <c r="D1755" i="3" s="1"/>
  <c r="D1756" i="3" s="1"/>
  <c r="D1757" i="3" s="1"/>
  <c r="D1758" i="3" s="1"/>
  <c r="D1759" i="3" s="1"/>
  <c r="D1760" i="3" s="1"/>
  <c r="D1761" i="3" s="1"/>
  <c r="D1762" i="3" s="1"/>
  <c r="D1763" i="3" s="1"/>
  <c r="D1764" i="3" s="1"/>
  <c r="D1765" i="3" s="1"/>
  <c r="D1766" i="3" s="1"/>
  <c r="D1767" i="3" s="1"/>
  <c r="D1768" i="3" s="1"/>
  <c r="D1769" i="3" s="1"/>
  <c r="D1770" i="3" s="1"/>
  <c r="D1771" i="3" s="1"/>
  <c r="D1772" i="3" s="1"/>
  <c r="D1773" i="3" s="1"/>
  <c r="D1774" i="3" s="1"/>
  <c r="D1775" i="3" s="1"/>
  <c r="D1776" i="3" s="1"/>
  <c r="D1777" i="3" s="1"/>
  <c r="D1778" i="3" s="1"/>
  <c r="D1779" i="3" s="1"/>
  <c r="D1780" i="3" s="1"/>
  <c r="D1781" i="3" s="1"/>
  <c r="D1782" i="3" s="1"/>
  <c r="D1783" i="3" s="1"/>
  <c r="D1784" i="3" s="1"/>
  <c r="D1785" i="3" s="1"/>
  <c r="D1786" i="3" s="1"/>
  <c r="D1787" i="3" s="1"/>
  <c r="D1788" i="3" s="1"/>
  <c r="D1789" i="3" s="1"/>
  <c r="D1790" i="3" s="1"/>
  <c r="D1791" i="3" s="1"/>
  <c r="D1792" i="3" s="1"/>
  <c r="D1793" i="3" s="1"/>
  <c r="D1794" i="3" s="1"/>
  <c r="D1795" i="3" s="1"/>
  <c r="D1796" i="3" s="1"/>
  <c r="D1797" i="3" s="1"/>
  <c r="D1798" i="3" s="1"/>
  <c r="D1799" i="3" s="1"/>
  <c r="D1800" i="3" s="1"/>
  <c r="D1801" i="3" s="1"/>
  <c r="D1802" i="3" s="1"/>
  <c r="D1803" i="3" s="1"/>
  <c r="D1804" i="3" s="1"/>
  <c r="D1805" i="3" s="1"/>
  <c r="D1806" i="3" s="1"/>
  <c r="D1807" i="3" s="1"/>
  <c r="D1808" i="3" s="1"/>
  <c r="D1809" i="3" s="1"/>
  <c r="D1810" i="3" s="1"/>
  <c r="D1811" i="3" s="1"/>
  <c r="D1812" i="3" s="1"/>
  <c r="D1813" i="3" s="1"/>
  <c r="D1814" i="3" s="1"/>
  <c r="D1815" i="3" s="1"/>
  <c r="D1816" i="3" s="1"/>
  <c r="D1817" i="3" s="1"/>
  <c r="D1818" i="3" s="1"/>
  <c r="D1819" i="3" s="1"/>
  <c r="D1622" i="3"/>
  <c r="D1623" i="3" s="1"/>
  <c r="D1624" i="3" s="1"/>
  <c r="D1625" i="3" s="1"/>
  <c r="D1626" i="3" s="1"/>
  <c r="D1627" i="3" s="1"/>
  <c r="D1628" i="3" s="1"/>
  <c r="D1629" i="3" s="1"/>
  <c r="D1630" i="3" s="1"/>
  <c r="D1631" i="3" s="1"/>
  <c r="D1632" i="3" s="1"/>
  <c r="D1633" i="3" s="1"/>
  <c r="D1634" i="3" s="1"/>
  <c r="D1635" i="3" s="1"/>
  <c r="D1636" i="3" s="1"/>
  <c r="D1637" i="3" s="1"/>
  <c r="D1638" i="3" s="1"/>
  <c r="D1639" i="3" s="1"/>
  <c r="D1640" i="3" s="1"/>
  <c r="D1641" i="3" s="1"/>
  <c r="D1642" i="3" s="1"/>
  <c r="D1643" i="3" s="1"/>
  <c r="D1644" i="3" s="1"/>
  <c r="D1645" i="3" s="1"/>
  <c r="D1646" i="3" s="1"/>
  <c r="D1647" i="3" s="1"/>
  <c r="D1648" i="3" s="1"/>
  <c r="D1649" i="3" s="1"/>
  <c r="D1650" i="3" s="1"/>
  <c r="D1651" i="3" s="1"/>
  <c r="D1652" i="3" s="1"/>
  <c r="D1653" i="3" s="1"/>
  <c r="D1654" i="3" s="1"/>
  <c r="D1655" i="3" s="1"/>
  <c r="D1656" i="3" s="1"/>
  <c r="D1657" i="3" s="1"/>
  <c r="D1658" i="3" s="1"/>
  <c r="D1659" i="3" s="1"/>
  <c r="D1660" i="3" s="1"/>
  <c r="D1661" i="3" s="1"/>
  <c r="D1662" i="3" s="1"/>
  <c r="D1663" i="3" s="1"/>
  <c r="D1664" i="3" s="1"/>
  <c r="D1665" i="3" s="1"/>
  <c r="D1666" i="3" s="1"/>
  <c r="D1667" i="3" s="1"/>
  <c r="D1668" i="3" s="1"/>
  <c r="D1669" i="3" s="1"/>
  <c r="D1670" i="3" s="1"/>
  <c r="D1671" i="3" s="1"/>
  <c r="D1672" i="3" s="1"/>
  <c r="D1673" i="3" s="1"/>
  <c r="D1674" i="3" s="1"/>
  <c r="D1675" i="3" s="1"/>
  <c r="D1676" i="3" s="1"/>
  <c r="D1677" i="3" s="1"/>
  <c r="D1678" i="3" s="1"/>
  <c r="D1679" i="3" s="1"/>
  <c r="D1680" i="3" s="1"/>
  <c r="D1681" i="3" s="1"/>
  <c r="D1682" i="3" s="1"/>
  <c r="D1683" i="3" s="1"/>
  <c r="D1684" i="3" s="1"/>
  <c r="D1685" i="3" s="1"/>
  <c r="D1686" i="3" s="1"/>
  <c r="D1687" i="3" s="1"/>
  <c r="D1688" i="3" s="1"/>
  <c r="D1689" i="3" s="1"/>
  <c r="D1690" i="3" s="1"/>
  <c r="D1691" i="3" s="1"/>
  <c r="D1692" i="3" s="1"/>
  <c r="D1693" i="3" s="1"/>
  <c r="D1694" i="3" s="1"/>
  <c r="D1695" i="3" s="1"/>
  <c r="D1696" i="3" s="1"/>
  <c r="D1697" i="3" s="1"/>
  <c r="D1698" i="3" s="1"/>
  <c r="D1699" i="3" s="1"/>
  <c r="D1700" i="3" s="1"/>
  <c r="D1701" i="3" s="1"/>
  <c r="D1702" i="3" s="1"/>
  <c r="D1703" i="3" s="1"/>
  <c r="D1704" i="3" s="1"/>
  <c r="D1705" i="3" s="1"/>
  <c r="D1706" i="3" s="1"/>
  <c r="D1707" i="3" s="1"/>
  <c r="D1708" i="3" s="1"/>
  <c r="D1709" i="3" s="1"/>
  <c r="D1710" i="3" s="1"/>
  <c r="D1711" i="3" s="1"/>
  <c r="D1712" i="3" s="1"/>
  <c r="D1713" i="3" s="1"/>
  <c r="D1714" i="3" s="1"/>
  <c r="D1715" i="3" s="1"/>
  <c r="D1716" i="3" s="1"/>
  <c r="D1717" i="3" s="1"/>
  <c r="D1718" i="3" s="1"/>
  <c r="D1719" i="3" s="1"/>
  <c r="D1522" i="3"/>
  <c r="D1523" i="3" s="1"/>
  <c r="D1524" i="3" s="1"/>
  <c r="D1525" i="3" s="1"/>
  <c r="D1526" i="3" s="1"/>
  <c r="D1527" i="3" s="1"/>
  <c r="D1528" i="3" s="1"/>
  <c r="D1529" i="3" s="1"/>
  <c r="D1530" i="3" s="1"/>
  <c r="D1531" i="3" s="1"/>
  <c r="D1532" i="3" s="1"/>
  <c r="D1533" i="3" s="1"/>
  <c r="D1534" i="3" s="1"/>
  <c r="D1535" i="3" s="1"/>
  <c r="D1536" i="3" s="1"/>
  <c r="D1537" i="3" s="1"/>
  <c r="D1538" i="3" s="1"/>
  <c r="D1539" i="3" s="1"/>
  <c r="D1540" i="3" s="1"/>
  <c r="D1541" i="3" s="1"/>
  <c r="D1542" i="3" s="1"/>
  <c r="D1543" i="3" s="1"/>
  <c r="D1544" i="3" s="1"/>
  <c r="D1545" i="3" s="1"/>
  <c r="D1546" i="3" s="1"/>
  <c r="D1547" i="3" s="1"/>
  <c r="D1548" i="3" s="1"/>
  <c r="D1549" i="3" s="1"/>
  <c r="D1550" i="3" s="1"/>
  <c r="D1551" i="3" s="1"/>
  <c r="D1552" i="3" s="1"/>
  <c r="D1553" i="3" s="1"/>
  <c r="D1554" i="3" s="1"/>
  <c r="D1555" i="3" s="1"/>
  <c r="D1556" i="3" s="1"/>
  <c r="D1557" i="3" s="1"/>
  <c r="D1558" i="3" s="1"/>
  <c r="D1559" i="3" s="1"/>
  <c r="D1560" i="3" s="1"/>
  <c r="D1561" i="3" s="1"/>
  <c r="D1562" i="3" s="1"/>
  <c r="D1563" i="3" s="1"/>
  <c r="D1564" i="3" s="1"/>
  <c r="D1565" i="3" s="1"/>
  <c r="D1566" i="3" s="1"/>
  <c r="D1567" i="3" s="1"/>
  <c r="D1568" i="3" s="1"/>
  <c r="D1569" i="3" s="1"/>
  <c r="D1570" i="3" s="1"/>
  <c r="D1571" i="3" s="1"/>
  <c r="D1572" i="3" s="1"/>
  <c r="D1573" i="3" s="1"/>
  <c r="D1574" i="3" s="1"/>
  <c r="D1575" i="3" s="1"/>
  <c r="D1576" i="3" s="1"/>
  <c r="D1577" i="3" s="1"/>
  <c r="D1578" i="3" s="1"/>
  <c r="D1579" i="3" s="1"/>
  <c r="D1580" i="3" s="1"/>
  <c r="D1581" i="3" s="1"/>
  <c r="D1582" i="3" s="1"/>
  <c r="D1583" i="3" s="1"/>
  <c r="D1584" i="3" s="1"/>
  <c r="D1585" i="3" s="1"/>
  <c r="D1586" i="3" s="1"/>
  <c r="D1587" i="3" s="1"/>
  <c r="D1588" i="3" s="1"/>
  <c r="D1589" i="3" s="1"/>
  <c r="D1590" i="3" s="1"/>
  <c r="D1591" i="3" s="1"/>
  <c r="D1592" i="3" s="1"/>
  <c r="D1593" i="3" s="1"/>
  <c r="D1594" i="3" s="1"/>
  <c r="D1595" i="3" s="1"/>
  <c r="D1596" i="3" s="1"/>
  <c r="D1597" i="3" s="1"/>
  <c r="D1598" i="3" s="1"/>
  <c r="D1599" i="3" s="1"/>
  <c r="D1600" i="3" s="1"/>
  <c r="D1601" i="3" s="1"/>
  <c r="D1602" i="3" s="1"/>
  <c r="D1603" i="3" s="1"/>
  <c r="D1604" i="3" s="1"/>
  <c r="D1605" i="3" s="1"/>
  <c r="D1606" i="3" s="1"/>
  <c r="D1607" i="3" s="1"/>
  <c r="D1608" i="3" s="1"/>
  <c r="D1609" i="3" s="1"/>
  <c r="D1610" i="3" s="1"/>
  <c r="D1611" i="3" s="1"/>
  <c r="D1612" i="3" s="1"/>
  <c r="D1613" i="3" s="1"/>
  <c r="D1614" i="3" s="1"/>
  <c r="D1615" i="3" s="1"/>
  <c r="D1616" i="3" s="1"/>
  <c r="D1617" i="3" s="1"/>
  <c r="D1618" i="3" s="1"/>
  <c r="D1619" i="3" s="1"/>
  <c r="D1422" i="3"/>
  <c r="D1423" i="3" s="1"/>
  <c r="D1424" i="3" s="1"/>
  <c r="D1425" i="3" s="1"/>
  <c r="D1426" i="3" s="1"/>
  <c r="D1427" i="3" s="1"/>
  <c r="D1428" i="3" s="1"/>
  <c r="D1429" i="3" s="1"/>
  <c r="D1430" i="3" s="1"/>
  <c r="D1431" i="3" s="1"/>
  <c r="D1432" i="3" s="1"/>
  <c r="D1433" i="3" s="1"/>
  <c r="D1434" i="3" s="1"/>
  <c r="D1435" i="3" s="1"/>
  <c r="D1436" i="3" s="1"/>
  <c r="D1437" i="3" s="1"/>
  <c r="D1438" i="3" s="1"/>
  <c r="D1439" i="3" s="1"/>
  <c r="D1440" i="3" s="1"/>
  <c r="D1441" i="3" s="1"/>
  <c r="D1442" i="3" s="1"/>
  <c r="D1443" i="3" s="1"/>
  <c r="D1444" i="3" s="1"/>
  <c r="D1445" i="3" s="1"/>
  <c r="D1446" i="3" s="1"/>
  <c r="D1447" i="3" s="1"/>
  <c r="D1448" i="3" s="1"/>
  <c r="D1449" i="3" s="1"/>
  <c r="D1450" i="3" s="1"/>
  <c r="D1451" i="3" s="1"/>
  <c r="D1452" i="3" s="1"/>
  <c r="D1453" i="3" s="1"/>
  <c r="D1454" i="3" s="1"/>
  <c r="D1455" i="3" s="1"/>
  <c r="D1456" i="3" s="1"/>
  <c r="D1457" i="3" s="1"/>
  <c r="D1458" i="3" s="1"/>
  <c r="D1459" i="3" s="1"/>
  <c r="D1460" i="3" s="1"/>
  <c r="D1461" i="3" s="1"/>
  <c r="D1462" i="3" s="1"/>
  <c r="D1463" i="3" s="1"/>
  <c r="D1464" i="3" s="1"/>
  <c r="D1465" i="3" s="1"/>
  <c r="D1466" i="3" s="1"/>
  <c r="D1467" i="3" s="1"/>
  <c r="D1468" i="3" s="1"/>
  <c r="D1469" i="3" s="1"/>
  <c r="D1470" i="3" s="1"/>
  <c r="D1471" i="3" s="1"/>
  <c r="D1472" i="3" s="1"/>
  <c r="D1473" i="3" s="1"/>
  <c r="D1474" i="3" s="1"/>
  <c r="D1475" i="3" s="1"/>
  <c r="D1476" i="3" s="1"/>
  <c r="D1477" i="3" s="1"/>
  <c r="D1478" i="3" s="1"/>
  <c r="D1479" i="3" s="1"/>
  <c r="D1480" i="3" s="1"/>
  <c r="D1481" i="3" s="1"/>
  <c r="D1482" i="3" s="1"/>
  <c r="D1483" i="3" s="1"/>
  <c r="D1484" i="3" s="1"/>
  <c r="D1485" i="3" s="1"/>
  <c r="D1486" i="3" s="1"/>
  <c r="D1487" i="3" s="1"/>
  <c r="D1488" i="3" s="1"/>
  <c r="D1489" i="3" s="1"/>
  <c r="D1490" i="3" s="1"/>
  <c r="D1491" i="3" s="1"/>
  <c r="D1492" i="3" s="1"/>
  <c r="D1493" i="3" s="1"/>
  <c r="D1494" i="3" s="1"/>
  <c r="D1495" i="3" s="1"/>
  <c r="D1496" i="3" s="1"/>
  <c r="D1497" i="3" s="1"/>
  <c r="D1498" i="3" s="1"/>
  <c r="D1499" i="3" s="1"/>
  <c r="D1500" i="3" s="1"/>
  <c r="D1501" i="3" s="1"/>
  <c r="D1502" i="3" s="1"/>
  <c r="D1503" i="3" s="1"/>
  <c r="D1504" i="3" s="1"/>
  <c r="D1505" i="3" s="1"/>
  <c r="D1506" i="3" s="1"/>
  <c r="D1507" i="3" s="1"/>
  <c r="D1508" i="3" s="1"/>
  <c r="D1509" i="3" s="1"/>
  <c r="D1510" i="3" s="1"/>
  <c r="D1511" i="3" s="1"/>
  <c r="D1512" i="3" s="1"/>
  <c r="D1513" i="3" s="1"/>
  <c r="D1514" i="3" s="1"/>
  <c r="D1515" i="3" s="1"/>
  <c r="D1516" i="3" s="1"/>
  <c r="D1517" i="3" s="1"/>
  <c r="D1518" i="3" s="1"/>
  <c r="D1519" i="3" s="1"/>
  <c r="D1322" i="3"/>
  <c r="D1323" i="3" s="1"/>
  <c r="D1324" i="3" s="1"/>
  <c r="D1325" i="3" s="1"/>
  <c r="D1326" i="3" s="1"/>
  <c r="D1327" i="3" s="1"/>
  <c r="D1328" i="3" s="1"/>
  <c r="D1329" i="3" s="1"/>
  <c r="D1330" i="3" s="1"/>
  <c r="D1331" i="3" s="1"/>
  <c r="D1332" i="3" s="1"/>
  <c r="D1333" i="3" s="1"/>
  <c r="D1334" i="3" s="1"/>
  <c r="D1335" i="3" s="1"/>
  <c r="D1336" i="3" s="1"/>
  <c r="D1337" i="3" s="1"/>
  <c r="D1338" i="3" s="1"/>
  <c r="D1339" i="3" s="1"/>
  <c r="D1340" i="3" s="1"/>
  <c r="D1341" i="3" s="1"/>
  <c r="D1342" i="3" s="1"/>
  <c r="D1343" i="3" s="1"/>
  <c r="D1344" i="3" s="1"/>
  <c r="D1345" i="3" s="1"/>
  <c r="D1346" i="3" s="1"/>
  <c r="D1347" i="3" s="1"/>
  <c r="D1348" i="3" s="1"/>
  <c r="D1349" i="3" s="1"/>
  <c r="D1350" i="3" s="1"/>
  <c r="D1351" i="3" s="1"/>
  <c r="D1352" i="3" s="1"/>
  <c r="D1353" i="3" s="1"/>
  <c r="D1354" i="3" s="1"/>
  <c r="D1355" i="3" s="1"/>
  <c r="D1356" i="3" s="1"/>
  <c r="D1357" i="3" s="1"/>
  <c r="D1358" i="3" s="1"/>
  <c r="D1359" i="3" s="1"/>
  <c r="D1360" i="3" s="1"/>
  <c r="D1361" i="3" s="1"/>
  <c r="D1362" i="3" s="1"/>
  <c r="D1363" i="3" s="1"/>
  <c r="D1364" i="3" s="1"/>
  <c r="D1365" i="3" s="1"/>
  <c r="D1366" i="3" s="1"/>
  <c r="D1367" i="3" s="1"/>
  <c r="D1368" i="3" s="1"/>
  <c r="D1369" i="3" s="1"/>
  <c r="D1370" i="3" s="1"/>
  <c r="D1371" i="3" s="1"/>
  <c r="D1372" i="3" s="1"/>
  <c r="D1373" i="3" s="1"/>
  <c r="D1374" i="3" s="1"/>
  <c r="D1375" i="3" s="1"/>
  <c r="D1376" i="3" s="1"/>
  <c r="D1377" i="3" s="1"/>
  <c r="D1378" i="3" s="1"/>
  <c r="D1379" i="3" s="1"/>
  <c r="D1380" i="3" s="1"/>
  <c r="D1381" i="3" s="1"/>
  <c r="D1382" i="3" s="1"/>
  <c r="D1383" i="3" s="1"/>
  <c r="D1384" i="3" s="1"/>
  <c r="D1385" i="3" s="1"/>
  <c r="D1386" i="3" s="1"/>
  <c r="D1387" i="3" s="1"/>
  <c r="D1388" i="3" s="1"/>
  <c r="D1389" i="3" s="1"/>
  <c r="D1390" i="3" s="1"/>
  <c r="D1391" i="3" s="1"/>
  <c r="D1392" i="3" s="1"/>
  <c r="D1393" i="3" s="1"/>
  <c r="D1394" i="3" s="1"/>
  <c r="D1395" i="3" s="1"/>
  <c r="D1396" i="3" s="1"/>
  <c r="D1397" i="3" s="1"/>
  <c r="D1398" i="3" s="1"/>
  <c r="D1399" i="3" s="1"/>
  <c r="D1400" i="3" s="1"/>
  <c r="D1401" i="3" s="1"/>
  <c r="D1402" i="3" s="1"/>
  <c r="D1403" i="3" s="1"/>
  <c r="D1404" i="3" s="1"/>
  <c r="D1405" i="3" s="1"/>
  <c r="D1406" i="3" s="1"/>
  <c r="D1407" i="3" s="1"/>
  <c r="D1408" i="3" s="1"/>
  <c r="D1409" i="3" s="1"/>
  <c r="D1410" i="3" s="1"/>
  <c r="D1411" i="3" s="1"/>
  <c r="D1412" i="3" s="1"/>
  <c r="D1413" i="3" s="1"/>
  <c r="D1414" i="3" s="1"/>
  <c r="D1415" i="3" s="1"/>
  <c r="D1416" i="3" s="1"/>
  <c r="D1417" i="3" s="1"/>
  <c r="D1418" i="3" s="1"/>
  <c r="D1419" i="3" s="1"/>
  <c r="D1222" i="3"/>
  <c r="D1223" i="3" s="1"/>
  <c r="D1224" i="3" s="1"/>
  <c r="D1225" i="3" s="1"/>
  <c r="D1226" i="3" s="1"/>
  <c r="D1227" i="3" s="1"/>
  <c r="D1228" i="3" s="1"/>
  <c r="D1229" i="3" s="1"/>
  <c r="D1230" i="3" s="1"/>
  <c r="D1231" i="3" s="1"/>
  <c r="D1232" i="3" s="1"/>
  <c r="D1233" i="3" s="1"/>
  <c r="D1234" i="3" s="1"/>
  <c r="D1235" i="3" s="1"/>
  <c r="D1236" i="3" s="1"/>
  <c r="D1237" i="3" s="1"/>
  <c r="D1238" i="3" s="1"/>
  <c r="D1239" i="3" s="1"/>
  <c r="D1240" i="3" s="1"/>
  <c r="D1241" i="3" s="1"/>
  <c r="D1242" i="3" s="1"/>
  <c r="D1243" i="3" s="1"/>
  <c r="D1244" i="3" s="1"/>
  <c r="D1245" i="3" s="1"/>
  <c r="D1246" i="3" s="1"/>
  <c r="D1247" i="3" s="1"/>
  <c r="D1248" i="3" s="1"/>
  <c r="D1249" i="3" s="1"/>
  <c r="D1250" i="3" s="1"/>
  <c r="D1251" i="3" s="1"/>
  <c r="D1252" i="3" s="1"/>
  <c r="D1253" i="3" s="1"/>
  <c r="D1254" i="3" s="1"/>
  <c r="D1255" i="3" s="1"/>
  <c r="D1256" i="3" s="1"/>
  <c r="D1257" i="3" s="1"/>
  <c r="D1258" i="3" s="1"/>
  <c r="D1259" i="3" s="1"/>
  <c r="D1260" i="3" s="1"/>
  <c r="D1261" i="3" s="1"/>
  <c r="D1262" i="3" s="1"/>
  <c r="D1263" i="3" s="1"/>
  <c r="D1264" i="3" s="1"/>
  <c r="D1265" i="3" s="1"/>
  <c r="D1266" i="3" s="1"/>
  <c r="D1267" i="3" s="1"/>
  <c r="D1268" i="3" s="1"/>
  <c r="D1269" i="3" s="1"/>
  <c r="D1270" i="3" s="1"/>
  <c r="D1271" i="3" s="1"/>
  <c r="D1272" i="3" s="1"/>
  <c r="D1273" i="3" s="1"/>
  <c r="D1274" i="3" s="1"/>
  <c r="D1275" i="3" s="1"/>
  <c r="D1276" i="3" s="1"/>
  <c r="D1277" i="3" s="1"/>
  <c r="D1278" i="3" s="1"/>
  <c r="D1279" i="3" s="1"/>
  <c r="D1280" i="3" s="1"/>
  <c r="D1281" i="3" s="1"/>
  <c r="D1282" i="3" s="1"/>
  <c r="D1283" i="3" s="1"/>
  <c r="D1284" i="3" s="1"/>
  <c r="D1285" i="3" s="1"/>
  <c r="D1286" i="3" s="1"/>
  <c r="D1287" i="3" s="1"/>
  <c r="D1288" i="3" s="1"/>
  <c r="D1289" i="3" s="1"/>
  <c r="D1290" i="3" s="1"/>
  <c r="D1291" i="3" s="1"/>
  <c r="D1292" i="3" s="1"/>
  <c r="D1293" i="3" s="1"/>
  <c r="D1294" i="3" s="1"/>
  <c r="D1295" i="3" s="1"/>
  <c r="D1296" i="3" s="1"/>
  <c r="D1297" i="3" s="1"/>
  <c r="D1298" i="3" s="1"/>
  <c r="D1299" i="3" s="1"/>
  <c r="D1300" i="3" s="1"/>
  <c r="D1301" i="3" s="1"/>
  <c r="D1302" i="3" s="1"/>
  <c r="D1303" i="3" s="1"/>
  <c r="D1304" i="3" s="1"/>
  <c r="D1305" i="3" s="1"/>
  <c r="D1306" i="3" s="1"/>
  <c r="D1307" i="3" s="1"/>
  <c r="D1308" i="3" s="1"/>
  <c r="D1309" i="3" s="1"/>
  <c r="D1310" i="3" s="1"/>
  <c r="D1311" i="3" s="1"/>
  <c r="D1312" i="3" s="1"/>
  <c r="D1313" i="3" s="1"/>
  <c r="D1314" i="3" s="1"/>
  <c r="D1315" i="3" s="1"/>
  <c r="D1316" i="3" s="1"/>
  <c r="D1317" i="3" s="1"/>
  <c r="D1318" i="3" s="1"/>
  <c r="D1319" i="3" s="1"/>
  <c r="D1122" i="3"/>
  <c r="D1123" i="3" s="1"/>
  <c r="D1124" i="3" s="1"/>
  <c r="D1125" i="3" s="1"/>
  <c r="D1126" i="3" s="1"/>
  <c r="D1127" i="3" s="1"/>
  <c r="D1128" i="3" s="1"/>
  <c r="D1129" i="3" s="1"/>
  <c r="D1130" i="3" s="1"/>
  <c r="D1131" i="3" s="1"/>
  <c r="D1132" i="3" s="1"/>
  <c r="D1133" i="3" s="1"/>
  <c r="D1134" i="3" s="1"/>
  <c r="D1135" i="3" s="1"/>
  <c r="D1136" i="3" s="1"/>
  <c r="D1137" i="3" s="1"/>
  <c r="D1138" i="3" s="1"/>
  <c r="D1139" i="3" s="1"/>
  <c r="D1140" i="3" s="1"/>
  <c r="D1141" i="3" s="1"/>
  <c r="D1142" i="3" s="1"/>
  <c r="D1143" i="3" s="1"/>
  <c r="D1144" i="3" s="1"/>
  <c r="D1145" i="3" s="1"/>
  <c r="D1146" i="3" s="1"/>
  <c r="D1147" i="3" s="1"/>
  <c r="D1148" i="3" s="1"/>
  <c r="D1149" i="3" s="1"/>
  <c r="D1150" i="3" s="1"/>
  <c r="D1151" i="3" s="1"/>
  <c r="D1152" i="3" s="1"/>
  <c r="D1153" i="3" s="1"/>
  <c r="D1154" i="3" s="1"/>
  <c r="D1155" i="3" s="1"/>
  <c r="D1156" i="3" s="1"/>
  <c r="D1157" i="3" s="1"/>
  <c r="D1158" i="3" s="1"/>
  <c r="D1159" i="3" s="1"/>
  <c r="D1160" i="3" s="1"/>
  <c r="D1161" i="3" s="1"/>
  <c r="D1162" i="3" s="1"/>
  <c r="D1163" i="3" s="1"/>
  <c r="D1164" i="3" s="1"/>
  <c r="D1165" i="3" s="1"/>
  <c r="D1166" i="3" s="1"/>
  <c r="D1167" i="3" s="1"/>
  <c r="D1168" i="3" s="1"/>
  <c r="D1169" i="3" s="1"/>
  <c r="D1170" i="3" s="1"/>
  <c r="D1171" i="3" s="1"/>
  <c r="D1172" i="3" s="1"/>
  <c r="D1173" i="3" s="1"/>
  <c r="D1174" i="3" s="1"/>
  <c r="D1175" i="3" s="1"/>
  <c r="D1176" i="3" s="1"/>
  <c r="D1177" i="3" s="1"/>
  <c r="D1178" i="3" s="1"/>
  <c r="D1179" i="3" s="1"/>
  <c r="D1180" i="3" s="1"/>
  <c r="D1181" i="3" s="1"/>
  <c r="D1182" i="3" s="1"/>
  <c r="D1183" i="3" s="1"/>
  <c r="D1184" i="3" s="1"/>
  <c r="D1185" i="3" s="1"/>
  <c r="D1186" i="3" s="1"/>
  <c r="D1187" i="3" s="1"/>
  <c r="D1188" i="3" s="1"/>
  <c r="D1189" i="3" s="1"/>
  <c r="D1190" i="3" s="1"/>
  <c r="D1191" i="3" s="1"/>
  <c r="D1192" i="3" s="1"/>
  <c r="D1193" i="3" s="1"/>
  <c r="D1194" i="3" s="1"/>
  <c r="D1195" i="3" s="1"/>
  <c r="D1196" i="3" s="1"/>
  <c r="D1197" i="3" s="1"/>
  <c r="D1198" i="3" s="1"/>
  <c r="D1199" i="3" s="1"/>
  <c r="D1200" i="3" s="1"/>
  <c r="D1201" i="3" s="1"/>
  <c r="D1202" i="3" s="1"/>
  <c r="D1203" i="3" s="1"/>
  <c r="D1204" i="3" s="1"/>
  <c r="D1205" i="3" s="1"/>
  <c r="D1206" i="3" s="1"/>
  <c r="D1207" i="3" s="1"/>
  <c r="D1208" i="3" s="1"/>
  <c r="D1209" i="3" s="1"/>
  <c r="D1210" i="3" s="1"/>
  <c r="D1211" i="3" s="1"/>
  <c r="D1212" i="3" s="1"/>
  <c r="D1213" i="3" s="1"/>
  <c r="D1214" i="3" s="1"/>
  <c r="D1215" i="3" s="1"/>
  <c r="D1216" i="3" s="1"/>
  <c r="D1217" i="3" s="1"/>
  <c r="D1218" i="3" s="1"/>
  <c r="D1219" i="3" s="1"/>
  <c r="D1022" i="3"/>
  <c r="D1023" i="3" s="1"/>
  <c r="D1024" i="3" s="1"/>
  <c r="D1025" i="3" s="1"/>
  <c r="D1026" i="3" s="1"/>
  <c r="D1027" i="3" s="1"/>
  <c r="D1028" i="3" s="1"/>
  <c r="D1029" i="3" s="1"/>
  <c r="D1030" i="3" s="1"/>
  <c r="D1031" i="3" s="1"/>
  <c r="D1032" i="3" s="1"/>
  <c r="D1033" i="3" s="1"/>
  <c r="D1034" i="3" s="1"/>
  <c r="D1035" i="3" s="1"/>
  <c r="D1036" i="3" s="1"/>
  <c r="D1037" i="3" s="1"/>
  <c r="D1038" i="3" s="1"/>
  <c r="D1039" i="3" s="1"/>
  <c r="D1040" i="3" s="1"/>
  <c r="D1041" i="3" s="1"/>
  <c r="D1042" i="3" s="1"/>
  <c r="D1043" i="3" s="1"/>
  <c r="D1044" i="3" s="1"/>
  <c r="D1045" i="3" s="1"/>
  <c r="D1046" i="3" s="1"/>
  <c r="D1047" i="3" s="1"/>
  <c r="D1048" i="3" s="1"/>
  <c r="D1049" i="3" s="1"/>
  <c r="D1050" i="3" s="1"/>
  <c r="D1051" i="3" s="1"/>
  <c r="D1052" i="3" s="1"/>
  <c r="D1053" i="3" s="1"/>
  <c r="D1054" i="3" s="1"/>
  <c r="D1055" i="3" s="1"/>
  <c r="D1056" i="3" s="1"/>
  <c r="D1057" i="3" s="1"/>
  <c r="D1058" i="3" s="1"/>
  <c r="D1059" i="3" s="1"/>
  <c r="D1060" i="3" s="1"/>
  <c r="D1061" i="3" s="1"/>
  <c r="D1062" i="3" s="1"/>
  <c r="D1063" i="3" s="1"/>
  <c r="D1064" i="3" s="1"/>
  <c r="D1065" i="3" s="1"/>
  <c r="D1066" i="3" s="1"/>
  <c r="D1067" i="3" s="1"/>
  <c r="D1068" i="3" s="1"/>
  <c r="D1069" i="3" s="1"/>
  <c r="D1070" i="3" s="1"/>
  <c r="D1071" i="3" s="1"/>
  <c r="D1072" i="3" s="1"/>
  <c r="D1073" i="3" s="1"/>
  <c r="D1074" i="3" s="1"/>
  <c r="D1075" i="3" s="1"/>
  <c r="D1076" i="3" s="1"/>
  <c r="D1077" i="3" s="1"/>
  <c r="D1078" i="3" s="1"/>
  <c r="D1079" i="3" s="1"/>
  <c r="D1080" i="3" s="1"/>
  <c r="D1081" i="3" s="1"/>
  <c r="D1082" i="3" s="1"/>
  <c r="D1083" i="3" s="1"/>
  <c r="D1084" i="3" s="1"/>
  <c r="D1085" i="3" s="1"/>
  <c r="D1086" i="3" s="1"/>
  <c r="D1087" i="3" s="1"/>
  <c r="D1088" i="3" s="1"/>
  <c r="D1089" i="3" s="1"/>
  <c r="D1090" i="3" s="1"/>
  <c r="D1091" i="3" s="1"/>
  <c r="D1092" i="3" s="1"/>
  <c r="D1093" i="3" s="1"/>
  <c r="D1094" i="3" s="1"/>
  <c r="D1095" i="3" s="1"/>
  <c r="D1096" i="3" s="1"/>
  <c r="D1097" i="3" s="1"/>
  <c r="D1098" i="3" s="1"/>
  <c r="D1099" i="3" s="1"/>
  <c r="D1100" i="3" s="1"/>
  <c r="D1101" i="3" s="1"/>
  <c r="D1102" i="3" s="1"/>
  <c r="D1103" i="3" s="1"/>
  <c r="D1104" i="3" s="1"/>
  <c r="D1105" i="3" s="1"/>
  <c r="D1106" i="3" s="1"/>
  <c r="D1107" i="3" s="1"/>
  <c r="D1108" i="3" s="1"/>
  <c r="D1109" i="3" s="1"/>
  <c r="D1110" i="3" s="1"/>
  <c r="D1111" i="3" s="1"/>
  <c r="D1112" i="3" s="1"/>
  <c r="D1113" i="3" s="1"/>
  <c r="D1114" i="3" s="1"/>
  <c r="D1115" i="3" s="1"/>
  <c r="D1116" i="3" s="1"/>
  <c r="D1117" i="3" s="1"/>
  <c r="D1118" i="3" s="1"/>
  <c r="D1119" i="3" s="1"/>
  <c r="D922" i="3"/>
  <c r="D923" i="3" s="1"/>
  <c r="D924" i="3" s="1"/>
  <c r="D925" i="3" s="1"/>
  <c r="D926" i="3" s="1"/>
  <c r="D927" i="3" s="1"/>
  <c r="D928" i="3" s="1"/>
  <c r="D929" i="3" s="1"/>
  <c r="D930" i="3" s="1"/>
  <c r="D931" i="3" s="1"/>
  <c r="D932" i="3" s="1"/>
  <c r="D933" i="3" s="1"/>
  <c r="D934" i="3" s="1"/>
  <c r="D935" i="3" s="1"/>
  <c r="D936" i="3" s="1"/>
  <c r="D937" i="3" s="1"/>
  <c r="D938" i="3" s="1"/>
  <c r="D939" i="3" s="1"/>
  <c r="D940" i="3" s="1"/>
  <c r="D941" i="3" s="1"/>
  <c r="D942" i="3" s="1"/>
  <c r="D943" i="3" s="1"/>
  <c r="D944" i="3" s="1"/>
  <c r="D945" i="3" s="1"/>
  <c r="D946" i="3" s="1"/>
  <c r="D947" i="3" s="1"/>
  <c r="D948" i="3" s="1"/>
  <c r="D949" i="3" s="1"/>
  <c r="D950" i="3" s="1"/>
  <c r="D951" i="3" s="1"/>
  <c r="D952" i="3" s="1"/>
  <c r="D953" i="3" s="1"/>
  <c r="D954" i="3" s="1"/>
  <c r="D955" i="3" s="1"/>
  <c r="D956" i="3" s="1"/>
  <c r="D957" i="3" s="1"/>
  <c r="D958" i="3" s="1"/>
  <c r="D959" i="3" s="1"/>
  <c r="D960" i="3" s="1"/>
  <c r="D961" i="3" s="1"/>
  <c r="D962" i="3" s="1"/>
  <c r="D963" i="3" s="1"/>
  <c r="D964" i="3" s="1"/>
  <c r="D965" i="3" s="1"/>
  <c r="D966" i="3" s="1"/>
  <c r="D967" i="3" s="1"/>
  <c r="D968" i="3" s="1"/>
  <c r="D969" i="3" s="1"/>
  <c r="D970" i="3" s="1"/>
  <c r="D971" i="3" s="1"/>
  <c r="D972" i="3" s="1"/>
  <c r="D973" i="3" s="1"/>
  <c r="D974" i="3" s="1"/>
  <c r="D975" i="3" s="1"/>
  <c r="D976" i="3" s="1"/>
  <c r="D977" i="3" s="1"/>
  <c r="D978" i="3" s="1"/>
  <c r="D979" i="3" s="1"/>
  <c r="D980" i="3" s="1"/>
  <c r="D981" i="3" s="1"/>
  <c r="D982" i="3" s="1"/>
  <c r="D983" i="3" s="1"/>
  <c r="D984" i="3" s="1"/>
  <c r="D985" i="3" s="1"/>
  <c r="D986" i="3" s="1"/>
  <c r="D987" i="3" s="1"/>
  <c r="D988" i="3" s="1"/>
  <c r="D989" i="3" s="1"/>
  <c r="D990" i="3" s="1"/>
  <c r="D991" i="3" s="1"/>
  <c r="D992" i="3" s="1"/>
  <c r="D993" i="3" s="1"/>
  <c r="D994" i="3" s="1"/>
  <c r="D995" i="3" s="1"/>
  <c r="D996" i="3" s="1"/>
  <c r="D997" i="3" s="1"/>
  <c r="D998" i="3" s="1"/>
  <c r="D999" i="3" s="1"/>
  <c r="D1000" i="3" s="1"/>
  <c r="D1001" i="3" s="1"/>
  <c r="D1002" i="3" s="1"/>
  <c r="D1003" i="3" s="1"/>
  <c r="D1004" i="3" s="1"/>
  <c r="D1005" i="3" s="1"/>
  <c r="D1006" i="3" s="1"/>
  <c r="D1007" i="3" s="1"/>
  <c r="D1008" i="3" s="1"/>
  <c r="D1009" i="3" s="1"/>
  <c r="D1010" i="3" s="1"/>
  <c r="D1011" i="3" s="1"/>
  <c r="D1012" i="3" s="1"/>
  <c r="D1013" i="3" s="1"/>
  <c r="D1014" i="3" s="1"/>
  <c r="D1015" i="3" s="1"/>
  <c r="D1016" i="3" s="1"/>
  <c r="D1017" i="3" s="1"/>
  <c r="D1018" i="3" s="1"/>
  <c r="D1019" i="3" s="1"/>
  <c r="D822" i="3"/>
  <c r="D823" i="3" s="1"/>
  <c r="D824" i="3" s="1"/>
  <c r="D825" i="3" s="1"/>
  <c r="D826" i="3" s="1"/>
  <c r="D827" i="3" s="1"/>
  <c r="D828" i="3" s="1"/>
  <c r="D829" i="3" s="1"/>
  <c r="D830" i="3" s="1"/>
  <c r="D831" i="3" s="1"/>
  <c r="D832" i="3" s="1"/>
  <c r="D833" i="3" s="1"/>
  <c r="D834" i="3" s="1"/>
  <c r="D835" i="3" s="1"/>
  <c r="D836" i="3" s="1"/>
  <c r="D837" i="3" s="1"/>
  <c r="D838" i="3" s="1"/>
  <c r="D839" i="3" s="1"/>
  <c r="D840" i="3" s="1"/>
  <c r="D841" i="3" s="1"/>
  <c r="D842" i="3" s="1"/>
  <c r="D843" i="3" s="1"/>
  <c r="D844" i="3" s="1"/>
  <c r="D845" i="3" s="1"/>
  <c r="D846" i="3" s="1"/>
  <c r="D847" i="3" s="1"/>
  <c r="D848" i="3" s="1"/>
  <c r="D849" i="3" s="1"/>
  <c r="D850" i="3" s="1"/>
  <c r="D851" i="3" s="1"/>
  <c r="D852" i="3" s="1"/>
  <c r="D853" i="3" s="1"/>
  <c r="D854" i="3" s="1"/>
  <c r="D855" i="3" s="1"/>
  <c r="D856" i="3" s="1"/>
  <c r="D857" i="3" s="1"/>
  <c r="D858" i="3" s="1"/>
  <c r="D859" i="3" s="1"/>
  <c r="D860" i="3" s="1"/>
  <c r="D861" i="3" s="1"/>
  <c r="D862" i="3" s="1"/>
  <c r="D863" i="3" s="1"/>
  <c r="D864" i="3" s="1"/>
  <c r="D865" i="3" s="1"/>
  <c r="D866" i="3" s="1"/>
  <c r="D867" i="3" s="1"/>
  <c r="D868" i="3" s="1"/>
  <c r="D869" i="3" s="1"/>
  <c r="D870" i="3" s="1"/>
  <c r="D871" i="3" s="1"/>
  <c r="D872" i="3" s="1"/>
  <c r="D873" i="3" s="1"/>
  <c r="D874" i="3" s="1"/>
  <c r="D875" i="3" s="1"/>
  <c r="D876" i="3" s="1"/>
  <c r="D877" i="3" s="1"/>
  <c r="D878" i="3" s="1"/>
  <c r="D879" i="3" s="1"/>
  <c r="D880" i="3" s="1"/>
  <c r="D881" i="3" s="1"/>
  <c r="D882" i="3" s="1"/>
  <c r="D883" i="3" s="1"/>
  <c r="D884" i="3" s="1"/>
  <c r="D885" i="3" s="1"/>
  <c r="D886" i="3" s="1"/>
  <c r="D887" i="3" s="1"/>
  <c r="D888" i="3" s="1"/>
  <c r="D889" i="3" s="1"/>
  <c r="D890" i="3" s="1"/>
  <c r="D891" i="3" s="1"/>
  <c r="D892" i="3" s="1"/>
  <c r="D893" i="3" s="1"/>
  <c r="D894" i="3" s="1"/>
  <c r="D895" i="3" s="1"/>
  <c r="D896" i="3" s="1"/>
  <c r="D897" i="3" s="1"/>
  <c r="D898" i="3" s="1"/>
  <c r="D899" i="3" s="1"/>
  <c r="D900" i="3" s="1"/>
  <c r="D901" i="3" s="1"/>
  <c r="D902" i="3" s="1"/>
  <c r="D903" i="3" s="1"/>
  <c r="D904" i="3" s="1"/>
  <c r="D905" i="3" s="1"/>
  <c r="D906" i="3" s="1"/>
  <c r="D907" i="3" s="1"/>
  <c r="D908" i="3" s="1"/>
  <c r="D909" i="3" s="1"/>
  <c r="D910" i="3" s="1"/>
  <c r="D911" i="3" s="1"/>
  <c r="D912" i="3" s="1"/>
  <c r="D913" i="3" s="1"/>
  <c r="D914" i="3" s="1"/>
  <c r="D915" i="3" s="1"/>
  <c r="D916" i="3" s="1"/>
  <c r="D917" i="3" s="1"/>
  <c r="D918" i="3" s="1"/>
  <c r="D919" i="3" s="1"/>
  <c r="D722" i="3"/>
  <c r="D723" i="3" s="1"/>
  <c r="D724" i="3" s="1"/>
  <c r="D725" i="3" s="1"/>
  <c r="D726" i="3" s="1"/>
  <c r="D727" i="3" s="1"/>
  <c r="D728" i="3" s="1"/>
  <c r="D729" i="3" s="1"/>
  <c r="D730" i="3" s="1"/>
  <c r="D731" i="3" s="1"/>
  <c r="D732" i="3" s="1"/>
  <c r="D733" i="3" s="1"/>
  <c r="D734" i="3" s="1"/>
  <c r="D735" i="3" s="1"/>
  <c r="D736" i="3" s="1"/>
  <c r="D737" i="3" s="1"/>
  <c r="D738" i="3" s="1"/>
  <c r="D739" i="3" s="1"/>
  <c r="D740" i="3" s="1"/>
  <c r="D741" i="3" s="1"/>
  <c r="D742" i="3" s="1"/>
  <c r="D743" i="3" s="1"/>
  <c r="D744" i="3" s="1"/>
  <c r="D745" i="3" s="1"/>
  <c r="D746" i="3" s="1"/>
  <c r="D747" i="3" s="1"/>
  <c r="D748" i="3" s="1"/>
  <c r="D749" i="3" s="1"/>
  <c r="D750" i="3" s="1"/>
  <c r="D751" i="3" s="1"/>
  <c r="D752" i="3" s="1"/>
  <c r="D753" i="3" s="1"/>
  <c r="D754" i="3" s="1"/>
  <c r="D755" i="3" s="1"/>
  <c r="D756" i="3" s="1"/>
  <c r="D757" i="3" s="1"/>
  <c r="D758" i="3" s="1"/>
  <c r="D759" i="3" s="1"/>
  <c r="D760" i="3" s="1"/>
  <c r="D761" i="3" s="1"/>
  <c r="D762" i="3" s="1"/>
  <c r="D763" i="3" s="1"/>
  <c r="D764" i="3" s="1"/>
  <c r="D765" i="3" s="1"/>
  <c r="D766" i="3" s="1"/>
  <c r="D767" i="3" s="1"/>
  <c r="D768" i="3" s="1"/>
  <c r="D769" i="3" s="1"/>
  <c r="D770" i="3" s="1"/>
  <c r="D771" i="3" s="1"/>
  <c r="D772" i="3" s="1"/>
  <c r="D773" i="3" s="1"/>
  <c r="D774" i="3" s="1"/>
  <c r="D775" i="3" s="1"/>
  <c r="D776" i="3" s="1"/>
  <c r="D777" i="3" s="1"/>
  <c r="D778" i="3" s="1"/>
  <c r="D779" i="3" s="1"/>
  <c r="D780" i="3" s="1"/>
  <c r="D781" i="3" s="1"/>
  <c r="D782" i="3" s="1"/>
  <c r="D783" i="3" s="1"/>
  <c r="D784" i="3" s="1"/>
  <c r="D785" i="3" s="1"/>
  <c r="D786" i="3" s="1"/>
  <c r="D787" i="3" s="1"/>
  <c r="D788" i="3" s="1"/>
  <c r="D789" i="3" s="1"/>
  <c r="D790" i="3" s="1"/>
  <c r="D791" i="3" s="1"/>
  <c r="D792" i="3" s="1"/>
  <c r="D793" i="3" s="1"/>
  <c r="D794" i="3" s="1"/>
  <c r="D795" i="3" s="1"/>
  <c r="D796" i="3" s="1"/>
  <c r="D797" i="3" s="1"/>
  <c r="D798" i="3" s="1"/>
  <c r="D799" i="3" s="1"/>
  <c r="D800" i="3" s="1"/>
  <c r="D801" i="3" s="1"/>
  <c r="D802" i="3" s="1"/>
  <c r="D803" i="3" s="1"/>
  <c r="D804" i="3" s="1"/>
  <c r="D805" i="3" s="1"/>
  <c r="D806" i="3" s="1"/>
  <c r="D807" i="3" s="1"/>
  <c r="D808" i="3" s="1"/>
  <c r="D809" i="3" s="1"/>
  <c r="D810" i="3" s="1"/>
  <c r="D811" i="3" s="1"/>
  <c r="D812" i="3" s="1"/>
  <c r="D813" i="3" s="1"/>
  <c r="D814" i="3" s="1"/>
  <c r="D815" i="3" s="1"/>
  <c r="D816" i="3" s="1"/>
  <c r="D817" i="3" s="1"/>
  <c r="D818" i="3" s="1"/>
  <c r="D819" i="3" s="1"/>
  <c r="D622" i="3"/>
  <c r="D623" i="3" s="1"/>
  <c r="D624" i="3" s="1"/>
  <c r="D625" i="3" s="1"/>
  <c r="D626" i="3" s="1"/>
  <c r="D627" i="3" s="1"/>
  <c r="D628" i="3" s="1"/>
  <c r="D629" i="3" s="1"/>
  <c r="D630" i="3" s="1"/>
  <c r="D631" i="3" s="1"/>
  <c r="D632" i="3" s="1"/>
  <c r="D633" i="3" s="1"/>
  <c r="D634" i="3" s="1"/>
  <c r="D635" i="3" s="1"/>
  <c r="D636" i="3" s="1"/>
  <c r="D637" i="3" s="1"/>
  <c r="D638" i="3" s="1"/>
  <c r="D639" i="3" s="1"/>
  <c r="D640" i="3" s="1"/>
  <c r="D641" i="3" s="1"/>
  <c r="D642" i="3" s="1"/>
  <c r="D643" i="3" s="1"/>
  <c r="D644" i="3" s="1"/>
  <c r="D645" i="3" s="1"/>
  <c r="D646" i="3" s="1"/>
  <c r="D647" i="3" s="1"/>
  <c r="D648" i="3" s="1"/>
  <c r="D649" i="3" s="1"/>
  <c r="D650" i="3" s="1"/>
  <c r="D651" i="3" s="1"/>
  <c r="D652" i="3" s="1"/>
  <c r="D653" i="3" s="1"/>
  <c r="D654" i="3" s="1"/>
  <c r="D655" i="3" s="1"/>
  <c r="D656" i="3" s="1"/>
  <c r="D657" i="3" s="1"/>
  <c r="D658" i="3" s="1"/>
  <c r="D659" i="3" s="1"/>
  <c r="D660" i="3" s="1"/>
  <c r="D661" i="3" s="1"/>
  <c r="D662" i="3" s="1"/>
  <c r="D663" i="3" s="1"/>
  <c r="D664" i="3" s="1"/>
  <c r="D665" i="3" s="1"/>
  <c r="D666" i="3" s="1"/>
  <c r="D667" i="3" s="1"/>
  <c r="D668" i="3" s="1"/>
  <c r="D669" i="3" s="1"/>
  <c r="D670" i="3" s="1"/>
  <c r="D671" i="3" s="1"/>
  <c r="D672" i="3" s="1"/>
  <c r="D673" i="3" s="1"/>
  <c r="D674" i="3" s="1"/>
  <c r="D675" i="3" s="1"/>
  <c r="D676" i="3" s="1"/>
  <c r="D677" i="3" s="1"/>
  <c r="D678" i="3" s="1"/>
  <c r="D679" i="3" s="1"/>
  <c r="D680" i="3" s="1"/>
  <c r="D681" i="3" s="1"/>
  <c r="D682" i="3" s="1"/>
  <c r="D683" i="3" s="1"/>
  <c r="D684" i="3" s="1"/>
  <c r="D685" i="3" s="1"/>
  <c r="D686" i="3" s="1"/>
  <c r="D687" i="3" s="1"/>
  <c r="D688" i="3" s="1"/>
  <c r="D689" i="3" s="1"/>
  <c r="D690" i="3" s="1"/>
  <c r="D691" i="3" s="1"/>
  <c r="D692" i="3" s="1"/>
  <c r="D693" i="3" s="1"/>
  <c r="D694" i="3" s="1"/>
  <c r="D695" i="3" s="1"/>
  <c r="D696" i="3" s="1"/>
  <c r="D697" i="3" s="1"/>
  <c r="D698" i="3" s="1"/>
  <c r="D699" i="3" s="1"/>
  <c r="D700" i="3" s="1"/>
  <c r="D701" i="3" s="1"/>
  <c r="D702" i="3" s="1"/>
  <c r="D703" i="3" s="1"/>
  <c r="D704" i="3" s="1"/>
  <c r="D705" i="3" s="1"/>
  <c r="D706" i="3" s="1"/>
  <c r="D707" i="3" s="1"/>
  <c r="D708" i="3" s="1"/>
  <c r="D709" i="3" s="1"/>
  <c r="D710" i="3" s="1"/>
  <c r="D711" i="3" s="1"/>
  <c r="D712" i="3" s="1"/>
  <c r="D713" i="3" s="1"/>
  <c r="D714" i="3" s="1"/>
  <c r="D715" i="3" s="1"/>
  <c r="D716" i="3" s="1"/>
  <c r="D717" i="3" s="1"/>
  <c r="D718" i="3" s="1"/>
  <c r="D719" i="3" s="1"/>
  <c r="K21" i="6"/>
  <c r="K22" i="6"/>
  <c r="L22" i="6" s="1"/>
  <c r="K23" i="6"/>
  <c r="L23" i="6" s="1"/>
  <c r="K24" i="6"/>
  <c r="L24" i="6" s="1"/>
  <c r="J21" i="6"/>
  <c r="J22" i="6"/>
  <c r="J23" i="6"/>
  <c r="J24" i="6"/>
  <c r="I21" i="6" a="1"/>
  <c r="I21" i="6" s="1"/>
  <c r="I22" i="6" a="1"/>
  <c r="I22" i="6" s="1"/>
  <c r="I23" i="6" a="1"/>
  <c r="I23" i="6" s="1"/>
  <c r="I24" i="6" a="1"/>
  <c r="I24" i="6" s="1"/>
  <c r="G21" i="6"/>
  <c r="G22" i="6"/>
  <c r="G23" i="6"/>
  <c r="G24" i="6"/>
  <c r="L21" i="6"/>
  <c r="D522" i="3"/>
  <c r="D523" i="3" s="1"/>
  <c r="D524" i="3" s="1"/>
  <c r="D525" i="3" s="1"/>
  <c r="D526" i="3" s="1"/>
  <c r="D527" i="3" s="1"/>
  <c r="D528" i="3" s="1"/>
  <c r="D529" i="3" s="1"/>
  <c r="D530" i="3" s="1"/>
  <c r="D531" i="3" s="1"/>
  <c r="D532" i="3" s="1"/>
  <c r="D533" i="3" s="1"/>
  <c r="D534" i="3" s="1"/>
  <c r="D535" i="3" s="1"/>
  <c r="D536" i="3" s="1"/>
  <c r="D537" i="3" s="1"/>
  <c r="D538" i="3" s="1"/>
  <c r="D539" i="3" s="1"/>
  <c r="D540" i="3" s="1"/>
  <c r="D541" i="3" s="1"/>
  <c r="D542" i="3" s="1"/>
  <c r="D543" i="3" s="1"/>
  <c r="D544" i="3" s="1"/>
  <c r="D545" i="3" s="1"/>
  <c r="D546" i="3" s="1"/>
  <c r="D547" i="3" s="1"/>
  <c r="D548" i="3" s="1"/>
  <c r="D549" i="3" s="1"/>
  <c r="D550" i="3" s="1"/>
  <c r="D551" i="3" s="1"/>
  <c r="D552" i="3" s="1"/>
  <c r="D553" i="3" s="1"/>
  <c r="D554" i="3" s="1"/>
  <c r="D555" i="3" s="1"/>
  <c r="D556" i="3" s="1"/>
  <c r="D557" i="3" s="1"/>
  <c r="D558" i="3" s="1"/>
  <c r="D559" i="3" s="1"/>
  <c r="D560" i="3" s="1"/>
  <c r="D561" i="3" s="1"/>
  <c r="D562" i="3" s="1"/>
  <c r="D563" i="3" s="1"/>
  <c r="D564" i="3" s="1"/>
  <c r="D565" i="3" s="1"/>
  <c r="D566" i="3" s="1"/>
  <c r="D567" i="3" s="1"/>
  <c r="D568" i="3" s="1"/>
  <c r="D569" i="3" s="1"/>
  <c r="D570" i="3" s="1"/>
  <c r="D571" i="3" s="1"/>
  <c r="D572" i="3" s="1"/>
  <c r="D573" i="3" s="1"/>
  <c r="D574" i="3" s="1"/>
  <c r="D575" i="3" s="1"/>
  <c r="D576" i="3" s="1"/>
  <c r="D577" i="3" s="1"/>
  <c r="D578" i="3" s="1"/>
  <c r="D579" i="3" s="1"/>
  <c r="D580" i="3" s="1"/>
  <c r="D581" i="3" s="1"/>
  <c r="D582" i="3" s="1"/>
  <c r="D583" i="3" s="1"/>
  <c r="D584" i="3" s="1"/>
  <c r="D585" i="3" s="1"/>
  <c r="D586" i="3" s="1"/>
  <c r="D587" i="3" s="1"/>
  <c r="D588" i="3" s="1"/>
  <c r="D589" i="3" s="1"/>
  <c r="D590" i="3" s="1"/>
  <c r="D591" i="3" s="1"/>
  <c r="D592" i="3" s="1"/>
  <c r="D593" i="3" s="1"/>
  <c r="D594" i="3" s="1"/>
  <c r="D595" i="3" s="1"/>
  <c r="D596" i="3" s="1"/>
  <c r="D597" i="3" s="1"/>
  <c r="D598" i="3" s="1"/>
  <c r="D599" i="3" s="1"/>
  <c r="D600" i="3" s="1"/>
  <c r="D601" i="3" s="1"/>
  <c r="D602" i="3" s="1"/>
  <c r="D603" i="3" s="1"/>
  <c r="D604" i="3" s="1"/>
  <c r="D605" i="3" s="1"/>
  <c r="D606" i="3" s="1"/>
  <c r="D607" i="3" s="1"/>
  <c r="D608" i="3" s="1"/>
  <c r="D609" i="3" s="1"/>
  <c r="D610" i="3" s="1"/>
  <c r="D611" i="3" s="1"/>
  <c r="D612" i="3" s="1"/>
  <c r="D613" i="3" s="1"/>
  <c r="D614" i="3" s="1"/>
  <c r="D615" i="3" s="1"/>
  <c r="D616" i="3" s="1"/>
  <c r="D617" i="3" s="1"/>
  <c r="D618" i="3" s="1"/>
  <c r="D619" i="3" s="1"/>
  <c r="D422" i="3"/>
  <c r="D423" i="3" s="1"/>
  <c r="D424" i="3" s="1"/>
  <c r="D425" i="3" s="1"/>
  <c r="D426" i="3" s="1"/>
  <c r="D427" i="3" s="1"/>
  <c r="D428" i="3" s="1"/>
  <c r="D429" i="3" s="1"/>
  <c r="D430" i="3" s="1"/>
  <c r="D431" i="3" s="1"/>
  <c r="D432" i="3" s="1"/>
  <c r="D433" i="3" s="1"/>
  <c r="D434" i="3" s="1"/>
  <c r="D435" i="3" s="1"/>
  <c r="D436" i="3" s="1"/>
  <c r="D437" i="3" s="1"/>
  <c r="D438" i="3" s="1"/>
  <c r="D439" i="3" s="1"/>
  <c r="D440" i="3" s="1"/>
  <c r="D441" i="3" s="1"/>
  <c r="D442" i="3" s="1"/>
  <c r="D443" i="3" s="1"/>
  <c r="D444" i="3" s="1"/>
  <c r="D445" i="3" s="1"/>
  <c r="D446" i="3" s="1"/>
  <c r="D447" i="3" s="1"/>
  <c r="D448" i="3" s="1"/>
  <c r="D449" i="3" s="1"/>
  <c r="D450" i="3" s="1"/>
  <c r="D451" i="3" s="1"/>
  <c r="D452" i="3" s="1"/>
  <c r="D453" i="3" s="1"/>
  <c r="D454" i="3" s="1"/>
  <c r="D455" i="3" s="1"/>
  <c r="D456" i="3" s="1"/>
  <c r="D457" i="3" s="1"/>
  <c r="D458" i="3" s="1"/>
  <c r="D459" i="3" s="1"/>
  <c r="D460" i="3" s="1"/>
  <c r="D461" i="3" s="1"/>
  <c r="D462" i="3" s="1"/>
  <c r="D463" i="3" s="1"/>
  <c r="D464" i="3" s="1"/>
  <c r="D465" i="3" s="1"/>
  <c r="D466" i="3" s="1"/>
  <c r="D467" i="3" s="1"/>
  <c r="D468" i="3" s="1"/>
  <c r="D469" i="3" s="1"/>
  <c r="D470" i="3" s="1"/>
  <c r="D471" i="3" s="1"/>
  <c r="D472" i="3" s="1"/>
  <c r="D473" i="3" s="1"/>
  <c r="D474" i="3" s="1"/>
  <c r="D475" i="3" s="1"/>
  <c r="D476" i="3" s="1"/>
  <c r="D477" i="3" s="1"/>
  <c r="D478" i="3" s="1"/>
  <c r="D479" i="3" s="1"/>
  <c r="D480" i="3" s="1"/>
  <c r="D481" i="3" s="1"/>
  <c r="D482" i="3" s="1"/>
  <c r="D483" i="3" s="1"/>
  <c r="D484" i="3" s="1"/>
  <c r="D485" i="3" s="1"/>
  <c r="D486" i="3" s="1"/>
  <c r="D487" i="3" s="1"/>
  <c r="D488" i="3" s="1"/>
  <c r="D489" i="3" s="1"/>
  <c r="D490" i="3" s="1"/>
  <c r="D491" i="3" s="1"/>
  <c r="D492" i="3" s="1"/>
  <c r="D493" i="3" s="1"/>
  <c r="D494" i="3" s="1"/>
  <c r="D495" i="3" s="1"/>
  <c r="D496" i="3" s="1"/>
  <c r="D497" i="3" s="1"/>
  <c r="D498" i="3" s="1"/>
  <c r="D499" i="3" s="1"/>
  <c r="D500" i="3" s="1"/>
  <c r="D501" i="3" s="1"/>
  <c r="D502" i="3" s="1"/>
  <c r="D503" i="3" s="1"/>
  <c r="D504" i="3" s="1"/>
  <c r="D505" i="3" s="1"/>
  <c r="D506" i="3" s="1"/>
  <c r="D507" i="3" s="1"/>
  <c r="D508" i="3" s="1"/>
  <c r="D509" i="3" s="1"/>
  <c r="D510" i="3" s="1"/>
  <c r="D511" i="3" s="1"/>
  <c r="D512" i="3" s="1"/>
  <c r="D513" i="3" s="1"/>
  <c r="D514" i="3" s="1"/>
  <c r="D515" i="3" s="1"/>
  <c r="D516" i="3" s="1"/>
  <c r="D517" i="3" s="1"/>
  <c r="D518" i="3" s="1"/>
  <c r="D519" i="3" s="1"/>
  <c r="D322" i="3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D352" i="3" s="1"/>
  <c r="D353" i="3" s="1"/>
  <c r="D354" i="3" s="1"/>
  <c r="D355" i="3" s="1"/>
  <c r="D356" i="3" s="1"/>
  <c r="D357" i="3" s="1"/>
  <c r="D358" i="3" s="1"/>
  <c r="D359" i="3" s="1"/>
  <c r="D360" i="3" s="1"/>
  <c r="D361" i="3" s="1"/>
  <c r="D362" i="3" s="1"/>
  <c r="D363" i="3" s="1"/>
  <c r="D364" i="3" s="1"/>
  <c r="D365" i="3" s="1"/>
  <c r="D366" i="3" s="1"/>
  <c r="D367" i="3" s="1"/>
  <c r="D368" i="3" s="1"/>
  <c r="D369" i="3" s="1"/>
  <c r="D370" i="3" s="1"/>
  <c r="D371" i="3" s="1"/>
  <c r="D372" i="3" s="1"/>
  <c r="D373" i="3" s="1"/>
  <c r="D374" i="3" s="1"/>
  <c r="D375" i="3" s="1"/>
  <c r="D376" i="3" s="1"/>
  <c r="D377" i="3" s="1"/>
  <c r="D378" i="3" s="1"/>
  <c r="D379" i="3" s="1"/>
  <c r="D380" i="3" s="1"/>
  <c r="D381" i="3" s="1"/>
  <c r="D382" i="3" s="1"/>
  <c r="D383" i="3" s="1"/>
  <c r="D384" i="3" s="1"/>
  <c r="D385" i="3" s="1"/>
  <c r="D386" i="3" s="1"/>
  <c r="D387" i="3" s="1"/>
  <c r="D388" i="3" s="1"/>
  <c r="D389" i="3" s="1"/>
  <c r="D390" i="3" s="1"/>
  <c r="D391" i="3" s="1"/>
  <c r="D392" i="3" s="1"/>
  <c r="D393" i="3" s="1"/>
  <c r="D394" i="3" s="1"/>
  <c r="D395" i="3" s="1"/>
  <c r="D396" i="3" s="1"/>
  <c r="D397" i="3" s="1"/>
  <c r="D398" i="3" s="1"/>
  <c r="D399" i="3" s="1"/>
  <c r="D400" i="3" s="1"/>
  <c r="D401" i="3" s="1"/>
  <c r="D402" i="3" s="1"/>
  <c r="D403" i="3" s="1"/>
  <c r="D404" i="3" s="1"/>
  <c r="D405" i="3" s="1"/>
  <c r="D406" i="3" s="1"/>
  <c r="D407" i="3" s="1"/>
  <c r="D408" i="3" s="1"/>
  <c r="D409" i="3" s="1"/>
  <c r="D410" i="3" s="1"/>
  <c r="D411" i="3" s="1"/>
  <c r="D412" i="3" s="1"/>
  <c r="D413" i="3" s="1"/>
  <c r="D414" i="3" s="1"/>
  <c r="D415" i="3" s="1"/>
  <c r="D416" i="3" s="1"/>
  <c r="D417" i="3" s="1"/>
  <c r="D418" i="3" s="1"/>
  <c r="D419" i="3" s="1"/>
  <c r="D222" i="3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D252" i="3" s="1"/>
  <c r="D253" i="3" s="1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D302" i="3" s="1"/>
  <c r="D303" i="3" s="1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122" i="3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" i="3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5" i="6"/>
  <c r="K6" i="6"/>
  <c r="L6" i="6" s="1"/>
  <c r="H3" i="6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3" i="5"/>
  <c r="C5" i="5"/>
  <c r="C6" i="5"/>
  <c r="C7" i="5"/>
  <c r="C9" i="5"/>
  <c r="C10" i="5" s="1"/>
  <c r="J6" i="6"/>
  <c r="J5" i="6"/>
  <c r="C374" i="5"/>
  <c r="C375" i="5"/>
  <c r="C376" i="5"/>
  <c r="C377" i="5"/>
  <c r="C378" i="5"/>
  <c r="C379" i="5"/>
  <c r="C380" i="5"/>
  <c r="C381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82" i="5"/>
  <c r="C383" i="5"/>
  <c r="C384" i="5"/>
  <c r="C385" i="5"/>
  <c r="C386" i="5"/>
  <c r="C387" i="5"/>
  <c r="C388" i="5"/>
  <c r="C389" i="5"/>
  <c r="K5" i="6"/>
  <c r="L5" i="6" s="1"/>
  <c r="I5" i="6" a="1"/>
  <c r="I5" i="6" s="1"/>
  <c r="I6" i="6" a="1"/>
  <c r="I6" i="6" s="1"/>
  <c r="H6" i="6" l="1"/>
  <c r="H22" i="6"/>
  <c r="H21" i="6"/>
  <c r="H24" i="6"/>
  <c r="H23" i="6"/>
  <c r="H5" i="6"/>
  <c r="H17" i="6"/>
  <c r="H13" i="6"/>
  <c r="H9" i="6"/>
  <c r="H20" i="6"/>
  <c r="H16" i="6"/>
  <c r="H12" i="6"/>
  <c r="H8" i="6"/>
  <c r="H19" i="6"/>
  <c r="H15" i="6"/>
  <c r="H11" i="6"/>
  <c r="H7" i="6"/>
  <c r="H18" i="6"/>
  <c r="H14" i="6"/>
  <c r="H10" i="6"/>
  <c r="K9" i="6"/>
  <c r="L9" i="6" s="1"/>
  <c r="J9" i="6"/>
  <c r="I9" i="6" a="1"/>
  <c r="I9" i="6" s="1"/>
  <c r="J8" i="6"/>
  <c r="I8" i="6" a="1"/>
  <c r="I8" i="6" s="1"/>
  <c r="K8" i="6"/>
  <c r="L8" i="6" s="1"/>
  <c r="I7" i="6" a="1"/>
  <c r="I7" i="6" s="1"/>
  <c r="J7" i="6"/>
  <c r="K7" i="6"/>
  <c r="L7" i="6" s="1"/>
  <c r="C10" i="6"/>
  <c r="C8" i="5" a="1"/>
  <c r="C8" i="5" s="1"/>
  <c r="C8" i="6" l="1"/>
  <c r="C12" i="6" s="1"/>
  <c r="J11" i="6"/>
  <c r="I11" i="6" a="1"/>
  <c r="I11" i="6" s="1"/>
  <c r="K11" i="6"/>
  <c r="L11" i="6" s="1"/>
  <c r="K10" i="6"/>
  <c r="L10" i="6" s="1"/>
  <c r="J10" i="6"/>
  <c r="I10" i="6" a="1"/>
  <c r="I10" i="6" s="1"/>
  <c r="C11" i="6"/>
  <c r="J12" i="6" l="1"/>
  <c r="I12" i="6" a="1"/>
  <c r="I12" i="6" s="1"/>
  <c r="K12" i="6"/>
  <c r="L12" i="6" s="1"/>
  <c r="K13" i="6"/>
  <c r="L13" i="6" s="1"/>
  <c r="J13" i="6"/>
  <c r="I13" i="6" a="1"/>
  <c r="I13" i="6" s="1"/>
  <c r="J15" i="6" l="1"/>
  <c r="I15" i="6" a="1"/>
  <c r="I15" i="6" s="1"/>
  <c r="K15" i="6"/>
  <c r="L15" i="6" s="1"/>
  <c r="K14" i="6"/>
  <c r="L14" i="6" s="1"/>
  <c r="J14" i="6"/>
  <c r="I14" i="6" a="1"/>
  <c r="I14" i="6" s="1"/>
  <c r="C7" i="6"/>
  <c r="J16" i="6" l="1"/>
  <c r="I16" i="6" a="1"/>
  <c r="I16" i="6" s="1"/>
  <c r="K16" i="6"/>
  <c r="L16" i="6" s="1"/>
  <c r="K17" i="6"/>
  <c r="L17" i="6" s="1"/>
  <c r="J17" i="6"/>
  <c r="I17" i="6" a="1"/>
  <c r="I17" i="6" s="1"/>
  <c r="J19" i="6" l="1"/>
  <c r="I19" i="6" a="1"/>
  <c r="I19" i="6" s="1"/>
  <c r="K19" i="6"/>
  <c r="L19" i="6" s="1"/>
  <c r="K18" i="6"/>
  <c r="L18" i="6" s="1"/>
  <c r="J18" i="6"/>
  <c r="I18" i="6" a="1"/>
  <c r="I18" i="6" s="1"/>
  <c r="J20" i="6" l="1"/>
  <c r="I20" i="6" a="1"/>
  <c r="I20" i="6" s="1"/>
  <c r="K20" i="6"/>
  <c r="L20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<sst xmlns="http://schemas.openxmlformats.org/spreadsheetml/2006/main" count="6099" uniqueCount="129">
  <si>
    <t>BRANCA</t>
  </si>
  <si>
    <t>MARROM</t>
  </si>
  <si>
    <t>CORTE</t>
  </si>
  <si>
    <t>Hy-Line W-80</t>
  </si>
  <si>
    <t>Hy-Line W-36</t>
  </si>
  <si>
    <t>Lohmann LSL Classic</t>
  </si>
  <si>
    <t>Lohmann LSL Lite</t>
  </si>
  <si>
    <t>Lohmann LSL Extra</t>
  </si>
  <si>
    <t>ISA White</t>
  </si>
  <si>
    <t>Hisex White</t>
  </si>
  <si>
    <t>Dekalb White</t>
  </si>
  <si>
    <t>Bovans White</t>
  </si>
  <si>
    <t>Hy-Line Brown</t>
  </si>
  <si>
    <t>Hisex Brown</t>
  </si>
  <si>
    <t>Bovans Brown</t>
  </si>
  <si>
    <t>Hy-Line Sonia</t>
  </si>
  <si>
    <t>Lohmann Brown Classic</t>
  </si>
  <si>
    <t>Lohmann Brown Lite</t>
  </si>
  <si>
    <t>ISA Brown</t>
  </si>
  <si>
    <t>Dekalb Brown</t>
  </si>
  <si>
    <t>Novogen Brown</t>
  </si>
  <si>
    <t>Cobb 500</t>
  </si>
  <si>
    <t>Ross 308</t>
  </si>
  <si>
    <t>Categoria</t>
  </si>
  <si>
    <t>Tipo</t>
  </si>
  <si>
    <t>Linhagem</t>
  </si>
  <si>
    <t>Data de Alojamento</t>
  </si>
  <si>
    <t>Qtd. Aves</t>
  </si>
  <si>
    <t>LOTE_001_PR</t>
  </si>
  <si>
    <t>Consumo Diário (g)</t>
  </si>
  <si>
    <t>Consumo Acumulado (g)</t>
  </si>
  <si>
    <t>CATEGORIA</t>
  </si>
  <si>
    <t>TIPO</t>
  </si>
  <si>
    <t>LINHAGEM</t>
  </si>
  <si>
    <t>PESO ESPERADO (g)</t>
  </si>
  <si>
    <t>IDADE (Dias)</t>
  </si>
  <si>
    <t>Frango</t>
  </si>
  <si>
    <t>Poedeira</t>
  </si>
  <si>
    <t>Idade Inicial</t>
  </si>
  <si>
    <t>Idade Final</t>
  </si>
  <si>
    <t>Fase de Criação</t>
  </si>
  <si>
    <t>Pré Inicial</t>
  </si>
  <si>
    <t>Inicial</t>
  </si>
  <si>
    <t>Crescimento</t>
  </si>
  <si>
    <t>Engorda</t>
  </si>
  <si>
    <t>Terminação</t>
  </si>
  <si>
    <t>Maturidade</t>
  </si>
  <si>
    <t>Pré Postura</t>
  </si>
  <si>
    <t>Postura Pico</t>
  </si>
  <si>
    <t>Data da Coleta:</t>
  </si>
  <si>
    <t>ID_Lote</t>
  </si>
  <si>
    <t>Pesos Individuais (g)</t>
  </si>
  <si>
    <t>Validação no Range</t>
  </si>
  <si>
    <t>Métricas Analíticas Consolidadas</t>
  </si>
  <si>
    <t>Amostras Registradas</t>
  </si>
  <si>
    <t>Peso Médio Atual (g)</t>
  </si>
  <si>
    <t>Desvio Padrão Amostral</t>
  </si>
  <si>
    <t>Coeficiente de Variação</t>
  </si>
  <si>
    <t>Uniformidade do Lote (±10%)</t>
  </si>
  <si>
    <t>Limite Inferior Calculado</t>
  </si>
  <si>
    <t>Limite Superior Calculado</t>
  </si>
  <si>
    <t>Idade_Dias</t>
  </si>
  <si>
    <t>Peso_Medio_g</t>
  </si>
  <si>
    <t>Uniformidade_%</t>
  </si>
  <si>
    <t>Qtd_amostra</t>
  </si>
  <si>
    <t>Status</t>
  </si>
  <si>
    <t>Status da Uniformidade</t>
  </si>
  <si>
    <t>Data_Coleta</t>
  </si>
  <si>
    <t>Fase_Criação</t>
  </si>
  <si>
    <t>Desvio_Padrão</t>
  </si>
  <si>
    <t>FRANGO</t>
  </si>
  <si>
    <t>Fase/Rótulo</t>
  </si>
  <si>
    <t>Idade (Dias)</t>
  </si>
  <si>
    <t>Peso Médio Real (g)</t>
  </si>
  <si>
    <t>Peso Alvo Manual (g)</t>
  </si>
  <si>
    <t>Uniformidade Real (%)</t>
  </si>
  <si>
    <t>Amostras Coletadas</t>
  </si>
  <si>
    <t>Status Amostragem</t>
  </si>
  <si>
    <t>Lote para Análise</t>
  </si>
  <si>
    <t>Lote:</t>
  </si>
  <si>
    <t>Categoria:</t>
  </si>
  <si>
    <t>Linhagem:</t>
  </si>
  <si>
    <t>Idade Atual:</t>
  </si>
  <si>
    <t>Fase de Criação:</t>
  </si>
  <si>
    <t>Qtd Lote:</t>
  </si>
  <si>
    <t>Amostragem recomendada:</t>
  </si>
  <si>
    <t>CADASTRO DO LOTE</t>
  </si>
  <si>
    <t>ID DO LOTE:</t>
  </si>
  <si>
    <t>LINHAGEM:</t>
  </si>
  <si>
    <t>DATA DE ALOJAMENTO:</t>
  </si>
  <si>
    <t>TIPO:</t>
  </si>
  <si>
    <t>CATEGORIA:</t>
  </si>
  <si>
    <t>NÚMERO DE AVES:</t>
  </si>
  <si>
    <t xml:space="preserve"> CONTROLE DE AVES</t>
  </si>
  <si>
    <t>Defina os padrões zootécnicos, réguas de corte da uniformidade e manutenção de dados.</t>
  </si>
  <si>
    <t>Faixa de Tolerância (±% Média)</t>
  </si>
  <si>
    <t>Uniformidade Excelente (≥)</t>
  </si>
  <si>
    <t>Uniformidade Boa (≥)</t>
  </si>
  <si>
    <t>Uniformidade Regular (≥)</t>
  </si>
  <si>
    <t>Uniformidade Crítica / Desuniforme</t>
  </si>
  <si>
    <t>&lt; 70.0%</t>
  </si>
  <si>
    <t>% Recomendado por Lote</t>
  </si>
  <si>
    <t>Quantidade Mínima de Aves</t>
  </si>
  <si>
    <t>PARÂMETROS DE UNIFORMIDADE</t>
  </si>
  <si>
    <t>CONFIGURAÇÕES E PARÂMETROS DO SISTEMA</t>
  </si>
  <si>
    <t>GERENCIAMENTO E MANUTENÇÃO</t>
  </si>
  <si>
    <t>1.</t>
  </si>
  <si>
    <t>2.</t>
  </si>
  <si>
    <t>3.</t>
  </si>
  <si>
    <t>4.</t>
  </si>
  <si>
    <t>5.</t>
  </si>
  <si>
    <t>REGRAS DE AMOSTRAGEM NO GALPÃO</t>
  </si>
  <si>
    <t>BALANÇA DIGITAL</t>
  </si>
  <si>
    <t xml:space="preserve">H&amp;N Brown </t>
  </si>
  <si>
    <t>H&amp;N</t>
  </si>
  <si>
    <t>Novogen Tinted</t>
  </si>
  <si>
    <t>Novogen White</t>
  </si>
  <si>
    <t>Pescoço Pelado</t>
  </si>
  <si>
    <t>CONFORME</t>
  </si>
  <si>
    <t>LOTE_002_PR</t>
  </si>
  <si>
    <t>POEDEIRA</t>
  </si>
  <si>
    <t>LOTE_001_FC</t>
  </si>
  <si>
    <t>LOTE_002_FC</t>
  </si>
  <si>
    <t>Desenvolvimento</t>
  </si>
  <si>
    <t>Pré-Postura</t>
  </si>
  <si>
    <t>Postura</t>
  </si>
  <si>
    <t>H&amp;N Brown</t>
  </si>
  <si>
    <t>H&amp;N White</t>
  </si>
  <si>
    <t>Monitoramento de Lotes, Coleta de Dados e Uniformidade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</si>
</sst>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"/>
    <numFmt numFmtId="165" formatCode="0.0%"/>
    <numFmt numFmtId="166" formatCode="m/d/yy"/>
  </numFmts>
  <fonts count="35" x14ac:knownFonts="1">
    <font>
      <sz val="12"/>
      <color theme="1"/>
      <name val="Aptos Narrow"/>
      <family val="2"/>
      <scheme val="minor"/>
    </font>
    <font>
      <sz val="12"/>
      <color theme="1"/>
      <name val="Calibri Light"/>
      <family val="2"/>
    </font>
    <font>
      <sz val="12"/>
      <color theme="1"/>
      <name val="Arial"/>
      <family val="2"/>
    </font>
    <font>
      <sz val="11"/>
      <color rgb="FF000000"/>
      <name val="Arial"/>
      <family val="2"/>
    </font>
    <font>
      <sz val="8"/>
      <name val="Aptos Narrow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4"/>
      <color theme="4"/>
      <name val="Arial"/>
      <family val="2"/>
    </font>
    <font>
      <b/>
      <sz val="11"/>
      <color rgb="FFFFFFFF"/>
      <name val="Arial"/>
      <family val="2"/>
    </font>
    <font>
      <b/>
      <sz val="10"/>
      <color rgb="FF333333"/>
      <name val="Arial"/>
      <family val="2"/>
    </font>
    <font>
      <sz val="12"/>
      <color rgb="FF000000"/>
      <name val="Arial"/>
      <family val="2"/>
    </font>
    <font>
      <sz val="10"/>
      <color rgb="FF333333"/>
      <name val="Arial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sz val="12"/>
      <name val="Aptos Narrow"/>
      <family val="2"/>
      <scheme val="minor"/>
    </font>
    <font>
      <sz val="10"/>
      <color rgb="FF5B6573"/>
      <name val="Aptos"/>
    </font>
    <font>
      <sz val="20"/>
      <color theme="0"/>
      <name val="Arial"/>
      <family val="2"/>
    </font>
    <font>
      <b/>
      <sz val="22"/>
      <color rgb="FFFFFFFF"/>
      <name val="Arial"/>
      <family val="2"/>
    </font>
    <font>
      <sz val="11"/>
      <color rgb="FF5B6573"/>
      <name val="Arial"/>
      <family val="2"/>
    </font>
    <font>
      <b/>
      <sz val="14"/>
      <color theme="5"/>
      <name val="Arial"/>
      <family val="2"/>
    </font>
    <font>
      <b/>
      <sz val="11"/>
      <color rgb="FF17324D"/>
      <name val="Arial"/>
      <family val="2"/>
    </font>
    <font>
      <sz val="11"/>
      <color theme="1"/>
      <name val="Arial"/>
      <family val="2"/>
    </font>
    <font>
      <b/>
      <sz val="10"/>
      <color rgb="FF17324D"/>
      <name val="Arial"/>
      <family val="2"/>
    </font>
    <font>
      <b/>
      <sz val="12"/>
      <color theme="5"/>
      <name val="Aptos Narrow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rgb="FF000000"/>
      <name val="Aptos Narrow"/>
      <scheme val="minor"/>
    </font>
    <font>
      <sz val="12"/>
      <color theme="1"/>
      <name val="Segoe UI"/>
    </font>
    <font>
      <b/>
      <sz val="18"/>
      <color rgb="FFFFFFFF"/>
      <name val="Aptos Narrow"/>
      <scheme val="minor"/>
    </font>
    <font>
      <b/>
      <sz val="14"/>
      <color rgb="FFFFFFFF"/>
      <name val="Aptos Narrow"/>
      <scheme val="minor"/>
    </font>
    <font>
      <sz val="12"/>
      <color rgb="FF1E293B"/>
      <name val="Aptos Narrow"/>
      <scheme val="minor"/>
    </font>
    <font>
      <b/>
      <sz val="12"/>
      <color rgb="FF1E293B"/>
      <name val="Aptos Narrow"/>
      <scheme val="minor"/>
    </font>
    <font>
      <b/>
      <sz val="12"/>
      <color theme="4"/>
      <name val="Aptos Narrow"/>
      <scheme val="minor"/>
    </font>
    <font>
      <b/>
      <sz val="11"/>
      <color rgb="FFFFFFFF"/>
      <name val="Aptos Narrow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E9EEF4"/>
        <bgColor rgb="FFE9EEF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rgb="FF1F4E79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rgb="FFE9EEF4"/>
      </patternFill>
    </fill>
    <fill>
      <patternFill patternType="solid">
        <fgColor theme="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334155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E2E8F0"/>
      </left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14" fontId="0" fillId="0" borderId="0" xfId="0" applyNumberFormat="1"/>
    <xf numFmtId="3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10" fillId="3" borderId="0" xfId="0" applyFont="1" applyFill="1" applyAlignment="1" applyProtection="1">
      <alignment horizontal="center"/>
      <protection locked="0"/>
    </xf>
    <xf numFmtId="0" fontId="0" fillId="5" borderId="0" xfId="0" applyFill="1"/>
    <xf numFmtId="0" fontId="7" fillId="5" borderId="0" xfId="0" applyFont="1" applyFill="1"/>
    <xf numFmtId="14" fontId="0" fillId="5" borderId="0" xfId="0" applyNumberFormat="1" applyFill="1"/>
    <xf numFmtId="1" fontId="0" fillId="5" borderId="0" xfId="0" applyNumberFormat="1" applyFill="1"/>
    <xf numFmtId="0" fontId="2" fillId="5" borderId="0" xfId="0" applyFont="1" applyFill="1" applyAlignment="1">
      <alignment horizontal="center"/>
    </xf>
    <xf numFmtId="0" fontId="2" fillId="5" borderId="0" xfId="0" applyFont="1" applyFill="1" applyAlignment="1" applyProtection="1">
      <alignment horizontal="center"/>
      <protection hidden="1"/>
    </xf>
    <xf numFmtId="3" fontId="10" fillId="3" borderId="0" xfId="0" applyNumberFormat="1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15" fillId="5" borderId="0" xfId="0" applyFont="1" applyFill="1"/>
    <xf numFmtId="0" fontId="0" fillId="7" borderId="0" xfId="0" applyFill="1"/>
    <xf numFmtId="0" fontId="8" fillId="0" borderId="0" xfId="0" applyFont="1" applyAlignment="1">
      <alignment horizontal="center"/>
    </xf>
    <xf numFmtId="10" fontId="11" fillId="0" borderId="0" xfId="0" applyNumberFormat="1" applyFont="1" applyAlignment="1">
      <alignment horizontal="center"/>
    </xf>
    <xf numFmtId="3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3" fontId="11" fillId="0" borderId="0" xfId="0" applyNumberFormat="1" applyFont="1"/>
    <xf numFmtId="0" fontId="25" fillId="6" borderId="0" xfId="0" applyFont="1" applyFill="1" applyAlignment="1">
      <alignment horizontal="center"/>
    </xf>
    <xf numFmtId="0" fontId="26" fillId="0" borderId="0" xfId="0" applyFont="1"/>
    <xf numFmtId="0" fontId="27" fillId="3" borderId="0" xfId="0" applyFont="1" applyFill="1" applyAlignment="1" applyProtection="1">
      <alignment horizontal="center"/>
      <protection locked="0"/>
    </xf>
    <xf numFmtId="3" fontId="27" fillId="3" borderId="0" xfId="0" applyNumberFormat="1" applyFont="1" applyFill="1" applyAlignment="1" applyProtection="1">
      <alignment horizontal="center"/>
      <protection locked="0"/>
    </xf>
    <xf numFmtId="14" fontId="26" fillId="0" borderId="0" xfId="0" applyNumberFormat="1" applyFont="1"/>
    <xf numFmtId="10" fontId="26" fillId="0" borderId="0" xfId="0" applyNumberFormat="1" applyFont="1"/>
    <xf numFmtId="164" fontId="26" fillId="0" borderId="0" xfId="0" applyNumberFormat="1" applyFont="1"/>
    <xf numFmtId="3" fontId="26" fillId="0" borderId="0" xfId="0" applyNumberFormat="1" applyFont="1"/>
    <xf numFmtId="0" fontId="28" fillId="0" borderId="0" xfId="0" applyFont="1"/>
    <xf numFmtId="0" fontId="28" fillId="5" borderId="6" xfId="0" applyFont="1" applyFill="1" applyBorder="1"/>
    <xf numFmtId="0" fontId="31" fillId="13" borderId="6" xfId="0" applyFont="1" applyFill="1" applyBorder="1" applyAlignment="1">
      <alignment horizontal="center"/>
    </xf>
    <xf numFmtId="0" fontId="31" fillId="13" borderId="6" xfId="0" applyFont="1" applyFill="1" applyBorder="1"/>
    <xf numFmtId="0" fontId="25" fillId="6" borderId="0" xfId="0" applyFont="1" applyFill="1" applyAlignment="1" applyProtection="1">
      <alignment horizontal="center"/>
      <protection hidden="1"/>
    </xf>
    <xf numFmtId="0" fontId="26" fillId="3" borderId="0" xfId="0" applyFont="1" applyFill="1" applyAlignment="1" applyProtection="1">
      <alignment horizontal="center"/>
      <protection locked="0"/>
    </xf>
    <xf numFmtId="0" fontId="26" fillId="7" borderId="1" xfId="0" applyFont="1" applyFill="1" applyBorder="1" applyAlignment="1" applyProtection="1">
      <alignment horizontal="center"/>
      <protection hidden="1"/>
    </xf>
    <xf numFmtId="0" fontId="26" fillId="5" borderId="0" xfId="0" applyFont="1" applyFill="1"/>
    <xf numFmtId="0" fontId="33" fillId="5" borderId="0" xfId="0" applyFont="1" applyFill="1"/>
    <xf numFmtId="0" fontId="34" fillId="5" borderId="0" xfId="0" applyFont="1" applyFill="1" applyAlignment="1">
      <alignment horizontal="center"/>
    </xf>
    <xf numFmtId="3" fontId="26" fillId="5" borderId="0" xfId="0" applyNumberFormat="1" applyFont="1" applyFill="1"/>
    <xf numFmtId="0" fontId="26" fillId="5" borderId="0" xfId="0" applyFont="1" applyFill="1" applyAlignment="1">
      <alignment horizontal="center"/>
    </xf>
    <xf numFmtId="2" fontId="25" fillId="6" borderId="0" xfId="0" applyNumberFormat="1" applyFont="1" applyFill="1" applyAlignment="1">
      <alignment horizontal="center"/>
    </xf>
    <xf numFmtId="2" fontId="26" fillId="0" borderId="0" xfId="0" applyNumberFormat="1" applyFont="1"/>
    <xf numFmtId="166" fontId="0" fillId="0" borderId="0" xfId="0" applyNumberFormat="1"/>
    <xf numFmtId="166" fontId="26" fillId="0" borderId="0" xfId="0" applyNumberFormat="1" applyFont="1"/>
    <xf numFmtId="2" fontId="31" fillId="13" borderId="6" xfId="0" applyNumberFormat="1" applyFont="1" applyFill="1" applyBorder="1" applyAlignment="1">
      <alignment horizontal="center"/>
    </xf>
    <xf numFmtId="0" fontId="15" fillId="7" borderId="0" xfId="0" applyFont="1" applyFill="1"/>
    <xf numFmtId="0" fontId="2" fillId="7" borderId="0" xfId="0" applyFont="1" applyFill="1"/>
    <xf numFmtId="0" fontId="5" fillId="7" borderId="0" xfId="0" applyFont="1" applyFill="1"/>
    <xf numFmtId="0" fontId="20" fillId="7" borderId="0" xfId="0" applyFont="1" applyFill="1"/>
    <xf numFmtId="0" fontId="21" fillId="7" borderId="0" xfId="0" applyFont="1" applyFill="1"/>
    <xf numFmtId="0" fontId="22" fillId="7" borderId="0" xfId="0" applyFont="1" applyFill="1"/>
    <xf numFmtId="0" fontId="23" fillId="7" borderId="0" xfId="0" applyFont="1" applyFill="1"/>
    <xf numFmtId="0" fontId="16" fillId="7" borderId="0" xfId="0" applyFont="1" applyFill="1"/>
    <xf numFmtId="3" fontId="9" fillId="2" borderId="1" xfId="0" applyNumberFormat="1" applyFont="1" applyFill="1" applyBorder="1" applyProtection="1">
      <protection hidden="1"/>
    </xf>
    <xf numFmtId="164" fontId="9" fillId="2" borderId="1" xfId="0" applyNumberFormat="1" applyFont="1" applyFill="1" applyBorder="1" applyProtection="1">
      <protection hidden="1"/>
    </xf>
    <xf numFmtId="165" fontId="9" fillId="2" borderId="1" xfId="0" applyNumberFormat="1" applyFont="1" applyFill="1" applyBorder="1" applyProtection="1">
      <protection hidden="1"/>
    </xf>
    <xf numFmtId="3" fontId="14" fillId="8" borderId="1" xfId="0" applyNumberFormat="1" applyFont="1" applyFill="1" applyBorder="1" applyAlignment="1" applyProtection="1">
      <alignment wrapText="1"/>
      <protection hidden="1"/>
    </xf>
    <xf numFmtId="3" fontId="14" fillId="8" borderId="1" xfId="0" applyNumberFormat="1" applyFont="1" applyFill="1" applyBorder="1" applyAlignment="1" applyProtection="1">
      <alignment horizontal="center" wrapText="1"/>
      <protection hidden="1"/>
    </xf>
    <xf numFmtId="0" fontId="13" fillId="11" borderId="0" xfId="0" applyFont="1" applyFill="1" applyProtection="1">
      <protection hidden="1"/>
    </xf>
    <xf numFmtId="0" fontId="2" fillId="10" borderId="0" xfId="0" applyFont="1" applyFill="1" applyProtection="1">
      <protection locked="0" hidden="1"/>
    </xf>
    <xf numFmtId="0" fontId="2" fillId="10" borderId="0" xfId="0" applyFont="1" applyFill="1" applyProtection="1">
      <protection hidden="1"/>
    </xf>
    <xf numFmtId="0" fontId="2" fillId="0" borderId="0" xfId="0" applyFont="1" applyProtection="1">
      <protection hidden="1"/>
    </xf>
    <xf numFmtId="0" fontId="8" fillId="4" borderId="0" xfId="0" applyFont="1" applyFill="1" applyAlignment="1" applyProtection="1">
      <alignment horizontal="center"/>
      <protection hidden="1"/>
    </xf>
    <xf numFmtId="0" fontId="2" fillId="3" borderId="0" xfId="0" applyFont="1" applyFill="1" applyAlignment="1" applyProtection="1">
      <alignment horizontal="center"/>
      <protection hidden="1"/>
    </xf>
    <xf numFmtId="0" fontId="2" fillId="3" borderId="0" xfId="0" applyFont="1" applyFill="1" applyProtection="1">
      <protection hidden="1"/>
    </xf>
    <xf numFmtId="9" fontId="2" fillId="3" borderId="0" xfId="1" applyFont="1" applyFill="1" applyBorder="1" applyProtection="1">
      <protection hidden="1"/>
    </xf>
    <xf numFmtId="1" fontId="2" fillId="3" borderId="0" xfId="1" applyNumberFormat="1" applyFont="1" applyFill="1" applyBorder="1" applyAlignment="1" applyProtection="1">
      <alignment horizontal="center"/>
      <protection hidden="1"/>
    </xf>
    <xf numFmtId="165" fontId="32" fillId="14" borderId="7" xfId="0" applyNumberFormat="1" applyFont="1" applyFill="1" applyBorder="1" applyAlignment="1" applyProtection="1">
      <alignment horizontal="center"/>
      <protection locked="0"/>
    </xf>
    <xf numFmtId="3" fontId="32" fillId="14" borderId="7" xfId="0" applyNumberFormat="1" applyFont="1" applyFill="1" applyBorder="1" applyAlignment="1" applyProtection="1">
      <alignment horizontal="center"/>
      <protection locked="0"/>
    </xf>
    <xf numFmtId="0" fontId="18" fillId="9" borderId="0" xfId="0" applyFont="1" applyFill="1" applyAlignment="1">
      <alignment horizontal="center" vertical="center"/>
    </xf>
    <xf numFmtId="0" fontId="2" fillId="9" borderId="0" xfId="0" applyFont="1" applyFill="1"/>
    <xf numFmtId="0" fontId="19" fillId="7" borderId="0" xfId="0" applyFont="1" applyFill="1" applyAlignment="1">
      <alignment horizontal="center"/>
    </xf>
    <xf numFmtId="0" fontId="2" fillId="7" borderId="0" xfId="0" applyFont="1" applyFill="1"/>
    <xf numFmtId="0" fontId="2" fillId="7" borderId="0" xfId="0" applyFont="1" applyFill="1" applyAlignment="1">
      <alignment horizontal="center"/>
    </xf>
    <xf numFmtId="0" fontId="17" fillId="9" borderId="0" xfId="0" applyFont="1" applyFill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2" fillId="5" borderId="2" xfId="0" applyFont="1" applyFill="1" applyBorder="1" applyAlignment="1" applyProtection="1">
      <alignment horizontal="center" vertical="center"/>
      <protection locked="0"/>
    </xf>
    <xf numFmtId="0" fontId="2" fillId="5" borderId="3" xfId="0" applyFont="1" applyFill="1" applyBorder="1" applyAlignment="1" applyProtection="1">
      <alignment horizontal="center" vertical="center"/>
      <protection locked="0"/>
    </xf>
    <xf numFmtId="0" fontId="2" fillId="5" borderId="4" xfId="0" applyFont="1" applyFill="1" applyBorder="1" applyAlignment="1" applyProtection="1">
      <alignment horizontal="center" vertical="center"/>
      <protection locked="0"/>
    </xf>
    <xf numFmtId="14" fontId="2" fillId="5" borderId="2" xfId="0" applyNumberFormat="1" applyFont="1" applyFill="1" applyBorder="1" applyAlignment="1" applyProtection="1">
      <alignment horizontal="center" vertical="center"/>
      <protection locked="0"/>
    </xf>
    <xf numFmtId="3" fontId="2" fillId="5" borderId="2" xfId="0" applyNumberFormat="1" applyFont="1" applyFill="1" applyBorder="1" applyAlignment="1" applyProtection="1">
      <alignment horizontal="center" vertical="center"/>
      <protection locked="0"/>
    </xf>
    <xf numFmtId="3" fontId="2" fillId="5" borderId="3" xfId="0" applyNumberFormat="1" applyFont="1" applyFill="1" applyBorder="1" applyAlignment="1" applyProtection="1">
      <alignment horizontal="center" vertical="center"/>
      <protection locked="0"/>
    </xf>
    <xf numFmtId="3" fontId="2" fillId="5" borderId="4" xfId="0" applyNumberFormat="1" applyFont="1" applyFill="1" applyBorder="1" applyAlignment="1" applyProtection="1">
      <alignment horizontal="center" vertical="center"/>
      <protection locked="0"/>
    </xf>
    <xf numFmtId="1" fontId="26" fillId="7" borderId="0" xfId="0" applyNumberFormat="1" applyFont="1" applyFill="1" applyAlignment="1" applyProtection="1">
      <alignment horizontal="center"/>
      <protection hidden="1"/>
    </xf>
    <xf numFmtId="0" fontId="26" fillId="7" borderId="0" xfId="0" applyFont="1" applyFill="1" applyAlignment="1" applyProtection="1">
      <alignment horizontal="center"/>
      <protection hidden="1"/>
    </xf>
    <xf numFmtId="0" fontId="24" fillId="6" borderId="0" xfId="0" applyFont="1" applyFill="1" applyAlignment="1">
      <alignment horizontal="center"/>
    </xf>
    <xf numFmtId="0" fontId="26" fillId="7" borderId="0" xfId="0" applyFont="1" applyFill="1" applyAlignment="1" applyProtection="1">
      <alignment horizontal="center"/>
      <protection locked="0" hidden="1"/>
    </xf>
    <xf numFmtId="14" fontId="26" fillId="7" borderId="0" xfId="0" applyNumberFormat="1" applyFont="1" applyFill="1" applyAlignment="1" applyProtection="1">
      <alignment horizontal="center"/>
      <protection locked="0" hidden="1"/>
    </xf>
    <xf numFmtId="0" fontId="13" fillId="6" borderId="0" xfId="0" applyFont="1" applyFill="1" applyAlignment="1">
      <alignment horizontal="center"/>
    </xf>
    <xf numFmtId="0" fontId="29" fillId="15" borderId="0" xfId="0" applyFont="1" applyFill="1" applyAlignment="1">
      <alignment horizontal="left" vertical="center" indent="1"/>
    </xf>
    <xf numFmtId="0" fontId="31" fillId="13" borderId="8" xfId="0" applyFont="1" applyFill="1" applyBorder="1" applyAlignment="1">
      <alignment horizontal="left" vertical="center"/>
    </xf>
    <xf numFmtId="0" fontId="31" fillId="13" borderId="9" xfId="0" applyFont="1" applyFill="1" applyBorder="1" applyAlignment="1">
      <alignment horizontal="left" vertical="center"/>
    </xf>
    <xf numFmtId="0" fontId="31" fillId="13" borderId="10" xfId="0" applyFont="1" applyFill="1" applyBorder="1" applyAlignment="1">
      <alignment horizontal="left" vertical="center"/>
    </xf>
    <xf numFmtId="0" fontId="30" fillId="12" borderId="0" xfId="0" applyFont="1" applyFill="1" applyAlignment="1">
      <alignment horizontal="left" vertical="center" indent="1"/>
    </xf>
  </cellXfs>
  <cellStyles count="2">
    <cellStyle name="Normal" xfId="0" builtinId="0"/>
    <cellStyle name="Porcentagem" xfId="1" builtinId="5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numFmt numFmtId="166" formatCode="m/d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theme="7" tint="0.39994506668294322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D6D6"/>
          <bgColor rgb="FFFFD6D6"/>
        </patternFill>
      </fill>
    </dxf>
    <dxf>
      <fill>
        <patternFill patternType="solid">
          <fgColor rgb="FFD4EDDA"/>
          <bgColor rgb="FFD4EDDA"/>
        </patternFill>
      </fill>
    </dxf>
    <dxf>
      <numFmt numFmtId="3" formatCode="#,##0"/>
    </dxf>
    <dxf>
      <numFmt numFmtId="166" formatCode="m/d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16678C"/>
      <color rgb="FFD49F00"/>
      <color rgb="FF196F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title>
      <c:tx>
        <c:rich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pt-BR">
                <a:latin typeface="Arial" panose="020B0604020202020204" pitchFamily="34" charset="0"/>
                <a:cs typeface="Arial" panose="020B0604020202020204" pitchFamily="34" charset="0"/>
              </a:rPr>
              <a:t>Curva Prática vs. Manual da Linhagem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10530354239363"/>
          <c:y val="0.20179905429849893"/>
          <c:w val="0.61473628441456429"/>
          <c:h val="0.64439592523245848"/>
        </c:manualLayout>
      </c:layout>
      <c:lineChart>
        <c:grouping val="standard"/>
        <c:varyColors val="0"/>
        <c:ser>
          <c:idx val="0"/>
          <c:order val="0"/>
          <c:tx>
            <c:strRef>
              <c:f>'PAINEL DE CONTROLE'!$G$4</c:f>
              <c:strCache>
                <c:ptCount val="1"/>
                <c:pt idx="0">
                  <c:v>Peso Médio Real (g)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'PAINEL DE CONTROLE'!$F$5:$F$20</c:f>
              <c:numCache>
                <c:formatCode>General</c:formatCode>
                <c:ptCount val="16"/>
                <c:pt idx="0">
                  <c:v>7</c:v>
                </c:pt>
                <c:pt idx="1">
                  <c:v>14</c:v>
                </c:pt>
                <c:pt idx="2">
                  <c:v>21</c:v>
                </c:pt>
                <c:pt idx="3">
                  <c:v>28</c:v>
                </c:pt>
                <c:pt idx="4">
                  <c:v>35</c:v>
                </c:pt>
                <c:pt idx="5">
                  <c:v>42</c:v>
                </c:pt>
                <c:pt idx="6">
                  <c:v>49</c:v>
                </c:pt>
                <c:pt idx="7">
                  <c:v>56</c:v>
                </c:pt>
                <c:pt idx="8">
                  <c:v>63</c:v>
                </c:pt>
                <c:pt idx="9">
                  <c:v>70</c:v>
                </c:pt>
                <c:pt idx="10">
                  <c:v>77</c:v>
                </c:pt>
                <c:pt idx="11">
                  <c:v>84</c:v>
                </c:pt>
                <c:pt idx="12">
                  <c:v>91</c:v>
                </c:pt>
                <c:pt idx="13">
                  <c:v>98</c:v>
                </c:pt>
                <c:pt idx="14">
                  <c:v>105</c:v>
                </c:pt>
                <c:pt idx="15">
                  <c:v>112</c:v>
                </c:pt>
              </c:numCache>
            </c:numRef>
          </c:cat>
          <c:val>
            <c:numRef>
              <c:f>'PAINEL DE CONTROLE'!$G$5:$G$20</c:f>
              <c:numCache>
                <c:formatCode>General</c:formatCode>
                <c:ptCount val="16"/>
                <c:pt idx="0">
                  <c:v>68.400000000000006</c:v>
                </c:pt>
                <c:pt idx="1">
                  <c:v>116.2</c:v>
                </c:pt>
                <c:pt idx="2">
                  <c:v>186</c:v>
                </c:pt>
                <c:pt idx="3">
                  <c:v>279.5</c:v>
                </c:pt>
                <c:pt idx="4">
                  <c:v>371</c:v>
                </c:pt>
                <c:pt idx="5">
                  <c:v>455.2</c:v>
                </c:pt>
                <c:pt idx="6">
                  <c:v>538</c:v>
                </c:pt>
                <c:pt idx="7">
                  <c:v>615.4</c:v>
                </c:pt>
                <c:pt idx="8">
                  <c:v>702.1</c:v>
                </c:pt>
                <c:pt idx="9">
                  <c:v>810.5</c:v>
                </c:pt>
                <c:pt idx="10">
                  <c:v>912</c:v>
                </c:pt>
                <c:pt idx="11">
                  <c:v>1015.4</c:v>
                </c:pt>
                <c:pt idx="12">
                  <c:v>1110.2</c:v>
                </c:pt>
                <c:pt idx="13">
                  <c:v>1198</c:v>
                </c:pt>
                <c:pt idx="14">
                  <c:v>1282.5</c:v>
                </c:pt>
                <c:pt idx="15">
                  <c:v>1365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68-1142-A5AD-852F099D009A}"/>
            </c:ext>
          </c:extLst>
        </c:ser>
        <c:ser>
          <c:idx val="1"/>
          <c:order val="1"/>
          <c:tx>
            <c:strRef>
              <c:f>'PAINEL DE CONTROLE'!$H$4</c:f>
              <c:strCache>
                <c:ptCount val="1"/>
                <c:pt idx="0">
                  <c:v>Peso Alvo Manual (g)</c:v>
                </c:pt>
              </c:strCache>
            </c:strRef>
          </c:tx>
          <c:spPr>
            <a:ln w="12700">
              <a:solidFill>
                <a:schemeClr val="accent2"/>
              </a:solidFill>
              <a:prstDash val="sysDash"/>
            </a:ln>
          </c:spPr>
          <c:marker>
            <c:symbol val="none"/>
          </c:marker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0-97C8-734C-B1EB-A817B564C706}"/>
              </c:ext>
            </c:extLst>
          </c:dPt>
          <c:cat>
            <c:numRef>
              <c:f>'PAINEL DE CONTROLE'!$F$5:$F$20</c:f>
              <c:numCache>
                <c:formatCode>General</c:formatCode>
                <c:ptCount val="16"/>
                <c:pt idx="0">
                  <c:v>7</c:v>
                </c:pt>
                <c:pt idx="1">
                  <c:v>14</c:v>
                </c:pt>
                <c:pt idx="2">
                  <c:v>21</c:v>
                </c:pt>
                <c:pt idx="3">
                  <c:v>28</c:v>
                </c:pt>
                <c:pt idx="4">
                  <c:v>35</c:v>
                </c:pt>
                <c:pt idx="5">
                  <c:v>42</c:v>
                </c:pt>
                <c:pt idx="6">
                  <c:v>49</c:v>
                </c:pt>
                <c:pt idx="7">
                  <c:v>56</c:v>
                </c:pt>
                <c:pt idx="8">
                  <c:v>63</c:v>
                </c:pt>
                <c:pt idx="9">
                  <c:v>70</c:v>
                </c:pt>
                <c:pt idx="10">
                  <c:v>77</c:v>
                </c:pt>
                <c:pt idx="11">
                  <c:v>84</c:v>
                </c:pt>
                <c:pt idx="12">
                  <c:v>91</c:v>
                </c:pt>
                <c:pt idx="13">
                  <c:v>98</c:v>
                </c:pt>
                <c:pt idx="14">
                  <c:v>105</c:v>
                </c:pt>
                <c:pt idx="15">
                  <c:v>112</c:v>
                </c:pt>
              </c:numCache>
            </c:numRef>
          </c:cat>
          <c:val>
            <c:numRef>
              <c:f>'PAINEL DE CONTROLE'!$H$5:$H$20</c:f>
              <c:numCache>
                <c:formatCode>General</c:formatCode>
                <c:ptCount val="16"/>
                <c:pt idx="0">
                  <c:v>68</c:v>
                </c:pt>
                <c:pt idx="1">
                  <c:v>115</c:v>
                </c:pt>
                <c:pt idx="2">
                  <c:v>185</c:v>
                </c:pt>
                <c:pt idx="3">
                  <c:v>278</c:v>
                </c:pt>
                <c:pt idx="4">
                  <c:v>372</c:v>
                </c:pt>
                <c:pt idx="5">
                  <c:v>482</c:v>
                </c:pt>
                <c:pt idx="6">
                  <c:v>585</c:v>
                </c:pt>
                <c:pt idx="7">
                  <c:v>678</c:v>
                </c:pt>
                <c:pt idx="8">
                  <c:v>770</c:v>
                </c:pt>
                <c:pt idx="9">
                  <c:v>870</c:v>
                </c:pt>
                <c:pt idx="10">
                  <c:v>960</c:v>
                </c:pt>
                <c:pt idx="11">
                  <c:v>1055</c:v>
                </c:pt>
                <c:pt idx="12">
                  <c:v>1145</c:v>
                </c:pt>
                <c:pt idx="13">
                  <c:v>1222</c:v>
                </c:pt>
                <c:pt idx="14">
                  <c:v>1305</c:v>
                </c:pt>
                <c:pt idx="15">
                  <c:v>1388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68-1142-A5AD-852F099D0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Idade (Dias)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Peso Corporal (g)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1959917423315"/>
          <c:y val="0.50567071816191167"/>
          <c:w val="0.27804008257668489"/>
          <c:h val="0.14572054203294088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101600</xdr:colOff>
      <xdr:row>1</xdr:row>
      <xdr:rowOff>165100</xdr:rowOff>
    </xdr:from>
    <xdr:to>
      <xdr:col>7</xdr:col>
      <xdr:colOff>473528</xdr:colOff>
      <xdr:row>2</xdr:row>
      <xdr:rowOff>201676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8185039-10CE-9248-8FAC-BED224D0BA03}"/>
            </a:ext>
          </a:extLst>
        </xdr:cNvPr>
        <xdr:cNvGrpSpPr/>
      </xdr:nvGrpSpPr>
      <xdr:grpSpPr>
        <a:xfrm>
          <a:off x="12242800" y="393700"/>
          <a:ext cx="371928" cy="265176"/>
          <a:chOff x="1932215" y="2367642"/>
          <a:chExt cx="371928" cy="263071"/>
        </a:xfrm>
      </xdr:grpSpPr>
      <xdr:sp macro="[0]!VoltarParaConfiguracoes" textlink="">
        <xdr:nvSpPr>
          <xdr:cNvPr id="3" name="Retângulo Arredondado 2">
            <a:extLst>
              <a:ext uri="{FF2B5EF4-FFF2-40B4-BE49-F238E27FC236}">
                <a16:creationId xmlns:a16="http://schemas.microsoft.com/office/drawing/2014/main" id="{F84EF881-C254-3D0F-27BB-060187109450}"/>
              </a:ext>
            </a:extLst>
          </xdr:cNvPr>
          <xdr:cNvSpPr/>
        </xdr:nvSpPr>
        <xdr:spPr>
          <a:xfrm>
            <a:off x="1932215" y="2367642"/>
            <a:ext cx="371928" cy="263071"/>
          </a:xfrm>
          <a:prstGeom prst="roundRect">
            <a:avLst/>
          </a:prstGeom>
          <a:solidFill>
            <a:schemeClr val="accent2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reflection blurRad="6350" stA="52000" endA="300" endPos="3500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        </a:t>
            </a:r>
          </a:p>
        </xdr:txBody>
      </xdr:sp>
      <xdr:sp macro="[0]!VoltarParaConfiguracoes" textlink="">
        <xdr:nvSpPr>
          <xdr:cNvPr id="4" name="Seta para a Esquerda 3">
            <a:extLst>
              <a:ext uri="{FF2B5EF4-FFF2-40B4-BE49-F238E27FC236}">
                <a16:creationId xmlns:a16="http://schemas.microsoft.com/office/drawing/2014/main" id="{6D359776-3A66-BFCF-ED38-68234CE5886D}"/>
              </a:ext>
            </a:extLst>
          </xdr:cNvPr>
          <xdr:cNvSpPr/>
        </xdr:nvSpPr>
        <xdr:spPr>
          <a:xfrm>
            <a:off x="2004786" y="2422072"/>
            <a:ext cx="199571" cy="163285"/>
          </a:xfrm>
          <a:prstGeom prst="lef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 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235858</xdr:colOff>
      <xdr:row>1</xdr:row>
      <xdr:rowOff>99783</xdr:rowOff>
    </xdr:from>
    <xdr:to>
      <xdr:col>6</xdr:col>
      <xdr:colOff>607786</xdr:colOff>
      <xdr:row>2</xdr:row>
      <xdr:rowOff>165387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59EF1D83-80FD-1A01-6721-DACDD0EA8F35}"/>
            </a:ext>
          </a:extLst>
        </xdr:cNvPr>
        <xdr:cNvGrpSpPr/>
      </xdr:nvGrpSpPr>
      <xdr:grpSpPr>
        <a:xfrm>
          <a:off x="6848929" y="299354"/>
          <a:ext cx="371928" cy="265176"/>
          <a:chOff x="1932215" y="2367642"/>
          <a:chExt cx="371928" cy="263071"/>
        </a:xfrm>
      </xdr:grpSpPr>
      <xdr:sp macro="[0]!VoltarParaConfiguracoes" textlink="">
        <xdr:nvSpPr>
          <xdr:cNvPr id="2" name="Retângulo Arredondado 1">
            <a:extLst>
              <a:ext uri="{FF2B5EF4-FFF2-40B4-BE49-F238E27FC236}">
                <a16:creationId xmlns:a16="http://schemas.microsoft.com/office/drawing/2014/main" id="{C6C33928-F5A9-ED11-B6BB-16F87E4EC4F0}"/>
              </a:ext>
            </a:extLst>
          </xdr:cNvPr>
          <xdr:cNvSpPr/>
        </xdr:nvSpPr>
        <xdr:spPr>
          <a:xfrm>
            <a:off x="1932215" y="2367642"/>
            <a:ext cx="371928" cy="263071"/>
          </a:xfrm>
          <a:prstGeom prst="roundRect">
            <a:avLst/>
          </a:prstGeom>
          <a:solidFill>
            <a:schemeClr val="accent2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reflection blurRad="6350" stA="52000" endA="300" endPos="3500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        </a:t>
            </a:r>
          </a:p>
        </xdr:txBody>
      </xdr:sp>
      <xdr:sp macro="[0]!VoltarParaConfiguracoes" textlink="">
        <xdr:nvSpPr>
          <xdr:cNvPr id="3" name="Seta para a Esquerda 2">
            <a:extLst>
              <a:ext uri="{FF2B5EF4-FFF2-40B4-BE49-F238E27FC236}">
                <a16:creationId xmlns:a16="http://schemas.microsoft.com/office/drawing/2014/main" id="{B4020ECD-3ACF-CBDC-EB6A-59EF5055007D}"/>
              </a:ext>
            </a:extLst>
          </xdr:cNvPr>
          <xdr:cNvSpPr/>
        </xdr:nvSpPr>
        <xdr:spPr>
          <a:xfrm>
            <a:off x="2004786" y="2422072"/>
            <a:ext cx="199571" cy="163286"/>
          </a:xfrm>
          <a:prstGeom prst="lef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508000</xdr:colOff>
      <xdr:row>5</xdr:row>
      <xdr:rowOff>114300</xdr:rowOff>
    </xdr:from>
    <xdr:to>
      <xdr:col>5</xdr:col>
      <xdr:colOff>250952</xdr:colOff>
      <xdr:row>7</xdr:row>
      <xdr:rowOff>110236</xdr:rowOff>
    </xdr:to>
    <xdr:sp macro="[0]!IrParaNovoLote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38C9DC1-3D93-99D8-056F-8C5B3DFC1F6C}"/>
            </a:ext>
          </a:extLst>
        </xdr:cNvPr>
        <xdr:cNvSpPr>
          <a:spLocks/>
        </xdr:cNvSpPr>
      </xdr:nvSpPr>
      <xdr:spPr>
        <a:xfrm>
          <a:off x="1422400" y="1282700"/>
          <a:ext cx="3044952" cy="402336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CADASTRAR</a:t>
          </a:r>
          <a:r>
            <a:rPr lang="pt-BR" sz="1200" b="1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LOTE</a:t>
          </a:r>
          <a:endParaRPr lang="pt-BR" sz="1200" b="1">
            <a:solidFill>
              <a:schemeClr val="bg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495300</xdr:colOff>
      <xdr:row>9</xdr:row>
      <xdr:rowOff>4064</xdr:rowOff>
    </xdr:from>
    <xdr:to>
      <xdr:col>5</xdr:col>
      <xdr:colOff>238252</xdr:colOff>
      <xdr:row>11</xdr:row>
      <xdr:rowOff>0</xdr:rowOff>
    </xdr:to>
    <xdr:sp macro="[0]!IrParaNovaColeta" textlink="">
      <xdr:nvSpPr>
        <xdr:cNvPr id="4" name="Retângulo Arredondado 3">
          <a:extLst>
            <a:ext uri="{FF2B5EF4-FFF2-40B4-BE49-F238E27FC236}">
              <a16:creationId xmlns:a16="http://schemas.microsoft.com/office/drawing/2014/main" id="{C30AB0AD-737A-D04E-B651-2C651A3657C0}"/>
            </a:ext>
          </a:extLst>
        </xdr:cNvPr>
        <xdr:cNvSpPr/>
      </xdr:nvSpPr>
      <xdr:spPr>
        <a:xfrm>
          <a:off x="1409700" y="1985264"/>
          <a:ext cx="3044952" cy="402336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REGISTRAR</a:t>
          </a:r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PESAGEM</a:t>
          </a:r>
        </a:p>
      </xdr:txBody>
    </xdr:sp>
    <xdr:clientData/>
  </xdr:twoCellAnchor>
  <xdr:twoCellAnchor>
    <xdr:from>
      <xdr:col>1</xdr:col>
      <xdr:colOff>495300</xdr:colOff>
      <xdr:row>16</xdr:row>
      <xdr:rowOff>12700</xdr:rowOff>
    </xdr:from>
    <xdr:to>
      <xdr:col>5</xdr:col>
      <xdr:colOff>238252</xdr:colOff>
      <xdr:row>18</xdr:row>
      <xdr:rowOff>8636</xdr:rowOff>
    </xdr:to>
    <xdr:sp macro="[0]!IrParaHistoricoGeral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F373AA9C-FEB9-4843-8DEB-F0312B245DFC}"/>
            </a:ext>
          </a:extLst>
        </xdr:cNvPr>
        <xdr:cNvSpPr/>
      </xdr:nvSpPr>
      <xdr:spPr>
        <a:xfrm>
          <a:off x="1409700" y="3416300"/>
          <a:ext cx="3044952" cy="402336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HISTÓRICO GERAL</a:t>
          </a:r>
        </a:p>
      </xdr:txBody>
    </xdr:sp>
    <xdr:clientData/>
  </xdr:twoCellAnchor>
  <xdr:twoCellAnchor>
    <xdr:from>
      <xdr:col>1</xdr:col>
      <xdr:colOff>482600</xdr:colOff>
      <xdr:row>12</xdr:row>
      <xdr:rowOff>139700</xdr:rowOff>
    </xdr:from>
    <xdr:to>
      <xdr:col>5</xdr:col>
      <xdr:colOff>228600</xdr:colOff>
      <xdr:row>14</xdr:row>
      <xdr:rowOff>139700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ECB66CF-C85D-0F48-1E41-814FB1DC98BD}"/>
            </a:ext>
          </a:extLst>
        </xdr:cNvPr>
        <xdr:cNvGrpSpPr/>
      </xdr:nvGrpSpPr>
      <xdr:grpSpPr>
        <a:xfrm>
          <a:off x="1397000" y="2730500"/>
          <a:ext cx="3048000" cy="406400"/>
          <a:chOff x="1714500" y="3365500"/>
          <a:chExt cx="3098800" cy="558800"/>
        </a:xfrm>
        <a:effectLst>
          <a:outerShdw blurRad="50800" dist="38100" dir="10800000" algn="r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[0]!IrParaPainelControle" textlink="">
        <xdr:nvSpPr>
          <xdr:cNvPr id="3" name="Retângulo Arredondado 2">
            <a:extLst>
              <a:ext uri="{FF2B5EF4-FFF2-40B4-BE49-F238E27FC236}">
                <a16:creationId xmlns:a16="http://schemas.microsoft.com/office/drawing/2014/main" id="{50891FDF-829B-DC4E-BAA7-A79E19B9A7F1}"/>
              </a:ext>
            </a:extLst>
          </xdr:cNvPr>
          <xdr:cNvSpPr/>
        </xdr:nvSpPr>
        <xdr:spPr>
          <a:xfrm>
            <a:off x="1714500" y="3365500"/>
            <a:ext cx="3098800" cy="5588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PAINEL DE CONTROLE</a:t>
            </a:r>
          </a:p>
        </xdr:txBody>
      </xdr:sp>
      <xdr:pic>
        <xdr:nvPicPr>
          <xdr:cNvPr id="8" name="Gráfico 7" descr="Tendência ascendente com preenchimento sólido">
            <a:extLst>
              <a:ext uri="{FF2B5EF4-FFF2-40B4-BE49-F238E27FC236}">
                <a16:creationId xmlns:a16="http://schemas.microsoft.com/office/drawing/2014/main" id="{C34F02DC-9DDE-BF8D-9330-B6B7C63D50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17700" y="3416300"/>
            <a:ext cx="431800" cy="4572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469900</xdr:colOff>
      <xdr:row>19</xdr:row>
      <xdr:rowOff>127000</xdr:rowOff>
    </xdr:from>
    <xdr:to>
      <xdr:col>5</xdr:col>
      <xdr:colOff>212852</xdr:colOff>
      <xdr:row>21</xdr:row>
      <xdr:rowOff>152400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4BFC7F2C-A3A4-D2C3-C931-9AA458931C97}"/>
            </a:ext>
          </a:extLst>
        </xdr:cNvPr>
        <xdr:cNvGrpSpPr/>
      </xdr:nvGrpSpPr>
      <xdr:grpSpPr>
        <a:xfrm>
          <a:off x="1384300" y="4140200"/>
          <a:ext cx="3044952" cy="431800"/>
          <a:chOff x="2070100" y="4610100"/>
          <a:chExt cx="3044952" cy="431800"/>
        </a:xfrm>
        <a:effectLst>
          <a:outerShdw blurRad="50800" dist="38100" dir="10800000" algn="r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[0]!IrParaConfiguracoes" textlink="">
        <xdr:nvSpPr>
          <xdr:cNvPr id="6" name="Retângulo Arredondado 5">
            <a:extLst>
              <a:ext uri="{FF2B5EF4-FFF2-40B4-BE49-F238E27FC236}">
                <a16:creationId xmlns:a16="http://schemas.microsoft.com/office/drawing/2014/main" id="{57F99286-974A-6F40-9768-7FB68979F0D7}"/>
              </a:ext>
            </a:extLst>
          </xdr:cNvPr>
          <xdr:cNvSpPr/>
        </xdr:nvSpPr>
        <xdr:spPr>
          <a:xfrm>
            <a:off x="2070100" y="4622800"/>
            <a:ext cx="3044952" cy="402336"/>
          </a:xfrm>
          <a:prstGeom prst="roundRect">
            <a:avLst/>
          </a:prstGeom>
          <a:solidFill>
            <a:srgbClr val="16678C"/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CONFIGURAÇÕES</a:t>
            </a:r>
          </a:p>
        </xdr:txBody>
      </xdr:sp>
      <xdr:pic>
        <xdr:nvPicPr>
          <xdr:cNvPr id="10" name="Gráfico 9" descr="Engrenagem única com preenchimento sólido">
            <a:extLst>
              <a:ext uri="{FF2B5EF4-FFF2-40B4-BE49-F238E27FC236}">
                <a16:creationId xmlns:a16="http://schemas.microsoft.com/office/drawing/2014/main" id="{A435BC71-9CAB-07E5-43F2-2BA5C8E6FA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451100" y="4610100"/>
            <a:ext cx="431800" cy="431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12700</xdr:colOff>
      <xdr:row>23</xdr:row>
      <xdr:rowOff>114300</xdr:rowOff>
    </xdr:from>
    <xdr:to>
      <xdr:col>5</xdr:col>
      <xdr:colOff>800100</xdr:colOff>
      <xdr:row>25</xdr:row>
      <xdr:rowOff>165100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54B56577-BAD2-3EAB-C98C-13AD01593D79}"/>
            </a:ext>
          </a:extLst>
        </xdr:cNvPr>
        <xdr:cNvSpPr txBox="1"/>
      </xdr:nvSpPr>
      <xdr:spPr>
        <a:xfrm>
          <a:off x="927100" y="4965700"/>
          <a:ext cx="4089400" cy="457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  <a:latin typeface="+mn-lt"/>
            </a:rPr>
            <a:t>Sistema de Gestão &amp; Uniformidade Avícola • Desenvolvido por Rafael Ferreira • Suporte/Contato: (31)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</a:rPr>
            <a:t> 990856678  / ferreirafaelfer@gmail.com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  <a:latin typeface="+mn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11</xdr:row>
      <xdr:rowOff>152400</xdr:rowOff>
    </xdr:from>
    <xdr:to>
      <xdr:col>7</xdr:col>
      <xdr:colOff>800100</xdr:colOff>
      <xdr:row>14</xdr:row>
      <xdr:rowOff>76200</xdr:rowOff>
    </xdr:to>
    <xdr:sp macro="[0]!SalvarNovoLote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49377EE-4BEA-C641-9FBB-6317B2EFCC33}"/>
            </a:ext>
          </a:extLst>
        </xdr:cNvPr>
        <xdr:cNvSpPr/>
      </xdr:nvSpPr>
      <xdr:spPr>
        <a:xfrm>
          <a:off x="5041900" y="4292600"/>
          <a:ext cx="1536700" cy="53340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SALVAR LOTE</a:t>
          </a:r>
        </a:p>
      </xdr:txBody>
    </xdr:sp>
    <xdr:clientData/>
  </xdr:twoCellAnchor>
  <xdr:twoCellAnchor>
    <xdr:from>
      <xdr:col>9</xdr:col>
      <xdr:colOff>215900</xdr:colOff>
      <xdr:row>0</xdr:row>
      <xdr:rowOff>127000</xdr:rowOff>
    </xdr:from>
    <xdr:to>
      <xdr:col>11</xdr:col>
      <xdr:colOff>76200</xdr:colOff>
      <xdr:row>2</xdr:row>
      <xdr:rowOff>38100</xdr:rowOff>
    </xdr:to>
    <xdr:sp macro="[0]!Ajuda_NovoLote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59E437F4-ED51-6F46-8F00-4BEB33B6990A}"/>
            </a:ext>
          </a:extLst>
        </xdr:cNvPr>
        <xdr:cNvSpPr/>
      </xdr:nvSpPr>
      <xdr:spPr>
        <a:xfrm>
          <a:off x="7645400" y="127000"/>
          <a:ext cx="1511300" cy="3175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chemeClr val="accent2"/>
              </a:solidFill>
              <a:latin typeface="Arial" panose="020B0604020202020204" pitchFamily="34" charset="0"/>
              <a:cs typeface="Arial" panose="020B0604020202020204" pitchFamily="34" charset="0"/>
            </a:rPr>
            <a:t>ℹ️ GUIA DE TELA</a:t>
          </a:r>
        </a:p>
      </xdr:txBody>
    </xdr:sp>
    <xdr:clientData/>
  </xdr:twoCellAnchor>
  <xdr:twoCellAnchor editAs="oneCell">
    <xdr:from>
      <xdr:col>0</xdr:col>
      <xdr:colOff>342900</xdr:colOff>
      <xdr:row>1</xdr:row>
      <xdr:rowOff>127000</xdr:rowOff>
    </xdr:from>
    <xdr:to>
      <xdr:col>0</xdr:col>
      <xdr:colOff>685800</xdr:colOff>
      <xdr:row>3</xdr:row>
      <xdr:rowOff>165100</xdr:rowOff>
    </xdr:to>
    <xdr:pic macro="[0]!VoltarAoInicio">
      <xdr:nvPicPr>
        <xdr:cNvPr id="4" name="Gráfico 3" descr="Início com preenchimento sólido">
          <a:extLst>
            <a:ext uri="{FF2B5EF4-FFF2-40B4-BE49-F238E27FC236}">
              <a16:creationId xmlns:a16="http://schemas.microsoft.com/office/drawing/2014/main" id="{ED063879-4900-8B49-92C3-CB53191D3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2900" y="330200"/>
          <a:ext cx="342900" cy="44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317500</xdr:colOff>
      <xdr:row>10</xdr:row>
      <xdr:rowOff>88900</xdr:rowOff>
    </xdr:from>
    <xdr:to>
      <xdr:col>3</xdr:col>
      <xdr:colOff>1587500</xdr:colOff>
      <xdr:row>13</xdr:row>
      <xdr:rowOff>12700</xdr:rowOff>
    </xdr:to>
    <xdr:sp macro="[0]!ChecarResultadosESalv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FBA32C94-C7C7-62BB-DC6C-0C81DF092ADF}"/>
            </a:ext>
          </a:extLst>
        </xdr:cNvPr>
        <xdr:cNvSpPr/>
      </xdr:nvSpPr>
      <xdr:spPr>
        <a:xfrm>
          <a:off x="4699000" y="2146300"/>
          <a:ext cx="1270000" cy="53340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CHECAR RESULTADO</a:t>
          </a:r>
        </a:p>
      </xdr:txBody>
    </xdr:sp>
    <xdr:clientData/>
  </xdr:twoCellAnchor>
  <xdr:twoCellAnchor>
    <xdr:from>
      <xdr:col>6</xdr:col>
      <xdr:colOff>139700</xdr:colOff>
      <xdr:row>0</xdr:row>
      <xdr:rowOff>177800</xdr:rowOff>
    </xdr:from>
    <xdr:to>
      <xdr:col>7</xdr:col>
      <xdr:colOff>901700</xdr:colOff>
      <xdr:row>2</xdr:row>
      <xdr:rowOff>63500</xdr:rowOff>
    </xdr:to>
    <xdr:sp macro="[0]!Ajuda_ColetaDados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8853B1F1-67CC-C646-8676-51B484D0E729}"/>
            </a:ext>
          </a:extLst>
        </xdr:cNvPr>
        <xdr:cNvSpPr/>
      </xdr:nvSpPr>
      <xdr:spPr>
        <a:xfrm>
          <a:off x="9423400" y="177800"/>
          <a:ext cx="1511300" cy="3175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chemeClr val="accent2"/>
              </a:solidFill>
              <a:latin typeface="Arial" panose="020B0604020202020204" pitchFamily="34" charset="0"/>
              <a:cs typeface="Arial" panose="020B0604020202020204" pitchFamily="34" charset="0"/>
            </a:rPr>
            <a:t>ℹ️ GUIA DE TELA</a:t>
          </a:r>
        </a:p>
      </xdr:txBody>
    </xdr:sp>
    <xdr:clientData/>
  </xdr:twoCellAnchor>
  <xdr:twoCellAnchor editAs="oneCell">
    <xdr:from>
      <xdr:col>0</xdr:col>
      <xdr:colOff>342900</xdr:colOff>
      <xdr:row>0</xdr:row>
      <xdr:rowOff>139700</xdr:rowOff>
    </xdr:from>
    <xdr:to>
      <xdr:col>0</xdr:col>
      <xdr:colOff>698500</xdr:colOff>
      <xdr:row>2</xdr:row>
      <xdr:rowOff>152400</xdr:rowOff>
    </xdr:to>
    <xdr:pic macro="[0]!VoltarAoInicio">
      <xdr:nvPicPr>
        <xdr:cNvPr id="4" name="Gráfico 3" descr="Início com preenchimento sólido">
          <a:extLst>
            <a:ext uri="{FF2B5EF4-FFF2-40B4-BE49-F238E27FC236}">
              <a16:creationId xmlns:a16="http://schemas.microsoft.com/office/drawing/2014/main" id="{5B881DC5-F4A4-414C-92A8-C3AC4B510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2900" y="139700"/>
          <a:ext cx="355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76200</xdr:colOff>
      <xdr:row>13</xdr:row>
      <xdr:rowOff>177800</xdr:rowOff>
    </xdr:from>
    <xdr:ext cx="5473700" cy="3151100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6EEC4AA7-37D6-A645-9142-BCE56300EF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>
    <xdr:from>
      <xdr:col>3</xdr:col>
      <xdr:colOff>38100</xdr:colOff>
      <xdr:row>2</xdr:row>
      <xdr:rowOff>0</xdr:rowOff>
    </xdr:from>
    <xdr:to>
      <xdr:col>4</xdr:col>
      <xdr:colOff>736600</xdr:colOff>
      <xdr:row>3</xdr:row>
      <xdr:rowOff>114300</xdr:rowOff>
    </xdr:to>
    <xdr:sp macro="[0]!Ajuda_PainelControle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150B6D6-6410-A84F-BB29-3FB62426B83E}"/>
            </a:ext>
          </a:extLst>
        </xdr:cNvPr>
        <xdr:cNvSpPr/>
      </xdr:nvSpPr>
      <xdr:spPr>
        <a:xfrm>
          <a:off x="5549900" y="406400"/>
          <a:ext cx="1511300" cy="3175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chemeClr val="accent2"/>
              </a:solidFill>
              <a:latin typeface="Arial" panose="020B0604020202020204" pitchFamily="34" charset="0"/>
              <a:cs typeface="Arial" panose="020B0604020202020204" pitchFamily="34" charset="0"/>
            </a:rPr>
            <a:t>ℹ️ GUIA DE TELA</a:t>
          </a:r>
        </a:p>
      </xdr:txBody>
    </xdr:sp>
    <xdr:clientData/>
  </xdr:twoCellAnchor>
  <xdr:twoCellAnchor editAs="oneCell">
    <xdr:from>
      <xdr:col>0</xdr:col>
      <xdr:colOff>279400</xdr:colOff>
      <xdr:row>1</xdr:row>
      <xdr:rowOff>152400</xdr:rowOff>
    </xdr:from>
    <xdr:to>
      <xdr:col>0</xdr:col>
      <xdr:colOff>635000</xdr:colOff>
      <xdr:row>3</xdr:row>
      <xdr:rowOff>190500</xdr:rowOff>
    </xdr:to>
    <xdr:pic macro="[0]!VoltarAoInicio">
      <xdr:nvPicPr>
        <xdr:cNvPr id="4" name="Gráfico 3" descr="Início com preenchimento sólido">
          <a:extLst>
            <a:ext uri="{FF2B5EF4-FFF2-40B4-BE49-F238E27FC236}">
              <a16:creationId xmlns:a16="http://schemas.microsoft.com/office/drawing/2014/main" id="{C95BC401-2E52-FBEE-A26A-A532E2EE3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79400" y="355600"/>
          <a:ext cx="355600" cy="4445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173182</xdr:colOff>
      <xdr:row>1</xdr:row>
      <xdr:rowOff>103909</xdr:rowOff>
    </xdr:from>
    <xdr:to>
      <xdr:col>9</xdr:col>
      <xdr:colOff>545110</xdr:colOff>
      <xdr:row>2</xdr:row>
      <xdr:rowOff>161267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454B8CC-B076-4F4B-B230-C8CFBABFAB68}"/>
            </a:ext>
          </a:extLst>
        </xdr:cNvPr>
        <xdr:cNvGrpSpPr/>
      </xdr:nvGrpSpPr>
      <xdr:grpSpPr>
        <a:xfrm>
          <a:off x="13369637" y="311727"/>
          <a:ext cx="371928" cy="265176"/>
          <a:chOff x="1932215" y="2367642"/>
          <a:chExt cx="371928" cy="263071"/>
        </a:xfrm>
      </xdr:grpSpPr>
      <xdr:sp macro="[0]!VoltarAoInicio" textlink="">
        <xdr:nvSpPr>
          <xdr:cNvPr id="4" name="Retângulo Arredondado 3">
            <a:extLst>
              <a:ext uri="{FF2B5EF4-FFF2-40B4-BE49-F238E27FC236}">
                <a16:creationId xmlns:a16="http://schemas.microsoft.com/office/drawing/2014/main" id="{EE70C664-7135-CB04-52D0-35B70C924E44}"/>
              </a:ext>
            </a:extLst>
          </xdr:cNvPr>
          <xdr:cNvSpPr/>
        </xdr:nvSpPr>
        <xdr:spPr>
          <a:xfrm>
            <a:off x="1932215" y="2367642"/>
            <a:ext cx="371928" cy="263071"/>
          </a:xfrm>
          <a:prstGeom prst="roundRect">
            <a:avLst/>
          </a:prstGeom>
          <a:solidFill>
            <a:schemeClr val="accent2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reflection blurRad="6350" stA="52000" endA="300" endPos="3500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        </a:t>
            </a:r>
          </a:p>
        </xdr:txBody>
      </xdr:sp>
      <xdr:sp macro="[0]!VoltarAoInicio" textlink="">
        <xdr:nvSpPr>
          <xdr:cNvPr id="5" name="Seta para a Esquerda 4">
            <a:extLst>
              <a:ext uri="{FF2B5EF4-FFF2-40B4-BE49-F238E27FC236}">
                <a16:creationId xmlns:a16="http://schemas.microsoft.com/office/drawing/2014/main" id="{AE51492F-4218-0988-1FD0-E0922925BABB}"/>
              </a:ext>
            </a:extLst>
          </xdr:cNvPr>
          <xdr:cNvSpPr/>
        </xdr:nvSpPr>
        <xdr:spPr>
          <a:xfrm>
            <a:off x="2004786" y="2422072"/>
            <a:ext cx="199571" cy="163286"/>
          </a:xfrm>
          <a:prstGeom prst="lef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 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10</xdr:row>
      <xdr:rowOff>190500</xdr:rowOff>
    </xdr:from>
    <xdr:to>
      <xdr:col>7</xdr:col>
      <xdr:colOff>25400</xdr:colOff>
      <xdr:row>11</xdr:row>
      <xdr:rowOff>187452</xdr:rowOff>
    </xdr:to>
    <xdr:sp macro="[0]!AbrirGuiaCompleto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8F1874E7-54E1-D6D4-615A-861D03559151}"/>
            </a:ext>
          </a:extLst>
        </xdr:cNvPr>
        <xdr:cNvSpPr/>
      </xdr:nvSpPr>
      <xdr:spPr>
        <a:xfrm>
          <a:off x="5207000" y="3048000"/>
          <a:ext cx="4102100" cy="301752"/>
        </a:xfrm>
        <a:prstGeom prst="roundRect">
          <a:avLst/>
        </a:prstGeom>
        <a:solidFill>
          <a:schemeClr val="accent2"/>
        </a:solidFill>
        <a:ln w="19050" cap="flat" cmpd="sng" algn="ctr">
          <a:noFill/>
          <a:prstDash val="solid"/>
          <a:miter lim="800000"/>
        </a:ln>
        <a:effectLst>
          <a:glow rad="63500">
            <a:schemeClr val="accent2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FFFF"/>
              </a:solidFill>
            </a:rPr>
            <a:t>ABRIR GUIA OPERACIONAL</a:t>
          </a:r>
        </a:p>
      </xdr:txBody>
    </xdr:sp>
    <xdr:clientData/>
  </xdr:twoCellAnchor>
  <xdr:twoCellAnchor>
    <xdr:from>
      <xdr:col>5</xdr:col>
      <xdr:colOff>0</xdr:colOff>
      <xdr:row>8</xdr:row>
      <xdr:rowOff>114300</xdr:rowOff>
    </xdr:from>
    <xdr:to>
      <xdr:col>7</xdr:col>
      <xdr:colOff>12700</xdr:colOff>
      <xdr:row>9</xdr:row>
      <xdr:rowOff>152400</xdr:rowOff>
    </xdr:to>
    <xdr:sp macro="[0]!ResetarSistema" textlink="">
      <xdr:nvSpPr>
        <xdr:cNvPr id="8" name="Retângulo Arredondado 7">
          <a:extLst>
            <a:ext uri="{FF2B5EF4-FFF2-40B4-BE49-F238E27FC236}">
              <a16:creationId xmlns:a16="http://schemas.microsoft.com/office/drawing/2014/main" id="{E4F6A443-FFDF-2648-998C-2E5AF5CD3596}"/>
            </a:ext>
          </a:extLst>
        </xdr:cNvPr>
        <xdr:cNvSpPr/>
      </xdr:nvSpPr>
      <xdr:spPr>
        <a:xfrm>
          <a:off x="5194300" y="2362200"/>
          <a:ext cx="4102100" cy="342900"/>
        </a:xfrm>
        <a:prstGeom prst="roundRect">
          <a:avLst/>
        </a:prstGeom>
        <a:solidFill>
          <a:schemeClr val="accent2"/>
        </a:solidFill>
        <a:ln w="19050" cap="flat" cmpd="sng" algn="ctr">
          <a:noFill/>
          <a:prstDash val="solid"/>
          <a:miter lim="800000"/>
        </a:ln>
        <a:effectLst>
          <a:glow rad="63500">
            <a:schemeClr val="accent2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FFFF"/>
              </a:solidFill>
            </a:rPr>
            <a:t>RESETAR SISTEMA </a:t>
          </a:r>
        </a:p>
      </xdr:txBody>
    </xdr:sp>
    <xdr:clientData/>
  </xdr:twoCellAnchor>
  <xdr:twoCellAnchor>
    <xdr:from>
      <xdr:col>5</xdr:col>
      <xdr:colOff>0</xdr:colOff>
      <xdr:row>6</xdr:row>
      <xdr:rowOff>114300</xdr:rowOff>
    </xdr:from>
    <xdr:to>
      <xdr:col>7</xdr:col>
      <xdr:colOff>16256</xdr:colOff>
      <xdr:row>7</xdr:row>
      <xdr:rowOff>114300</xdr:rowOff>
    </xdr:to>
    <xdr:sp macro="[0]!VoltarAoInicio" textlink="">
      <xdr:nvSpPr>
        <xdr:cNvPr id="10" name="Retângulo Arredondado 9">
          <a:extLst>
            <a:ext uri="{FF2B5EF4-FFF2-40B4-BE49-F238E27FC236}">
              <a16:creationId xmlns:a16="http://schemas.microsoft.com/office/drawing/2014/main" id="{275E5DA7-5678-0840-A76A-8E047AAD1279}"/>
            </a:ext>
          </a:extLst>
        </xdr:cNvPr>
        <xdr:cNvSpPr/>
      </xdr:nvSpPr>
      <xdr:spPr>
        <a:xfrm>
          <a:off x="5194300" y="1752600"/>
          <a:ext cx="4105656" cy="304800"/>
        </a:xfrm>
        <a:prstGeom prst="roundRect">
          <a:avLst/>
        </a:prstGeom>
        <a:solidFill>
          <a:schemeClr val="accent2"/>
        </a:solidFill>
        <a:ln w="19050" cap="flat" cmpd="sng" algn="ctr">
          <a:noFill/>
          <a:prstDash val="solid"/>
          <a:miter lim="800000"/>
        </a:ln>
        <a:effectLst>
          <a:glow rad="63500">
            <a:schemeClr val="accent2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FFFF"/>
              </a:solidFill>
            </a:rPr>
            <a:t>MENU PRINCIPAL</a:t>
          </a:r>
        </a:p>
      </xdr:txBody>
    </xdr:sp>
    <xdr:clientData/>
  </xdr:twoCellAnchor>
  <xdr:twoCellAnchor>
    <xdr:from>
      <xdr:col>7</xdr:col>
      <xdr:colOff>165100</xdr:colOff>
      <xdr:row>1</xdr:row>
      <xdr:rowOff>190500</xdr:rowOff>
    </xdr:from>
    <xdr:to>
      <xdr:col>9</xdr:col>
      <xdr:colOff>482600</xdr:colOff>
      <xdr:row>2</xdr:row>
      <xdr:rowOff>190500</xdr:rowOff>
    </xdr:to>
    <xdr:sp macro="[0]!AbrirGuiaConfiguracoes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4946DED-164A-104B-8C8A-114F799C9E24}"/>
            </a:ext>
          </a:extLst>
        </xdr:cNvPr>
        <xdr:cNvSpPr/>
      </xdr:nvSpPr>
      <xdr:spPr>
        <a:xfrm>
          <a:off x="9448800" y="393700"/>
          <a:ext cx="1511300" cy="3175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chemeClr val="accent2"/>
              </a:solidFill>
              <a:latin typeface="Arial" panose="020B0604020202020204" pitchFamily="34" charset="0"/>
              <a:cs typeface="Arial" panose="020B0604020202020204" pitchFamily="34" charset="0"/>
            </a:rPr>
            <a:t>ℹ️ GUIA DE TELA</a:t>
          </a:r>
        </a:p>
      </xdr:txBody>
    </xdr:sp>
    <xdr:clientData/>
  </xdr:twoCellAnchor>
  <xdr:twoCellAnchor>
    <xdr:from>
      <xdr:col>5</xdr:col>
      <xdr:colOff>12700</xdr:colOff>
      <xdr:row>12</xdr:row>
      <xdr:rowOff>177800</xdr:rowOff>
    </xdr:from>
    <xdr:to>
      <xdr:col>7</xdr:col>
      <xdr:colOff>25400</xdr:colOff>
      <xdr:row>13</xdr:row>
      <xdr:rowOff>174752</xdr:rowOff>
    </xdr:to>
    <xdr:sp macro="[0]!IrParaCadastroLotes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1B41E524-0FA8-0940-879F-2A02974F7F22}"/>
            </a:ext>
          </a:extLst>
        </xdr:cNvPr>
        <xdr:cNvSpPr/>
      </xdr:nvSpPr>
      <xdr:spPr>
        <a:xfrm>
          <a:off x="5207000" y="3644900"/>
          <a:ext cx="4102100" cy="301752"/>
        </a:xfrm>
        <a:prstGeom prst="roundRect">
          <a:avLst/>
        </a:prstGeom>
        <a:solidFill>
          <a:schemeClr val="accent2"/>
        </a:solidFill>
        <a:ln w="19050" cap="flat" cmpd="sng" algn="ctr">
          <a:noFill/>
          <a:prstDash val="solid"/>
          <a:miter lim="800000"/>
        </a:ln>
        <a:effectLst>
          <a:glow rad="63500">
            <a:schemeClr val="accent2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FFFF"/>
              </a:solidFill>
            </a:rPr>
            <a:t>LOTES</a:t>
          </a:r>
          <a:r>
            <a:rPr lang="pt-BR" sz="1200" b="1" baseline="0">
              <a:solidFill>
                <a:srgbClr val="FFFFFF"/>
              </a:solidFill>
            </a:rPr>
            <a:t> CADASTRADOS</a:t>
          </a:r>
          <a:endParaRPr lang="pt-BR" sz="1200" b="1">
            <a:solidFill>
              <a:srgbClr val="FFFFFF"/>
            </a:solidFill>
          </a:endParaRPr>
        </a:p>
      </xdr:txBody>
    </xdr:sp>
    <xdr:clientData/>
  </xdr:twoCellAnchor>
  <xdr:twoCellAnchor>
    <xdr:from>
      <xdr:col>5</xdr:col>
      <xdr:colOff>12700</xdr:colOff>
      <xdr:row>14</xdr:row>
      <xdr:rowOff>127000</xdr:rowOff>
    </xdr:from>
    <xdr:to>
      <xdr:col>7</xdr:col>
      <xdr:colOff>25400</xdr:colOff>
      <xdr:row>15</xdr:row>
      <xdr:rowOff>123952</xdr:rowOff>
    </xdr:to>
    <xdr:sp macro="[0]!IrParaManualLinhagens" textlink="">
      <xdr:nvSpPr>
        <xdr:cNvPr id="4" name="Retângulo Arredondado 3">
          <a:extLst>
            <a:ext uri="{FF2B5EF4-FFF2-40B4-BE49-F238E27FC236}">
              <a16:creationId xmlns:a16="http://schemas.microsoft.com/office/drawing/2014/main" id="{B117B9C9-232A-7F4F-87DF-EF751714D3D7}"/>
            </a:ext>
          </a:extLst>
        </xdr:cNvPr>
        <xdr:cNvSpPr/>
      </xdr:nvSpPr>
      <xdr:spPr>
        <a:xfrm>
          <a:off x="5207000" y="4203700"/>
          <a:ext cx="4102100" cy="301752"/>
        </a:xfrm>
        <a:prstGeom prst="roundRect">
          <a:avLst/>
        </a:prstGeom>
        <a:solidFill>
          <a:schemeClr val="accent2"/>
        </a:solidFill>
        <a:ln w="19050" cap="flat" cmpd="sng" algn="ctr">
          <a:noFill/>
          <a:prstDash val="solid"/>
          <a:miter lim="800000"/>
        </a:ln>
        <a:effectLst>
          <a:glow rad="63500">
            <a:schemeClr val="accent2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FFFF"/>
              </a:solidFill>
            </a:rPr>
            <a:t>MANUAL DAS LINHAGENS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0D8463-22C9-FE43-8F10-95AE81619A0F}" name="manual_linhagem" displayName="manual_linhagem" ref="A1:G1931" totalsRowShown="0" headerRowDxfId="33" dataDxfId="32">
  <autoFilter ref="A1:G1931" xr:uid="{350D8463-22C9-FE43-8F10-95AE81619A0F}"/>
  <tableColumns count="7">
    <tableColumn id="1" xr3:uid="{96181693-EE9E-184C-9E97-445529D01314}" name="CATEGORIA" dataDxfId="31"/>
    <tableColumn id="2" xr3:uid="{BD81C7BD-B442-8D48-9DEC-0A69569668D4}" name="TIPO" dataDxfId="30"/>
    <tableColumn id="3" xr3:uid="{B18AC25F-35C8-4340-9EEC-49E24AD493CE}" name="LINHAGEM" dataDxfId="29"/>
    <tableColumn id="4" xr3:uid="{76A8283F-70BB-634B-AF03-FE7A31E8C65D}" name="IDADE (Dias)" dataDxfId="28"/>
    <tableColumn id="5" xr3:uid="{EB40430F-D823-8A46-BA4D-1F5359F8EBDB}" name="PESO ESPERADO (g)" dataDxfId="27"/>
    <tableColumn id="6" xr3:uid="{EED28B40-2259-5F4B-893D-A82D03351B72}" name="Consumo Diário (g)" dataDxfId="26"/>
    <tableColumn id="7" xr3:uid="{3922945E-8550-FA4A-8E17-E7B6ED667681}" name="Consumo Acumulado (g)" dataDxfId="25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D345E6-95D9-D44A-AA58-7D179495D7C3}" name="tbl_fase" displayName="tbl_fase" ref="A1:D13" totalsRowShown="0" headerRowDxfId="24" dataDxfId="23">
  <autoFilter ref="A1:D13" xr:uid="{7CD345E6-95D9-D44A-AA58-7D179495D7C3}"/>
  <tableColumns count="4">
    <tableColumn id="1" xr3:uid="{83209114-34C2-704F-AE8E-780D48D08BDB}" name="Categoria" dataDxfId="22"/>
    <tableColumn id="2" xr3:uid="{2463A78B-A7DC-7E4F-B4CD-B0BBA7DB19F3}" name="Idade Inicial" dataDxfId="21"/>
    <tableColumn id="3" xr3:uid="{8045BD9E-8429-4F44-9060-214F39635E42}" name="Idade Final" dataDxfId="20"/>
    <tableColumn id="4" xr3:uid="{3A759FE3-B762-3640-A96F-5905F0BABEE2}" name="Fase de Criação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07E39-C7F0-8544-AE83-199C36F56FE4}" name="tbl_Cadastro" displayName="tbl_Cadastro" ref="A1:F478" totalsRowShown="0">
  <autoFilter ref="A1:F478" xr:uid="{D3107E39-C7F0-8544-AE83-199C36F56FE4}"/>
  <tableColumns count="6">
    <tableColumn id="1" xr3:uid="{99B93F0F-C29A-9947-A826-30150DE27871}" name="ID_Lote"/>
    <tableColumn id="2" xr3:uid="{BBE6F199-B18D-C848-B735-5AA3913915C4}" name="Categoria"/>
    <tableColumn id="3" xr3:uid="{B50B3645-6DE3-7845-9C0F-C29BCBFCE2BF}" name="Tipo"/>
    <tableColumn id="4" xr3:uid="{1020538C-6C5C-2C4E-BEAD-361149696C23}" name="Linhagem"/>
    <tableColumn id="5" xr3:uid="{8D76EED2-C89E-EC45-9C81-7E08493B8899}" name="Data de Alojamento" dataDxfId="18"/>
    <tableColumn id="6" xr3:uid="{686C64CA-1507-1747-9CEF-9AF85A9A29BC}" name="Qtd. Aves" dataDxfId="1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74B99B-00C7-2747-9002-CDC3A7BD4708}" name="Tabela5" displayName="Tabela5" ref="A1:I53" totalsRowShown="0" headerRowDxfId="10" dataDxfId="9">
  <autoFilter ref="A1:I53" xr:uid="{AB74B99B-00C7-2747-9002-CDC3A7BD4708}"/>
  <tableColumns count="9">
    <tableColumn id="1" xr3:uid="{D7A1B78E-7010-8945-B6D3-C6C90B719985}" name="ID_Lote" dataDxfId="8"/>
    <tableColumn id="2" xr3:uid="{63E502ED-D6B5-F845-B437-C5AB96BBE499}" name="Data_Coleta" dataDxfId="7"/>
    <tableColumn id="3" xr3:uid="{B74A6B06-9423-9044-850F-03943112F0EB}" name="Idade_Dias" dataDxfId="6"/>
    <tableColumn id="4" xr3:uid="{8B233469-8061-E44A-BC01-259ECF4409A6}" name="Fase_Criação" dataDxfId="5"/>
    <tableColumn id="5" xr3:uid="{61359C2E-8759-4A4A-95E5-AC99C7E8F728}" name="Peso_Medio_g" dataDxfId="4"/>
    <tableColumn id="6" xr3:uid="{0372FE68-40E9-E144-A37A-C36CD2C97DB0}" name="Uniformidade_%" dataDxfId="3"/>
    <tableColumn id="7" xr3:uid="{580C6F4E-073C-7643-AE2F-1F053D2E3933}" name="Desvio_Padrão" dataDxfId="2"/>
    <tableColumn id="8" xr3:uid="{83C208BB-2031-974E-89D8-E325A0A80B17}" name="Qtd_amostra" dataDxfId="1"/>
    <tableColumn id="9" xr3:uid="{7A398289-9AA0-1F46-88FB-D17D2792216E}" name="Statu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D4B1D-868F-9E49-A62E-A99F3876F10B}">
  <sheetPr codeName="Planilha1"/>
  <dimension ref="A1:I12"/>
  <sheetViews>
    <sheetView workbookViewId="0">
      <selection activeCell="D14" sqref="D14"/>
    </sheetView>
  </sheetViews>
  <sheetFormatPr baseColWidth="10" defaultRowHeight="16" x14ac:dyDescent="0.2"/>
  <cols>
    <col min="3" max="3" width="19" bestFit="1" customWidth="1"/>
    <col min="4" max="4" width="30.6640625" bestFit="1" customWidth="1"/>
    <col min="5" max="5" width="14.33203125" bestFit="1" customWidth="1"/>
  </cols>
  <sheetData>
    <row r="1" spans="1:9" x14ac:dyDescent="0.2">
      <c r="A1" s="2" t="s">
        <v>0</v>
      </c>
      <c r="B1" s="2" t="s">
        <v>2</v>
      </c>
      <c r="C1" s="3" t="s">
        <v>11</v>
      </c>
      <c r="D1" s="3" t="s">
        <v>14</v>
      </c>
      <c r="E1" s="3" t="s">
        <v>21</v>
      </c>
      <c r="F1" s="2"/>
      <c r="G1" s="2"/>
      <c r="H1" s="2"/>
      <c r="I1" s="2"/>
    </row>
    <row r="2" spans="1:9" x14ac:dyDescent="0.2">
      <c r="A2" s="2" t="s">
        <v>1</v>
      </c>
      <c r="B2" s="2"/>
      <c r="C2" s="3" t="s">
        <v>9</v>
      </c>
      <c r="D2" s="3" t="s">
        <v>19</v>
      </c>
      <c r="E2" s="3" t="s">
        <v>22</v>
      </c>
      <c r="F2" s="2"/>
      <c r="G2" s="2"/>
      <c r="H2" s="2"/>
      <c r="I2" s="2"/>
    </row>
    <row r="3" spans="1:9" x14ac:dyDescent="0.2">
      <c r="A3" s="2"/>
      <c r="B3" s="2"/>
      <c r="C3" s="3" t="s">
        <v>8</v>
      </c>
      <c r="D3" s="3" t="s">
        <v>13</v>
      </c>
      <c r="E3" s="3" t="s">
        <v>117</v>
      </c>
      <c r="F3" s="2"/>
      <c r="G3" s="2"/>
      <c r="H3" s="2"/>
      <c r="I3" s="2"/>
    </row>
    <row r="4" spans="1:9" x14ac:dyDescent="0.2">
      <c r="A4" s="2"/>
      <c r="C4" s="2" t="s">
        <v>3</v>
      </c>
      <c r="D4" s="3" t="s">
        <v>12</v>
      </c>
      <c r="F4" s="2"/>
      <c r="G4" s="2"/>
      <c r="H4" s="2"/>
      <c r="I4" s="2"/>
    </row>
    <row r="5" spans="1:9" x14ac:dyDescent="0.2">
      <c r="A5" s="2"/>
      <c r="C5" s="2" t="s">
        <v>4</v>
      </c>
      <c r="D5" s="3" t="s">
        <v>15</v>
      </c>
      <c r="F5" s="2"/>
      <c r="G5" s="2"/>
      <c r="H5" s="2"/>
      <c r="I5" s="2"/>
    </row>
    <row r="6" spans="1:9" x14ac:dyDescent="0.2">
      <c r="A6" s="2"/>
      <c r="B6" s="2"/>
      <c r="C6" s="3" t="s">
        <v>7</v>
      </c>
      <c r="D6" s="3" t="s">
        <v>18</v>
      </c>
      <c r="F6" s="2"/>
      <c r="G6" s="2"/>
      <c r="H6" s="2"/>
      <c r="I6" s="2"/>
    </row>
    <row r="7" spans="1:9" x14ac:dyDescent="0.2">
      <c r="A7" s="2"/>
      <c r="B7" s="2"/>
      <c r="C7" s="3" t="s">
        <v>5</v>
      </c>
      <c r="D7" s="3" t="s">
        <v>16</v>
      </c>
      <c r="F7" s="2"/>
      <c r="G7" s="2"/>
      <c r="H7" s="2"/>
      <c r="I7" s="2"/>
    </row>
    <row r="8" spans="1:9" x14ac:dyDescent="0.2">
      <c r="A8" s="2"/>
      <c r="B8" s="2"/>
      <c r="C8" s="3" t="s">
        <v>6</v>
      </c>
      <c r="D8" s="3" t="s">
        <v>17</v>
      </c>
      <c r="E8" s="2"/>
      <c r="F8" s="2"/>
      <c r="G8" s="2"/>
      <c r="H8" s="2"/>
      <c r="I8" s="2"/>
    </row>
    <row r="9" spans="1:9" x14ac:dyDescent="0.2">
      <c r="A9" s="2"/>
      <c r="B9" s="2"/>
      <c r="C9" s="3" t="s">
        <v>10</v>
      </c>
      <c r="D9" s="3" t="s">
        <v>20</v>
      </c>
      <c r="E9" s="2"/>
      <c r="F9" s="2"/>
      <c r="G9" s="2"/>
      <c r="H9" s="2"/>
      <c r="I9" s="2"/>
    </row>
    <row r="10" spans="1:9" x14ac:dyDescent="0.2">
      <c r="A10" s="2"/>
      <c r="B10" s="2"/>
      <c r="C10" s="3" t="s">
        <v>127</v>
      </c>
      <c r="D10" s="2" t="s">
        <v>126</v>
      </c>
      <c r="E10" s="2"/>
      <c r="F10" s="2"/>
      <c r="G10" s="2"/>
      <c r="H10" s="2"/>
      <c r="I10" s="2"/>
    </row>
    <row r="11" spans="1:9" x14ac:dyDescent="0.2">
      <c r="A11" s="1"/>
      <c r="B11" s="1"/>
      <c r="C11" s="3" t="s">
        <v>116</v>
      </c>
      <c r="D11" s="1"/>
      <c r="E11" s="1"/>
      <c r="F11" s="1"/>
      <c r="G11" s="1"/>
      <c r="H11" s="1"/>
    </row>
    <row r="12" spans="1:9" x14ac:dyDescent="0.2">
      <c r="C12" s="3" t="s">
        <v>115</v>
      </c>
    </row>
  </sheetData>
  <sheetProtection formatCells="0"/>
  <sortState xmlns:xlrd2="http://schemas.microsoft.com/office/spreadsheetml/2017/richdata2" ref="A1:E10">
    <sortCondition ref="D1:D10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1006C-F8D9-3744-9725-92C339231F65}">
  <sheetPr codeName="Planilha2">
    <tabColor theme="5" tint="0.39997558519241921"/>
  </sheetPr>
  <dimension ref="A1:G1931"/>
  <sheetViews>
    <sheetView workbookViewId="0"/>
  </sheetViews>
  <sheetFormatPr baseColWidth="10" defaultRowHeight="16" x14ac:dyDescent="0.2"/>
  <cols>
    <col min="1" max="1" width="17.5" customWidth="1"/>
    <col min="2" max="2" width="11.83203125" bestFit="1" customWidth="1"/>
    <col min="3" max="3" width="27.1640625" bestFit="1" customWidth="1"/>
    <col min="4" max="4" width="18" customWidth="1"/>
    <col min="5" max="5" width="27.1640625" customWidth="1"/>
    <col min="6" max="6" width="25.6640625" customWidth="1"/>
    <col min="7" max="7" width="32" customWidth="1"/>
    <col min="16" max="105" width="11.33203125" customWidth="1"/>
    <col min="106" max="1005" width="12.33203125" customWidth="1"/>
    <col min="1006" max="10005" width="13.33203125" customWidth="1"/>
    <col min="10006" max="16384" width="14.33203125" customWidth="1"/>
  </cols>
  <sheetData>
    <row r="1" spans="1:7" s="11" customFormat="1" ht="18" x14ac:dyDescent="0.2">
      <c r="A1" s="10" t="s">
        <v>31</v>
      </c>
      <c r="B1" s="10" t="s">
        <v>32</v>
      </c>
      <c r="C1" s="10" t="s">
        <v>33</v>
      </c>
      <c r="D1" s="10" t="s">
        <v>35</v>
      </c>
      <c r="E1" s="10" t="s">
        <v>34</v>
      </c>
      <c r="F1" s="10" t="s">
        <v>29</v>
      </c>
      <c r="G1" s="10" t="s">
        <v>30</v>
      </c>
    </row>
    <row r="2" spans="1:7" ht="18" x14ac:dyDescent="0.2">
      <c r="A2" s="7" t="s">
        <v>36</v>
      </c>
      <c r="B2" s="7" t="s">
        <v>2</v>
      </c>
      <c r="C2" s="7" t="s">
        <v>21</v>
      </c>
      <c r="D2" s="8">
        <v>0</v>
      </c>
      <c r="E2" s="8">
        <v>42</v>
      </c>
      <c r="F2" s="6"/>
      <c r="G2" s="6"/>
    </row>
    <row r="3" spans="1:7" ht="18" x14ac:dyDescent="0.2">
      <c r="A3" s="7" t="s">
        <v>36</v>
      </c>
      <c r="B3" s="7" t="s">
        <v>2</v>
      </c>
      <c r="C3" s="7" t="s">
        <v>21</v>
      </c>
      <c r="D3" s="7">
        <v>7</v>
      </c>
      <c r="E3" s="7">
        <v>202</v>
      </c>
      <c r="F3" s="7">
        <v>40</v>
      </c>
      <c r="G3" s="7">
        <v>220</v>
      </c>
    </row>
    <row r="4" spans="1:7" ht="18" x14ac:dyDescent="0.2">
      <c r="A4" s="7" t="s">
        <v>36</v>
      </c>
      <c r="B4" s="7" t="s">
        <v>2</v>
      </c>
      <c r="C4" s="7" t="s">
        <v>21</v>
      </c>
      <c r="D4" s="7">
        <v>14</v>
      </c>
      <c r="E4" s="7">
        <v>570</v>
      </c>
      <c r="F4" s="7">
        <v>80</v>
      </c>
      <c r="G4" s="7">
        <v>588</v>
      </c>
    </row>
    <row r="5" spans="1:7" ht="18" x14ac:dyDescent="0.2">
      <c r="A5" s="7" t="s">
        <v>36</v>
      </c>
      <c r="B5" s="7" t="s">
        <v>2</v>
      </c>
      <c r="C5" s="7" t="s">
        <v>21</v>
      </c>
      <c r="D5" s="7">
        <v>21</v>
      </c>
      <c r="E5" s="7">
        <v>1116</v>
      </c>
      <c r="F5" s="7">
        <v>125</v>
      </c>
      <c r="G5" s="7">
        <v>1320</v>
      </c>
    </row>
    <row r="6" spans="1:7" ht="18" x14ac:dyDescent="0.2">
      <c r="A6" s="7" t="s">
        <v>36</v>
      </c>
      <c r="B6" s="7" t="s">
        <v>2</v>
      </c>
      <c r="C6" s="7" t="s">
        <v>21</v>
      </c>
      <c r="D6" s="7">
        <v>28</v>
      </c>
      <c r="E6" s="7">
        <v>1783</v>
      </c>
      <c r="F6" s="7">
        <v>165</v>
      </c>
      <c r="G6" s="7">
        <v>2359</v>
      </c>
    </row>
    <row r="7" spans="1:7" ht="18" x14ac:dyDescent="0.2">
      <c r="A7" s="7" t="s">
        <v>36</v>
      </c>
      <c r="B7" s="7" t="s">
        <v>2</v>
      </c>
      <c r="C7" s="7" t="s">
        <v>21</v>
      </c>
      <c r="D7" s="7">
        <v>35</v>
      </c>
      <c r="E7" s="7">
        <v>2521</v>
      </c>
      <c r="F7" s="7">
        <v>194</v>
      </c>
      <c r="G7" s="7">
        <v>3635</v>
      </c>
    </row>
    <row r="8" spans="1:7" ht="18" x14ac:dyDescent="0.2">
      <c r="A8" s="7" t="s">
        <v>36</v>
      </c>
      <c r="B8" s="7" t="s">
        <v>2</v>
      </c>
      <c r="C8" s="7" t="s">
        <v>21</v>
      </c>
      <c r="D8" s="7">
        <v>42</v>
      </c>
      <c r="E8" s="7">
        <v>3278</v>
      </c>
      <c r="F8" s="7">
        <v>220</v>
      </c>
      <c r="G8" s="7">
        <v>5100</v>
      </c>
    </row>
    <row r="9" spans="1:7" ht="18" x14ac:dyDescent="0.2">
      <c r="A9" s="7" t="s">
        <v>36</v>
      </c>
      <c r="B9" s="7" t="s">
        <v>2</v>
      </c>
      <c r="C9" s="7" t="s">
        <v>21</v>
      </c>
      <c r="D9" s="7">
        <v>49</v>
      </c>
      <c r="E9" s="7">
        <v>4001</v>
      </c>
      <c r="F9" s="7">
        <v>247</v>
      </c>
      <c r="G9" s="7">
        <v>6749</v>
      </c>
    </row>
    <row r="10" spans="1:7" ht="18" x14ac:dyDescent="0.2">
      <c r="A10" s="7" t="s">
        <v>36</v>
      </c>
      <c r="B10" s="7" t="s">
        <v>2</v>
      </c>
      <c r="C10" s="7" t="s">
        <v>21</v>
      </c>
      <c r="D10" s="7">
        <v>56</v>
      </c>
      <c r="E10" s="7">
        <v>4641</v>
      </c>
      <c r="F10" s="7">
        <v>262</v>
      </c>
      <c r="G10" s="7">
        <v>8549</v>
      </c>
    </row>
    <row r="11" spans="1:7" ht="18" x14ac:dyDescent="0.2">
      <c r="A11" s="7" t="s">
        <v>36</v>
      </c>
      <c r="B11" s="7" t="s">
        <v>2</v>
      </c>
      <c r="C11" s="7" t="s">
        <v>22</v>
      </c>
      <c r="D11" s="8">
        <v>0</v>
      </c>
      <c r="E11" s="8">
        <v>42</v>
      </c>
      <c r="F11" s="9"/>
      <c r="G11" s="9"/>
    </row>
    <row r="12" spans="1:7" ht="18" x14ac:dyDescent="0.2">
      <c r="A12" s="7" t="s">
        <v>36</v>
      </c>
      <c r="B12" s="7" t="s">
        <v>2</v>
      </c>
      <c r="C12" s="7" t="s">
        <v>22</v>
      </c>
      <c r="D12" s="7">
        <v>7</v>
      </c>
      <c r="E12" s="7">
        <v>213</v>
      </c>
      <c r="F12" s="7">
        <v>35</v>
      </c>
      <c r="G12" s="7">
        <v>161</v>
      </c>
    </row>
    <row r="13" spans="1:7" ht="18" x14ac:dyDescent="0.2">
      <c r="A13" s="7" t="s">
        <v>36</v>
      </c>
      <c r="B13" s="7" t="s">
        <v>2</v>
      </c>
      <c r="C13" s="7" t="s">
        <v>22</v>
      </c>
      <c r="D13" s="7">
        <v>14</v>
      </c>
      <c r="E13" s="7">
        <v>541</v>
      </c>
      <c r="F13" s="7">
        <v>70</v>
      </c>
      <c r="G13" s="7">
        <v>542</v>
      </c>
    </row>
    <row r="14" spans="1:7" ht="18" x14ac:dyDescent="0.2">
      <c r="A14" s="7" t="s">
        <v>36</v>
      </c>
      <c r="B14" s="7" t="s">
        <v>2</v>
      </c>
      <c r="C14" s="7" t="s">
        <v>22</v>
      </c>
      <c r="D14" s="7">
        <v>21</v>
      </c>
      <c r="E14" s="7">
        <v>1046</v>
      </c>
      <c r="F14" s="7">
        <v>111</v>
      </c>
      <c r="G14" s="7">
        <v>1193</v>
      </c>
    </row>
    <row r="15" spans="1:7" ht="18" x14ac:dyDescent="0.2">
      <c r="A15" s="7" t="s">
        <v>36</v>
      </c>
      <c r="B15" s="7" t="s">
        <v>2</v>
      </c>
      <c r="C15" s="7" t="s">
        <v>22</v>
      </c>
      <c r="D15" s="7">
        <v>28</v>
      </c>
      <c r="E15" s="7">
        <v>1697</v>
      </c>
      <c r="F15" s="7">
        <v>155</v>
      </c>
      <c r="G15" s="7">
        <v>2147</v>
      </c>
    </row>
    <row r="16" spans="1:7" ht="18" x14ac:dyDescent="0.2">
      <c r="A16" s="7" t="s">
        <v>36</v>
      </c>
      <c r="B16" s="7" t="s">
        <v>2</v>
      </c>
      <c r="C16" s="7" t="s">
        <v>22</v>
      </c>
      <c r="D16" s="7">
        <v>35</v>
      </c>
      <c r="E16" s="7">
        <v>2441</v>
      </c>
      <c r="F16" s="7">
        <v>195</v>
      </c>
      <c r="G16" s="7">
        <v>3394</v>
      </c>
    </row>
    <row r="17" spans="1:7" ht="18" x14ac:dyDescent="0.2">
      <c r="A17" s="7" t="s">
        <v>36</v>
      </c>
      <c r="B17" s="7" t="s">
        <v>2</v>
      </c>
      <c r="C17" s="7" t="s">
        <v>22</v>
      </c>
      <c r="D17" s="7">
        <v>42</v>
      </c>
      <c r="E17" s="7">
        <v>3222</v>
      </c>
      <c r="F17" s="7">
        <v>226</v>
      </c>
      <c r="G17" s="7">
        <v>4886</v>
      </c>
    </row>
    <row r="18" spans="1:7" ht="18" x14ac:dyDescent="0.2">
      <c r="A18" s="7" t="s">
        <v>36</v>
      </c>
      <c r="B18" s="7" t="s">
        <v>2</v>
      </c>
      <c r="C18" s="7" t="s">
        <v>22</v>
      </c>
      <c r="D18" s="7">
        <v>49</v>
      </c>
      <c r="E18" s="7">
        <v>3991</v>
      </c>
      <c r="F18" s="7">
        <v>247</v>
      </c>
      <c r="G18" s="7">
        <v>6556</v>
      </c>
    </row>
    <row r="19" spans="1:7" ht="18" x14ac:dyDescent="0.2">
      <c r="A19" s="7" t="s">
        <v>36</v>
      </c>
      <c r="B19" s="7" t="s">
        <v>2</v>
      </c>
      <c r="C19" s="7" t="s">
        <v>22</v>
      </c>
      <c r="D19" s="7">
        <v>56</v>
      </c>
      <c r="E19" s="7">
        <v>4714</v>
      </c>
      <c r="F19" s="7">
        <v>258</v>
      </c>
      <c r="G19" s="7">
        <v>8332</v>
      </c>
    </row>
    <row r="20" spans="1:7" ht="18" x14ac:dyDescent="0.2">
      <c r="A20" s="7" t="s">
        <v>37</v>
      </c>
      <c r="B20" s="7" t="s">
        <v>0</v>
      </c>
      <c r="C20" s="7" t="s">
        <v>3</v>
      </c>
      <c r="D20" s="7">
        <v>7</v>
      </c>
      <c r="E20" s="7">
        <v>71</v>
      </c>
      <c r="F20" s="7">
        <v>15</v>
      </c>
      <c r="G20" s="7">
        <v>100</v>
      </c>
    </row>
    <row r="21" spans="1:7" ht="18" x14ac:dyDescent="0.2">
      <c r="A21" s="7" t="s">
        <v>37</v>
      </c>
      <c r="B21" s="7" t="s">
        <v>0</v>
      </c>
      <c r="C21" s="7" t="s">
        <v>3</v>
      </c>
      <c r="D21" s="7">
        <v>14</v>
      </c>
      <c r="E21" s="7">
        <v>131</v>
      </c>
      <c r="F21" s="7">
        <v>19</v>
      </c>
      <c r="G21" s="7">
        <v>240</v>
      </c>
    </row>
    <row r="22" spans="1:7" ht="18" x14ac:dyDescent="0.2">
      <c r="A22" s="7" t="s">
        <v>37</v>
      </c>
      <c r="B22" s="7" t="s">
        <v>0</v>
      </c>
      <c r="C22" s="7" t="s">
        <v>3</v>
      </c>
      <c r="D22" s="7">
        <f>D21+7</f>
        <v>21</v>
      </c>
      <c r="E22" s="7">
        <v>197</v>
      </c>
      <c r="F22" s="7">
        <v>23</v>
      </c>
      <c r="G22" s="7">
        <v>390</v>
      </c>
    </row>
    <row r="23" spans="1:7" ht="18" x14ac:dyDescent="0.2">
      <c r="A23" s="7" t="s">
        <v>37</v>
      </c>
      <c r="B23" s="7" t="s">
        <v>0</v>
      </c>
      <c r="C23" s="7" t="s">
        <v>3</v>
      </c>
      <c r="D23" s="7">
        <f>D22+7</f>
        <v>28</v>
      </c>
      <c r="E23" s="7">
        <v>268</v>
      </c>
      <c r="F23" s="7">
        <v>27</v>
      </c>
      <c r="G23" s="7">
        <v>580</v>
      </c>
    </row>
    <row r="24" spans="1:7" ht="18" x14ac:dyDescent="0.2">
      <c r="A24" s="7" t="s">
        <v>37</v>
      </c>
      <c r="B24" s="7" t="s">
        <v>0</v>
      </c>
      <c r="C24" s="7" t="s">
        <v>3</v>
      </c>
      <c r="D24" s="7">
        <f t="shared" ref="D24:D87" si="0">D23+7</f>
        <v>35</v>
      </c>
      <c r="E24" s="7">
        <v>346</v>
      </c>
      <c r="F24" s="7">
        <v>32</v>
      </c>
      <c r="G24" s="7">
        <v>800</v>
      </c>
    </row>
    <row r="25" spans="1:7" ht="18" x14ac:dyDescent="0.2">
      <c r="A25" s="7" t="s">
        <v>37</v>
      </c>
      <c r="B25" s="7" t="s">
        <v>0</v>
      </c>
      <c r="C25" s="7" t="s">
        <v>3</v>
      </c>
      <c r="D25" s="7">
        <f t="shared" si="0"/>
        <v>42</v>
      </c>
      <c r="E25" s="7">
        <v>432</v>
      </c>
      <c r="F25" s="7">
        <v>36</v>
      </c>
      <c r="G25" s="7">
        <v>1050</v>
      </c>
    </row>
    <row r="26" spans="1:7" ht="18" x14ac:dyDescent="0.2">
      <c r="A26" s="7" t="s">
        <v>37</v>
      </c>
      <c r="B26" s="7" t="s">
        <v>0</v>
      </c>
      <c r="C26" s="7" t="s">
        <v>3</v>
      </c>
      <c r="D26" s="7">
        <f t="shared" si="0"/>
        <v>49</v>
      </c>
      <c r="E26" s="7">
        <v>525</v>
      </c>
      <c r="F26" s="7">
        <v>41</v>
      </c>
      <c r="G26" s="7">
        <v>1330</v>
      </c>
    </row>
    <row r="27" spans="1:7" ht="18" x14ac:dyDescent="0.2">
      <c r="A27" s="7" t="s">
        <v>37</v>
      </c>
      <c r="B27" s="7" t="s">
        <v>0</v>
      </c>
      <c r="C27" s="7" t="s">
        <v>3</v>
      </c>
      <c r="D27" s="7">
        <f t="shared" si="0"/>
        <v>56</v>
      </c>
      <c r="E27" s="7">
        <v>622</v>
      </c>
      <c r="F27" s="7">
        <v>44</v>
      </c>
      <c r="G27" s="7">
        <v>1640</v>
      </c>
    </row>
    <row r="28" spans="1:7" ht="18" x14ac:dyDescent="0.2">
      <c r="A28" s="7" t="s">
        <v>37</v>
      </c>
      <c r="B28" s="7" t="s">
        <v>0</v>
      </c>
      <c r="C28" s="7" t="s">
        <v>3</v>
      </c>
      <c r="D28" s="7">
        <f t="shared" si="0"/>
        <v>63</v>
      </c>
      <c r="E28" s="7">
        <v>718</v>
      </c>
      <c r="F28" s="7">
        <v>47</v>
      </c>
      <c r="G28" s="7">
        <v>1970</v>
      </c>
    </row>
    <row r="29" spans="1:7" ht="18" x14ac:dyDescent="0.2">
      <c r="A29" s="7" t="s">
        <v>37</v>
      </c>
      <c r="B29" s="7" t="s">
        <v>0</v>
      </c>
      <c r="C29" s="7" t="s">
        <v>3</v>
      </c>
      <c r="D29" s="7">
        <f t="shared" si="0"/>
        <v>70</v>
      </c>
      <c r="E29" s="7">
        <v>812</v>
      </c>
      <c r="F29" s="7">
        <v>50</v>
      </c>
      <c r="G29" s="7">
        <v>2320</v>
      </c>
    </row>
    <row r="30" spans="1:7" ht="18" x14ac:dyDescent="0.2">
      <c r="A30" s="7" t="s">
        <v>37</v>
      </c>
      <c r="B30" s="7" t="s">
        <v>0</v>
      </c>
      <c r="C30" s="7" t="s">
        <v>3</v>
      </c>
      <c r="D30" s="7">
        <f t="shared" si="0"/>
        <v>77</v>
      </c>
      <c r="E30" s="7">
        <v>897</v>
      </c>
      <c r="F30" s="7">
        <v>53</v>
      </c>
      <c r="G30" s="7">
        <v>2700</v>
      </c>
    </row>
    <row r="31" spans="1:7" ht="18" x14ac:dyDescent="0.2">
      <c r="A31" s="7" t="s">
        <v>37</v>
      </c>
      <c r="B31" s="7" t="s">
        <v>0</v>
      </c>
      <c r="C31" s="7" t="s">
        <v>3</v>
      </c>
      <c r="D31" s="7">
        <f t="shared" si="0"/>
        <v>84</v>
      </c>
      <c r="E31" s="7">
        <v>973</v>
      </c>
      <c r="F31" s="7">
        <v>56</v>
      </c>
      <c r="G31" s="7">
        <v>3090</v>
      </c>
    </row>
    <row r="32" spans="1:7" ht="18" x14ac:dyDescent="0.2">
      <c r="A32" s="7" t="s">
        <v>37</v>
      </c>
      <c r="B32" s="7" t="s">
        <v>0</v>
      </c>
      <c r="C32" s="7" t="s">
        <v>3</v>
      </c>
      <c r="D32" s="7">
        <f t="shared" si="0"/>
        <v>91</v>
      </c>
      <c r="E32" s="7">
        <v>1039</v>
      </c>
      <c r="F32" s="7">
        <v>60</v>
      </c>
      <c r="G32" s="7">
        <v>3500</v>
      </c>
    </row>
    <row r="33" spans="1:7" ht="18" x14ac:dyDescent="0.2">
      <c r="A33" s="7" t="s">
        <v>37</v>
      </c>
      <c r="B33" s="7" t="s">
        <v>0</v>
      </c>
      <c r="C33" s="7" t="s">
        <v>3</v>
      </c>
      <c r="D33" s="7">
        <f t="shared" si="0"/>
        <v>98</v>
      </c>
      <c r="E33" s="7">
        <v>1097</v>
      </c>
      <c r="F33" s="7">
        <v>63</v>
      </c>
      <c r="G33" s="7">
        <v>3950</v>
      </c>
    </row>
    <row r="34" spans="1:7" ht="18" x14ac:dyDescent="0.2">
      <c r="A34" s="7" t="s">
        <v>37</v>
      </c>
      <c r="B34" s="7" t="s">
        <v>0</v>
      </c>
      <c r="C34" s="7" t="s">
        <v>3</v>
      </c>
      <c r="D34" s="7">
        <f t="shared" si="0"/>
        <v>105</v>
      </c>
      <c r="E34" s="7">
        <v>1147</v>
      </c>
      <c r="F34" s="7">
        <v>66</v>
      </c>
      <c r="G34" s="7">
        <v>4410</v>
      </c>
    </row>
    <row r="35" spans="1:7" ht="18" x14ac:dyDescent="0.2">
      <c r="A35" s="7" t="s">
        <v>37</v>
      </c>
      <c r="B35" s="7" t="s">
        <v>0</v>
      </c>
      <c r="C35" s="7" t="s">
        <v>3</v>
      </c>
      <c r="D35" s="7">
        <f t="shared" si="0"/>
        <v>112</v>
      </c>
      <c r="E35" s="7">
        <v>1194</v>
      </c>
      <c r="F35" s="7">
        <v>70</v>
      </c>
      <c r="G35" s="7">
        <v>4900</v>
      </c>
    </row>
    <row r="36" spans="1:7" ht="18" x14ac:dyDescent="0.2">
      <c r="A36" s="7" t="s">
        <v>37</v>
      </c>
      <c r="B36" s="7" t="s">
        <v>0</v>
      </c>
      <c r="C36" s="7" t="s">
        <v>3</v>
      </c>
      <c r="D36" s="7">
        <f t="shared" si="0"/>
        <v>119</v>
      </c>
      <c r="E36" s="7">
        <v>1241</v>
      </c>
      <c r="F36" s="7">
        <v>73</v>
      </c>
      <c r="G36" s="7">
        <v>5410</v>
      </c>
    </row>
    <row r="37" spans="1:7" ht="18" x14ac:dyDescent="0.2">
      <c r="A37" s="7" t="s">
        <v>37</v>
      </c>
      <c r="B37" s="7" t="s">
        <v>0</v>
      </c>
      <c r="C37" s="7" t="s">
        <v>3</v>
      </c>
      <c r="D37" s="7">
        <f t="shared" si="0"/>
        <v>126</v>
      </c>
      <c r="E37" s="7">
        <v>1287</v>
      </c>
      <c r="F37" s="7">
        <v>77</v>
      </c>
      <c r="G37" s="7">
        <v>5950</v>
      </c>
    </row>
    <row r="38" spans="1:7" ht="18" x14ac:dyDescent="0.2">
      <c r="A38" s="7" t="s">
        <v>37</v>
      </c>
      <c r="B38" s="7" t="s">
        <v>0</v>
      </c>
      <c r="C38" s="7" t="s">
        <v>3</v>
      </c>
      <c r="D38" s="7">
        <f t="shared" si="0"/>
        <v>133</v>
      </c>
      <c r="E38" s="7">
        <v>1330</v>
      </c>
      <c r="F38" s="7">
        <v>81</v>
      </c>
      <c r="G38" s="7">
        <v>6520</v>
      </c>
    </row>
    <row r="39" spans="1:7" ht="18" x14ac:dyDescent="0.2">
      <c r="A39" s="7" t="s">
        <v>37</v>
      </c>
      <c r="B39" s="7" t="s">
        <v>0</v>
      </c>
      <c r="C39" s="7" t="s">
        <v>3</v>
      </c>
      <c r="D39" s="7">
        <f t="shared" si="0"/>
        <v>140</v>
      </c>
      <c r="E39" s="7">
        <v>1368</v>
      </c>
      <c r="F39" s="7">
        <v>85</v>
      </c>
      <c r="G39" s="7">
        <v>7110</v>
      </c>
    </row>
    <row r="40" spans="1:7" ht="18" x14ac:dyDescent="0.2">
      <c r="A40" s="7" t="s">
        <v>37</v>
      </c>
      <c r="B40" s="7" t="s">
        <v>0</v>
      </c>
      <c r="C40" s="7" t="s">
        <v>3</v>
      </c>
      <c r="D40" s="7">
        <f t="shared" si="0"/>
        <v>147</v>
      </c>
      <c r="E40" s="7">
        <v>1402</v>
      </c>
      <c r="F40" s="7">
        <v>88</v>
      </c>
      <c r="G40" s="7">
        <v>7730</v>
      </c>
    </row>
    <row r="41" spans="1:7" ht="18" x14ac:dyDescent="0.2">
      <c r="A41" s="7" t="s">
        <v>37</v>
      </c>
      <c r="B41" s="7" t="s">
        <v>0</v>
      </c>
      <c r="C41" s="7" t="s">
        <v>3</v>
      </c>
      <c r="D41" s="7">
        <f t="shared" si="0"/>
        <v>154</v>
      </c>
      <c r="E41" s="7">
        <v>1433</v>
      </c>
      <c r="F41" s="7">
        <v>91</v>
      </c>
      <c r="G41" s="7">
        <v>8370</v>
      </c>
    </row>
    <row r="42" spans="1:7" ht="18" x14ac:dyDescent="0.2">
      <c r="A42" s="7" t="s">
        <v>37</v>
      </c>
      <c r="B42" s="7" t="s">
        <v>0</v>
      </c>
      <c r="C42" s="7" t="s">
        <v>3</v>
      </c>
      <c r="D42" s="7">
        <f t="shared" si="0"/>
        <v>161</v>
      </c>
      <c r="E42" s="7">
        <v>1461</v>
      </c>
      <c r="F42" s="7">
        <v>94</v>
      </c>
      <c r="G42" s="7">
        <v>9030</v>
      </c>
    </row>
    <row r="43" spans="1:7" ht="18" x14ac:dyDescent="0.2">
      <c r="A43" s="7" t="s">
        <v>37</v>
      </c>
      <c r="B43" s="7" t="s">
        <v>0</v>
      </c>
      <c r="C43" s="7" t="s">
        <v>3</v>
      </c>
      <c r="D43" s="7">
        <f t="shared" si="0"/>
        <v>168</v>
      </c>
      <c r="E43" s="7">
        <v>1487</v>
      </c>
      <c r="F43" s="7">
        <v>96</v>
      </c>
      <c r="G43" s="7">
        <v>9700</v>
      </c>
    </row>
    <row r="44" spans="1:7" ht="18" x14ac:dyDescent="0.2">
      <c r="A44" s="7" t="s">
        <v>37</v>
      </c>
      <c r="B44" s="7" t="s">
        <v>0</v>
      </c>
      <c r="C44" s="7" t="s">
        <v>3</v>
      </c>
      <c r="D44" s="7">
        <f t="shared" si="0"/>
        <v>175</v>
      </c>
      <c r="E44" s="7">
        <v>1511</v>
      </c>
      <c r="F44" s="7">
        <v>97</v>
      </c>
      <c r="G44" s="7">
        <v>10380</v>
      </c>
    </row>
    <row r="45" spans="1:7" ht="18" x14ac:dyDescent="0.2">
      <c r="A45" s="7" t="s">
        <v>37</v>
      </c>
      <c r="B45" s="7" t="s">
        <v>0</v>
      </c>
      <c r="C45" s="7" t="s">
        <v>3</v>
      </c>
      <c r="D45" s="7">
        <f t="shared" si="0"/>
        <v>182</v>
      </c>
      <c r="E45" s="7">
        <v>1533</v>
      </c>
      <c r="F45" s="7">
        <v>99</v>
      </c>
      <c r="G45" s="7">
        <v>11070</v>
      </c>
    </row>
    <row r="46" spans="1:7" ht="18" x14ac:dyDescent="0.2">
      <c r="A46" s="7" t="s">
        <v>37</v>
      </c>
      <c r="B46" s="7" t="s">
        <v>0</v>
      </c>
      <c r="C46" s="7" t="s">
        <v>3</v>
      </c>
      <c r="D46" s="7">
        <f t="shared" si="0"/>
        <v>189</v>
      </c>
      <c r="E46" s="7">
        <v>1552</v>
      </c>
      <c r="F46" s="7">
        <v>100</v>
      </c>
      <c r="G46" s="7">
        <v>11770</v>
      </c>
    </row>
    <row r="47" spans="1:7" ht="18" x14ac:dyDescent="0.2">
      <c r="A47" s="7" t="s">
        <v>37</v>
      </c>
      <c r="B47" s="7" t="s">
        <v>0</v>
      </c>
      <c r="C47" s="7" t="s">
        <v>3</v>
      </c>
      <c r="D47" s="7">
        <f t="shared" si="0"/>
        <v>196</v>
      </c>
      <c r="E47" s="7">
        <v>1569</v>
      </c>
      <c r="F47" s="7">
        <v>101</v>
      </c>
      <c r="G47" s="7">
        <v>12480</v>
      </c>
    </row>
    <row r="48" spans="1:7" ht="18" x14ac:dyDescent="0.2">
      <c r="A48" s="7" t="s">
        <v>37</v>
      </c>
      <c r="B48" s="7" t="s">
        <v>0</v>
      </c>
      <c r="C48" s="7" t="s">
        <v>3</v>
      </c>
      <c r="D48" s="7">
        <f t="shared" si="0"/>
        <v>203</v>
      </c>
      <c r="E48" s="7">
        <v>1583</v>
      </c>
      <c r="F48" s="7">
        <v>102</v>
      </c>
      <c r="G48" s="7">
        <v>13190</v>
      </c>
    </row>
    <row r="49" spans="1:7" ht="18" x14ac:dyDescent="0.2">
      <c r="A49" s="7" t="s">
        <v>37</v>
      </c>
      <c r="B49" s="7" t="s">
        <v>0</v>
      </c>
      <c r="C49" s="7" t="s">
        <v>3</v>
      </c>
      <c r="D49" s="7">
        <f t="shared" si="0"/>
        <v>210</v>
      </c>
      <c r="E49" s="7">
        <v>1595</v>
      </c>
      <c r="F49" s="7">
        <v>103</v>
      </c>
      <c r="G49" s="7">
        <v>13910</v>
      </c>
    </row>
    <row r="50" spans="1:7" ht="18" x14ac:dyDescent="0.2">
      <c r="A50" s="7" t="s">
        <v>37</v>
      </c>
      <c r="B50" s="7" t="s">
        <v>0</v>
      </c>
      <c r="C50" s="7" t="s">
        <v>3</v>
      </c>
      <c r="D50" s="7">
        <f t="shared" si="0"/>
        <v>217</v>
      </c>
      <c r="E50" s="7">
        <v>1606</v>
      </c>
      <c r="F50" s="7">
        <v>104</v>
      </c>
      <c r="G50" s="7">
        <v>14640</v>
      </c>
    </row>
    <row r="51" spans="1:7" ht="18" x14ac:dyDescent="0.2">
      <c r="A51" s="7" t="s">
        <v>37</v>
      </c>
      <c r="B51" s="7" t="s">
        <v>0</v>
      </c>
      <c r="C51" s="7" t="s">
        <v>3</v>
      </c>
      <c r="D51" s="7">
        <f t="shared" si="0"/>
        <v>224</v>
      </c>
      <c r="E51" s="7">
        <v>1615</v>
      </c>
      <c r="F51" s="7">
        <v>105</v>
      </c>
      <c r="G51" s="7">
        <v>15380</v>
      </c>
    </row>
    <row r="52" spans="1:7" ht="18" x14ac:dyDescent="0.2">
      <c r="A52" s="7" t="s">
        <v>37</v>
      </c>
      <c r="B52" s="7" t="s">
        <v>0</v>
      </c>
      <c r="C52" s="7" t="s">
        <v>3</v>
      </c>
      <c r="D52" s="7">
        <f t="shared" si="0"/>
        <v>231</v>
      </c>
      <c r="E52" s="7">
        <v>1623</v>
      </c>
      <c r="F52" s="7">
        <v>106</v>
      </c>
      <c r="G52" s="7">
        <v>16120</v>
      </c>
    </row>
    <row r="53" spans="1:7" ht="18" x14ac:dyDescent="0.2">
      <c r="A53" s="7" t="s">
        <v>37</v>
      </c>
      <c r="B53" s="7" t="s">
        <v>0</v>
      </c>
      <c r="C53" s="7" t="s">
        <v>3</v>
      </c>
      <c r="D53" s="7">
        <f t="shared" si="0"/>
        <v>238</v>
      </c>
      <c r="E53" s="7">
        <v>1629</v>
      </c>
      <c r="F53" s="7">
        <v>106</v>
      </c>
      <c r="G53" s="7">
        <v>16860</v>
      </c>
    </row>
    <row r="54" spans="1:7" ht="18" x14ac:dyDescent="0.2">
      <c r="A54" s="7" t="s">
        <v>37</v>
      </c>
      <c r="B54" s="7" t="s">
        <v>0</v>
      </c>
      <c r="C54" s="7" t="s">
        <v>3</v>
      </c>
      <c r="D54" s="7">
        <f t="shared" si="0"/>
        <v>245</v>
      </c>
      <c r="E54" s="7">
        <v>1634</v>
      </c>
      <c r="F54" s="7">
        <v>107</v>
      </c>
      <c r="G54" s="7">
        <v>17610</v>
      </c>
    </row>
    <row r="55" spans="1:7" ht="18" x14ac:dyDescent="0.2">
      <c r="A55" s="7" t="s">
        <v>37</v>
      </c>
      <c r="B55" s="7" t="s">
        <v>0</v>
      </c>
      <c r="C55" s="7" t="s">
        <v>3</v>
      </c>
      <c r="D55" s="7">
        <f t="shared" si="0"/>
        <v>252</v>
      </c>
      <c r="E55" s="7">
        <v>1639</v>
      </c>
      <c r="F55" s="7">
        <v>108</v>
      </c>
      <c r="G55" s="7">
        <v>18370</v>
      </c>
    </row>
    <row r="56" spans="1:7" ht="18" x14ac:dyDescent="0.2">
      <c r="A56" s="7" t="s">
        <v>37</v>
      </c>
      <c r="B56" s="7" t="s">
        <v>0</v>
      </c>
      <c r="C56" s="7" t="s">
        <v>3</v>
      </c>
      <c r="D56" s="7">
        <f t="shared" si="0"/>
        <v>259</v>
      </c>
      <c r="E56" s="7">
        <v>1642</v>
      </c>
      <c r="F56" s="7">
        <v>108</v>
      </c>
      <c r="G56" s="7">
        <v>19130</v>
      </c>
    </row>
    <row r="57" spans="1:7" ht="18" x14ac:dyDescent="0.2">
      <c r="A57" s="7" t="s">
        <v>37</v>
      </c>
      <c r="B57" s="7" t="s">
        <v>0</v>
      </c>
      <c r="C57" s="7" t="s">
        <v>3</v>
      </c>
      <c r="D57" s="7">
        <f t="shared" si="0"/>
        <v>266</v>
      </c>
      <c r="E57" s="7">
        <v>1646</v>
      </c>
      <c r="F57" s="7">
        <v>108</v>
      </c>
      <c r="G57" s="7">
        <v>19890</v>
      </c>
    </row>
    <row r="58" spans="1:7" ht="18" x14ac:dyDescent="0.2">
      <c r="A58" s="7" t="s">
        <v>37</v>
      </c>
      <c r="B58" s="7" t="s">
        <v>0</v>
      </c>
      <c r="C58" s="7" t="s">
        <v>3</v>
      </c>
      <c r="D58" s="7">
        <f t="shared" si="0"/>
        <v>273</v>
      </c>
      <c r="E58" s="7">
        <v>1648</v>
      </c>
      <c r="F58" s="7">
        <v>109</v>
      </c>
      <c r="G58" s="7">
        <v>20650</v>
      </c>
    </row>
    <row r="59" spans="1:7" ht="18" x14ac:dyDescent="0.2">
      <c r="A59" s="7" t="s">
        <v>37</v>
      </c>
      <c r="B59" s="7" t="s">
        <v>0</v>
      </c>
      <c r="C59" s="7" t="s">
        <v>3</v>
      </c>
      <c r="D59" s="7">
        <f t="shared" si="0"/>
        <v>280</v>
      </c>
      <c r="E59" s="7">
        <v>1651</v>
      </c>
      <c r="F59" s="7">
        <v>109</v>
      </c>
      <c r="G59" s="7">
        <v>21410</v>
      </c>
    </row>
    <row r="60" spans="1:7" ht="18" x14ac:dyDescent="0.2">
      <c r="A60" s="7" t="s">
        <v>37</v>
      </c>
      <c r="B60" s="7" t="s">
        <v>0</v>
      </c>
      <c r="C60" s="7" t="s">
        <v>3</v>
      </c>
      <c r="D60" s="7">
        <f t="shared" si="0"/>
        <v>287</v>
      </c>
      <c r="E60" s="7">
        <v>1653</v>
      </c>
      <c r="F60" s="7">
        <v>109</v>
      </c>
      <c r="G60" s="7">
        <v>22170</v>
      </c>
    </row>
    <row r="61" spans="1:7" ht="18" x14ac:dyDescent="0.2">
      <c r="A61" s="7" t="s">
        <v>37</v>
      </c>
      <c r="B61" s="7" t="s">
        <v>0</v>
      </c>
      <c r="C61" s="7" t="s">
        <v>3</v>
      </c>
      <c r="D61" s="7">
        <f t="shared" si="0"/>
        <v>294</v>
      </c>
      <c r="E61" s="7">
        <v>1654</v>
      </c>
      <c r="F61" s="7">
        <v>109</v>
      </c>
      <c r="G61" s="7">
        <v>22930</v>
      </c>
    </row>
    <row r="62" spans="1:7" ht="18" x14ac:dyDescent="0.2">
      <c r="A62" s="7" t="s">
        <v>37</v>
      </c>
      <c r="B62" s="7" t="s">
        <v>0</v>
      </c>
      <c r="C62" s="7" t="s">
        <v>3</v>
      </c>
      <c r="D62" s="7">
        <f t="shared" si="0"/>
        <v>301</v>
      </c>
      <c r="E62" s="7">
        <v>1656</v>
      </c>
      <c r="F62" s="7">
        <v>109</v>
      </c>
      <c r="G62" s="7">
        <v>23690</v>
      </c>
    </row>
    <row r="63" spans="1:7" ht="18" x14ac:dyDescent="0.2">
      <c r="A63" s="7" t="s">
        <v>37</v>
      </c>
      <c r="B63" s="7" t="s">
        <v>0</v>
      </c>
      <c r="C63" s="7" t="s">
        <v>3</v>
      </c>
      <c r="D63" s="7">
        <f t="shared" si="0"/>
        <v>308</v>
      </c>
      <c r="E63" s="7">
        <v>1656</v>
      </c>
      <c r="F63" s="7">
        <v>109</v>
      </c>
      <c r="G63" s="7">
        <v>24450</v>
      </c>
    </row>
    <row r="64" spans="1:7" ht="18" x14ac:dyDescent="0.2">
      <c r="A64" s="7" t="s">
        <v>37</v>
      </c>
      <c r="B64" s="7" t="s">
        <v>0</v>
      </c>
      <c r="C64" s="7" t="s">
        <v>3</v>
      </c>
      <c r="D64" s="7">
        <f t="shared" si="0"/>
        <v>315</v>
      </c>
      <c r="E64" s="7">
        <v>1658</v>
      </c>
      <c r="F64" s="7">
        <v>109</v>
      </c>
      <c r="G64" s="7">
        <v>25210</v>
      </c>
    </row>
    <row r="65" spans="1:7" ht="18" x14ac:dyDescent="0.2">
      <c r="A65" s="7" t="s">
        <v>37</v>
      </c>
      <c r="B65" s="7" t="s">
        <v>0</v>
      </c>
      <c r="C65" s="7" t="s">
        <v>3</v>
      </c>
      <c r="D65" s="7">
        <f t="shared" si="0"/>
        <v>322</v>
      </c>
      <c r="E65" s="7">
        <v>1659</v>
      </c>
      <c r="F65" s="7">
        <v>109</v>
      </c>
      <c r="G65" s="7">
        <v>25970</v>
      </c>
    </row>
    <row r="66" spans="1:7" ht="18" x14ac:dyDescent="0.2">
      <c r="A66" s="7" t="s">
        <v>37</v>
      </c>
      <c r="B66" s="7" t="s">
        <v>0</v>
      </c>
      <c r="C66" s="7" t="s">
        <v>3</v>
      </c>
      <c r="D66" s="7">
        <f t="shared" si="0"/>
        <v>329</v>
      </c>
      <c r="E66" s="7">
        <v>1660</v>
      </c>
      <c r="F66" s="7">
        <v>109</v>
      </c>
      <c r="G66" s="7">
        <v>26730</v>
      </c>
    </row>
    <row r="67" spans="1:7" ht="18" x14ac:dyDescent="0.2">
      <c r="A67" s="7" t="s">
        <v>37</v>
      </c>
      <c r="B67" s="7" t="s">
        <v>0</v>
      </c>
      <c r="C67" s="7" t="s">
        <v>3</v>
      </c>
      <c r="D67" s="7">
        <f t="shared" si="0"/>
        <v>336</v>
      </c>
      <c r="E67" s="7">
        <v>1661</v>
      </c>
      <c r="F67" s="7">
        <v>109</v>
      </c>
      <c r="G67" s="7">
        <v>27490</v>
      </c>
    </row>
    <row r="68" spans="1:7" ht="18" x14ac:dyDescent="0.2">
      <c r="A68" s="7" t="s">
        <v>37</v>
      </c>
      <c r="B68" s="7" t="s">
        <v>0</v>
      </c>
      <c r="C68" s="7" t="s">
        <v>3</v>
      </c>
      <c r="D68" s="7">
        <f t="shared" si="0"/>
        <v>343</v>
      </c>
      <c r="E68" s="7">
        <v>1662</v>
      </c>
      <c r="F68" s="7">
        <v>109</v>
      </c>
      <c r="G68" s="7">
        <v>28250</v>
      </c>
    </row>
    <row r="69" spans="1:7" ht="18" x14ac:dyDescent="0.2">
      <c r="A69" s="7" t="s">
        <v>37</v>
      </c>
      <c r="B69" s="7" t="s">
        <v>0</v>
      </c>
      <c r="C69" s="7" t="s">
        <v>3</v>
      </c>
      <c r="D69" s="7">
        <f t="shared" si="0"/>
        <v>350</v>
      </c>
      <c r="E69" s="7">
        <v>1663</v>
      </c>
      <c r="F69" s="7">
        <v>109</v>
      </c>
      <c r="G69" s="7">
        <v>29010</v>
      </c>
    </row>
    <row r="70" spans="1:7" ht="18" x14ac:dyDescent="0.2">
      <c r="A70" s="7" t="s">
        <v>37</v>
      </c>
      <c r="B70" s="7" t="s">
        <v>0</v>
      </c>
      <c r="C70" s="7" t="s">
        <v>3</v>
      </c>
      <c r="D70" s="7">
        <f t="shared" si="0"/>
        <v>357</v>
      </c>
      <c r="E70" s="7">
        <v>1664</v>
      </c>
      <c r="F70" s="7">
        <v>109</v>
      </c>
      <c r="G70" s="7">
        <v>29770</v>
      </c>
    </row>
    <row r="71" spans="1:7" ht="18" x14ac:dyDescent="0.2">
      <c r="A71" s="7" t="s">
        <v>37</v>
      </c>
      <c r="B71" s="7" t="s">
        <v>0</v>
      </c>
      <c r="C71" s="7" t="s">
        <v>3</v>
      </c>
      <c r="D71" s="7">
        <f t="shared" si="0"/>
        <v>364</v>
      </c>
      <c r="E71" s="7">
        <v>1665</v>
      </c>
      <c r="F71" s="7">
        <v>109</v>
      </c>
      <c r="G71" s="7">
        <v>30530</v>
      </c>
    </row>
    <row r="72" spans="1:7" ht="18" x14ac:dyDescent="0.2">
      <c r="A72" s="7" t="s">
        <v>37</v>
      </c>
      <c r="B72" s="7" t="s">
        <v>0</v>
      </c>
      <c r="C72" s="7" t="s">
        <v>3</v>
      </c>
      <c r="D72" s="7">
        <f t="shared" si="0"/>
        <v>371</v>
      </c>
      <c r="E72" s="7">
        <v>1666</v>
      </c>
      <c r="F72" s="7">
        <v>109</v>
      </c>
      <c r="G72" s="7">
        <v>31290</v>
      </c>
    </row>
    <row r="73" spans="1:7" ht="18" x14ac:dyDescent="0.2">
      <c r="A73" s="7" t="s">
        <v>37</v>
      </c>
      <c r="B73" s="7" t="s">
        <v>0</v>
      </c>
      <c r="C73" s="7" t="s">
        <v>3</v>
      </c>
      <c r="D73" s="7">
        <f t="shared" si="0"/>
        <v>378</v>
      </c>
      <c r="E73" s="7">
        <v>1667</v>
      </c>
      <c r="F73" s="7">
        <v>109</v>
      </c>
      <c r="G73" s="7">
        <v>32050</v>
      </c>
    </row>
    <row r="74" spans="1:7" ht="18" x14ac:dyDescent="0.2">
      <c r="A74" s="7" t="s">
        <v>37</v>
      </c>
      <c r="B74" s="7" t="s">
        <v>0</v>
      </c>
      <c r="C74" s="7" t="s">
        <v>3</v>
      </c>
      <c r="D74" s="7">
        <f t="shared" si="0"/>
        <v>385</v>
      </c>
      <c r="E74" s="7">
        <v>1668</v>
      </c>
      <c r="F74" s="7">
        <v>109</v>
      </c>
      <c r="G74" s="7">
        <v>32810</v>
      </c>
    </row>
    <row r="75" spans="1:7" ht="18" x14ac:dyDescent="0.2">
      <c r="A75" s="7" t="s">
        <v>37</v>
      </c>
      <c r="B75" s="7" t="s">
        <v>0</v>
      </c>
      <c r="C75" s="7" t="s">
        <v>3</v>
      </c>
      <c r="D75" s="7">
        <f t="shared" si="0"/>
        <v>392</v>
      </c>
      <c r="E75" s="7">
        <v>1669</v>
      </c>
      <c r="F75" s="7">
        <v>109</v>
      </c>
      <c r="G75" s="7">
        <v>33570</v>
      </c>
    </row>
    <row r="76" spans="1:7" ht="18" x14ac:dyDescent="0.2">
      <c r="A76" s="7" t="s">
        <v>37</v>
      </c>
      <c r="B76" s="7" t="s">
        <v>0</v>
      </c>
      <c r="C76" s="7" t="s">
        <v>3</v>
      </c>
      <c r="D76" s="7">
        <f t="shared" si="0"/>
        <v>399</v>
      </c>
      <c r="E76" s="7">
        <v>1670</v>
      </c>
      <c r="F76" s="7">
        <v>109</v>
      </c>
      <c r="G76" s="7">
        <v>34330</v>
      </c>
    </row>
    <row r="77" spans="1:7" ht="18" x14ac:dyDescent="0.2">
      <c r="A77" s="7" t="s">
        <v>37</v>
      </c>
      <c r="B77" s="7" t="s">
        <v>0</v>
      </c>
      <c r="C77" s="7" t="s">
        <v>3</v>
      </c>
      <c r="D77" s="7">
        <f t="shared" si="0"/>
        <v>406</v>
      </c>
      <c r="E77" s="7">
        <v>1671</v>
      </c>
      <c r="F77" s="7">
        <v>109</v>
      </c>
      <c r="G77" s="7">
        <v>35090</v>
      </c>
    </row>
    <row r="78" spans="1:7" ht="18" x14ac:dyDescent="0.2">
      <c r="A78" s="7" t="s">
        <v>37</v>
      </c>
      <c r="B78" s="7" t="s">
        <v>0</v>
      </c>
      <c r="C78" s="7" t="s">
        <v>3</v>
      </c>
      <c r="D78" s="7">
        <f t="shared" si="0"/>
        <v>413</v>
      </c>
      <c r="E78" s="7">
        <v>1672</v>
      </c>
      <c r="F78" s="7">
        <v>109</v>
      </c>
      <c r="G78" s="7">
        <v>35850</v>
      </c>
    </row>
    <row r="79" spans="1:7" ht="18" x14ac:dyDescent="0.2">
      <c r="A79" s="7" t="s">
        <v>37</v>
      </c>
      <c r="B79" s="7" t="s">
        <v>0</v>
      </c>
      <c r="C79" s="7" t="s">
        <v>3</v>
      </c>
      <c r="D79" s="7">
        <f t="shared" si="0"/>
        <v>420</v>
      </c>
      <c r="E79" s="7">
        <v>1673</v>
      </c>
      <c r="F79" s="7">
        <v>109</v>
      </c>
      <c r="G79" s="7">
        <v>36610</v>
      </c>
    </row>
    <row r="80" spans="1:7" ht="18" x14ac:dyDescent="0.2">
      <c r="A80" s="7" t="s">
        <v>37</v>
      </c>
      <c r="B80" s="7" t="s">
        <v>0</v>
      </c>
      <c r="C80" s="7" t="s">
        <v>3</v>
      </c>
      <c r="D80" s="7">
        <f t="shared" si="0"/>
        <v>427</v>
      </c>
      <c r="E80" s="7">
        <v>1674</v>
      </c>
      <c r="F80" s="7">
        <v>109</v>
      </c>
      <c r="G80" s="7">
        <v>37370</v>
      </c>
    </row>
    <row r="81" spans="1:7" ht="18" x14ac:dyDescent="0.2">
      <c r="A81" s="7" t="s">
        <v>37</v>
      </c>
      <c r="B81" s="7" t="s">
        <v>0</v>
      </c>
      <c r="C81" s="7" t="s">
        <v>3</v>
      </c>
      <c r="D81" s="7">
        <f t="shared" si="0"/>
        <v>434</v>
      </c>
      <c r="E81" s="7">
        <v>1675</v>
      </c>
      <c r="F81" s="7">
        <v>109</v>
      </c>
      <c r="G81" s="7">
        <v>38130</v>
      </c>
    </row>
    <row r="82" spans="1:7" ht="18" x14ac:dyDescent="0.2">
      <c r="A82" s="7" t="s">
        <v>37</v>
      </c>
      <c r="B82" s="7" t="s">
        <v>0</v>
      </c>
      <c r="C82" s="7" t="s">
        <v>3</v>
      </c>
      <c r="D82" s="7">
        <f t="shared" si="0"/>
        <v>441</v>
      </c>
      <c r="E82" s="7">
        <v>1676</v>
      </c>
      <c r="F82" s="7">
        <v>109</v>
      </c>
      <c r="G82" s="7">
        <v>38890</v>
      </c>
    </row>
    <row r="83" spans="1:7" ht="18" x14ac:dyDescent="0.2">
      <c r="A83" s="7" t="s">
        <v>37</v>
      </c>
      <c r="B83" s="7" t="s">
        <v>0</v>
      </c>
      <c r="C83" s="7" t="s">
        <v>3</v>
      </c>
      <c r="D83" s="7">
        <f t="shared" si="0"/>
        <v>448</v>
      </c>
      <c r="E83" s="7">
        <v>1678</v>
      </c>
      <c r="F83" s="7">
        <v>109</v>
      </c>
      <c r="G83" s="7">
        <v>39650</v>
      </c>
    </row>
    <row r="84" spans="1:7" ht="18" x14ac:dyDescent="0.2">
      <c r="A84" s="7" t="s">
        <v>37</v>
      </c>
      <c r="B84" s="7" t="s">
        <v>0</v>
      </c>
      <c r="C84" s="7" t="s">
        <v>3</v>
      </c>
      <c r="D84" s="7">
        <f t="shared" si="0"/>
        <v>455</v>
      </c>
      <c r="E84" s="7">
        <v>1678</v>
      </c>
      <c r="F84" s="7">
        <v>109</v>
      </c>
      <c r="G84" s="7">
        <v>40410</v>
      </c>
    </row>
    <row r="85" spans="1:7" ht="18" x14ac:dyDescent="0.2">
      <c r="A85" s="7" t="s">
        <v>37</v>
      </c>
      <c r="B85" s="7" t="s">
        <v>0</v>
      </c>
      <c r="C85" s="7" t="s">
        <v>3</v>
      </c>
      <c r="D85" s="7">
        <f t="shared" si="0"/>
        <v>462</v>
      </c>
      <c r="E85" s="7">
        <v>1680</v>
      </c>
      <c r="F85" s="7">
        <v>109</v>
      </c>
      <c r="G85" s="7">
        <v>41170</v>
      </c>
    </row>
    <row r="86" spans="1:7" ht="18" x14ac:dyDescent="0.2">
      <c r="A86" s="7" t="s">
        <v>37</v>
      </c>
      <c r="B86" s="7" t="s">
        <v>0</v>
      </c>
      <c r="C86" s="7" t="s">
        <v>3</v>
      </c>
      <c r="D86" s="7">
        <f t="shared" si="0"/>
        <v>469</v>
      </c>
      <c r="E86" s="7">
        <v>1681</v>
      </c>
      <c r="F86" s="7">
        <v>109</v>
      </c>
      <c r="G86" s="7">
        <v>41930</v>
      </c>
    </row>
    <row r="87" spans="1:7" ht="18" x14ac:dyDescent="0.2">
      <c r="A87" s="7" t="s">
        <v>37</v>
      </c>
      <c r="B87" s="7" t="s">
        <v>0</v>
      </c>
      <c r="C87" s="7" t="s">
        <v>3</v>
      </c>
      <c r="D87" s="7">
        <f t="shared" si="0"/>
        <v>476</v>
      </c>
      <c r="E87" s="7">
        <v>1681</v>
      </c>
      <c r="F87" s="7">
        <v>109</v>
      </c>
      <c r="G87" s="7">
        <v>42690</v>
      </c>
    </row>
    <row r="88" spans="1:7" ht="18" x14ac:dyDescent="0.2">
      <c r="A88" s="7" t="s">
        <v>37</v>
      </c>
      <c r="B88" s="7" t="s">
        <v>0</v>
      </c>
      <c r="C88" s="7" t="s">
        <v>3</v>
      </c>
      <c r="D88" s="7">
        <f t="shared" ref="D88:D119" si="1">D87+7</f>
        <v>483</v>
      </c>
      <c r="E88" s="7">
        <v>1683</v>
      </c>
      <c r="F88" s="7">
        <v>109</v>
      </c>
      <c r="G88" s="7">
        <v>43450</v>
      </c>
    </row>
    <row r="89" spans="1:7" ht="18" x14ac:dyDescent="0.2">
      <c r="A89" s="7" t="s">
        <v>37</v>
      </c>
      <c r="B89" s="7" t="s">
        <v>0</v>
      </c>
      <c r="C89" s="7" t="s">
        <v>3</v>
      </c>
      <c r="D89" s="7">
        <f t="shared" si="1"/>
        <v>490</v>
      </c>
      <c r="E89" s="7">
        <v>1683</v>
      </c>
      <c r="F89" s="7">
        <v>109</v>
      </c>
      <c r="G89" s="7">
        <v>44210</v>
      </c>
    </row>
    <row r="90" spans="1:7" ht="18" x14ac:dyDescent="0.2">
      <c r="A90" s="7" t="s">
        <v>37</v>
      </c>
      <c r="B90" s="7" t="s">
        <v>0</v>
      </c>
      <c r="C90" s="7" t="s">
        <v>3</v>
      </c>
      <c r="D90" s="7">
        <f t="shared" si="1"/>
        <v>497</v>
      </c>
      <c r="E90" s="7">
        <v>1685</v>
      </c>
      <c r="F90" s="7">
        <v>109</v>
      </c>
      <c r="G90" s="7">
        <v>44970</v>
      </c>
    </row>
    <row r="91" spans="1:7" ht="18" x14ac:dyDescent="0.2">
      <c r="A91" s="7" t="s">
        <v>37</v>
      </c>
      <c r="B91" s="7" t="s">
        <v>0</v>
      </c>
      <c r="C91" s="7" t="s">
        <v>3</v>
      </c>
      <c r="D91" s="7">
        <f t="shared" si="1"/>
        <v>504</v>
      </c>
      <c r="E91" s="7">
        <v>1686</v>
      </c>
      <c r="F91" s="7">
        <v>109</v>
      </c>
      <c r="G91" s="7">
        <v>45730</v>
      </c>
    </row>
    <row r="92" spans="1:7" ht="18" x14ac:dyDescent="0.2">
      <c r="A92" s="7" t="s">
        <v>37</v>
      </c>
      <c r="B92" s="7" t="s">
        <v>0</v>
      </c>
      <c r="C92" s="7" t="s">
        <v>3</v>
      </c>
      <c r="D92" s="7">
        <f t="shared" si="1"/>
        <v>511</v>
      </c>
      <c r="E92" s="7">
        <v>1686</v>
      </c>
      <c r="F92" s="7">
        <v>109</v>
      </c>
      <c r="G92" s="7">
        <v>46490</v>
      </c>
    </row>
    <row r="93" spans="1:7" ht="18" x14ac:dyDescent="0.2">
      <c r="A93" s="7" t="s">
        <v>37</v>
      </c>
      <c r="B93" s="7" t="s">
        <v>0</v>
      </c>
      <c r="C93" s="7" t="s">
        <v>3</v>
      </c>
      <c r="D93" s="7">
        <f t="shared" si="1"/>
        <v>518</v>
      </c>
      <c r="E93" s="7">
        <v>1688</v>
      </c>
      <c r="F93" s="7">
        <v>109</v>
      </c>
      <c r="G93" s="7">
        <v>47250</v>
      </c>
    </row>
    <row r="94" spans="1:7" ht="18" x14ac:dyDescent="0.2">
      <c r="A94" s="7" t="s">
        <v>37</v>
      </c>
      <c r="B94" s="7" t="s">
        <v>0</v>
      </c>
      <c r="C94" s="7" t="s">
        <v>3</v>
      </c>
      <c r="D94" s="7">
        <f t="shared" si="1"/>
        <v>525</v>
      </c>
      <c r="E94" s="7">
        <v>1689</v>
      </c>
      <c r="F94" s="7">
        <v>109</v>
      </c>
      <c r="G94" s="7">
        <v>48010</v>
      </c>
    </row>
    <row r="95" spans="1:7" ht="18" x14ac:dyDescent="0.2">
      <c r="A95" s="7" t="s">
        <v>37</v>
      </c>
      <c r="B95" s="7" t="s">
        <v>0</v>
      </c>
      <c r="C95" s="7" t="s">
        <v>3</v>
      </c>
      <c r="D95" s="7">
        <f t="shared" si="1"/>
        <v>532</v>
      </c>
      <c r="E95" s="7">
        <v>1690</v>
      </c>
      <c r="F95" s="7">
        <v>109</v>
      </c>
      <c r="G95" s="7">
        <v>48770</v>
      </c>
    </row>
    <row r="96" spans="1:7" ht="18" x14ac:dyDescent="0.2">
      <c r="A96" s="7" t="s">
        <v>37</v>
      </c>
      <c r="B96" s="7" t="s">
        <v>0</v>
      </c>
      <c r="C96" s="7" t="s">
        <v>3</v>
      </c>
      <c r="D96" s="7">
        <f t="shared" si="1"/>
        <v>539</v>
      </c>
      <c r="E96" s="7">
        <v>1691</v>
      </c>
      <c r="F96" s="7">
        <v>109</v>
      </c>
      <c r="G96" s="7">
        <v>49530</v>
      </c>
    </row>
    <row r="97" spans="1:7" ht="18" x14ac:dyDescent="0.2">
      <c r="A97" s="7" t="s">
        <v>37</v>
      </c>
      <c r="B97" s="7" t="s">
        <v>0</v>
      </c>
      <c r="C97" s="7" t="s">
        <v>3</v>
      </c>
      <c r="D97" s="7">
        <f t="shared" si="1"/>
        <v>546</v>
      </c>
      <c r="E97" s="7">
        <v>1692</v>
      </c>
      <c r="F97" s="7">
        <v>109</v>
      </c>
      <c r="G97" s="7">
        <v>50290</v>
      </c>
    </row>
    <row r="98" spans="1:7" ht="18" x14ac:dyDescent="0.2">
      <c r="A98" s="7" t="s">
        <v>37</v>
      </c>
      <c r="B98" s="7" t="s">
        <v>0</v>
      </c>
      <c r="C98" s="7" t="s">
        <v>3</v>
      </c>
      <c r="D98" s="7">
        <f t="shared" si="1"/>
        <v>553</v>
      </c>
      <c r="E98" s="7">
        <v>1693</v>
      </c>
      <c r="F98" s="7">
        <v>109</v>
      </c>
      <c r="G98" s="7">
        <v>51050</v>
      </c>
    </row>
    <row r="99" spans="1:7" ht="18" x14ac:dyDescent="0.2">
      <c r="A99" s="7" t="s">
        <v>37</v>
      </c>
      <c r="B99" s="7" t="s">
        <v>0</v>
      </c>
      <c r="C99" s="7" t="s">
        <v>3</v>
      </c>
      <c r="D99" s="7">
        <f t="shared" si="1"/>
        <v>560</v>
      </c>
      <c r="E99" s="7">
        <v>1694</v>
      </c>
      <c r="F99" s="7">
        <v>109</v>
      </c>
      <c r="G99" s="7">
        <v>51810</v>
      </c>
    </row>
    <row r="100" spans="1:7" ht="18" x14ac:dyDescent="0.2">
      <c r="A100" s="7" t="s">
        <v>37</v>
      </c>
      <c r="B100" s="7" t="s">
        <v>0</v>
      </c>
      <c r="C100" s="7" t="s">
        <v>3</v>
      </c>
      <c r="D100" s="7">
        <f t="shared" si="1"/>
        <v>567</v>
      </c>
      <c r="E100" s="7">
        <v>1695</v>
      </c>
      <c r="F100" s="7">
        <v>109</v>
      </c>
      <c r="G100" s="7">
        <v>52570</v>
      </c>
    </row>
    <row r="101" spans="1:7" ht="18" x14ac:dyDescent="0.2">
      <c r="A101" s="7" t="s">
        <v>37</v>
      </c>
      <c r="B101" s="7" t="s">
        <v>0</v>
      </c>
      <c r="C101" s="7" t="s">
        <v>3</v>
      </c>
      <c r="D101" s="7">
        <f t="shared" si="1"/>
        <v>574</v>
      </c>
      <c r="E101" s="7">
        <v>1696</v>
      </c>
      <c r="F101" s="7">
        <v>109</v>
      </c>
      <c r="G101" s="7">
        <v>53330</v>
      </c>
    </row>
    <row r="102" spans="1:7" ht="18" x14ac:dyDescent="0.2">
      <c r="A102" s="7" t="s">
        <v>37</v>
      </c>
      <c r="B102" s="7" t="s">
        <v>0</v>
      </c>
      <c r="C102" s="7" t="s">
        <v>3</v>
      </c>
      <c r="D102" s="7">
        <f t="shared" si="1"/>
        <v>581</v>
      </c>
      <c r="E102" s="7">
        <v>1697</v>
      </c>
      <c r="F102" s="7">
        <v>109</v>
      </c>
      <c r="G102" s="7">
        <v>54090</v>
      </c>
    </row>
    <row r="103" spans="1:7" ht="18" x14ac:dyDescent="0.2">
      <c r="A103" s="7" t="s">
        <v>37</v>
      </c>
      <c r="B103" s="7" t="s">
        <v>0</v>
      </c>
      <c r="C103" s="7" t="s">
        <v>3</v>
      </c>
      <c r="D103" s="7">
        <f t="shared" si="1"/>
        <v>588</v>
      </c>
      <c r="E103" s="7">
        <v>1698</v>
      </c>
      <c r="F103" s="7">
        <v>109</v>
      </c>
      <c r="G103" s="7">
        <v>54850</v>
      </c>
    </row>
    <row r="104" spans="1:7" ht="18" x14ac:dyDescent="0.2">
      <c r="A104" s="7" t="s">
        <v>37</v>
      </c>
      <c r="B104" s="7" t="s">
        <v>0</v>
      </c>
      <c r="C104" s="7" t="s">
        <v>3</v>
      </c>
      <c r="D104" s="7">
        <f t="shared" si="1"/>
        <v>595</v>
      </c>
      <c r="E104" s="7">
        <v>1699</v>
      </c>
      <c r="F104" s="7">
        <v>109</v>
      </c>
      <c r="G104" s="7">
        <v>55610</v>
      </c>
    </row>
    <row r="105" spans="1:7" ht="18" x14ac:dyDescent="0.2">
      <c r="A105" s="7" t="s">
        <v>37</v>
      </c>
      <c r="B105" s="7" t="s">
        <v>0</v>
      </c>
      <c r="C105" s="7" t="s">
        <v>3</v>
      </c>
      <c r="D105" s="7">
        <f t="shared" si="1"/>
        <v>602</v>
      </c>
      <c r="E105" s="7">
        <v>1700</v>
      </c>
      <c r="F105" s="7">
        <v>109</v>
      </c>
      <c r="G105" s="7">
        <v>56370</v>
      </c>
    </row>
    <row r="106" spans="1:7" ht="18" x14ac:dyDescent="0.2">
      <c r="A106" s="7" t="s">
        <v>37</v>
      </c>
      <c r="B106" s="7" t="s">
        <v>0</v>
      </c>
      <c r="C106" s="7" t="s">
        <v>3</v>
      </c>
      <c r="D106" s="7">
        <f t="shared" si="1"/>
        <v>609</v>
      </c>
      <c r="E106" s="7">
        <v>1701</v>
      </c>
      <c r="F106" s="7">
        <v>109</v>
      </c>
      <c r="G106" s="7">
        <v>57130</v>
      </c>
    </row>
    <row r="107" spans="1:7" ht="18" x14ac:dyDescent="0.2">
      <c r="A107" s="7" t="s">
        <v>37</v>
      </c>
      <c r="B107" s="7" t="s">
        <v>0</v>
      </c>
      <c r="C107" s="7" t="s">
        <v>3</v>
      </c>
      <c r="D107" s="7">
        <f t="shared" si="1"/>
        <v>616</v>
      </c>
      <c r="E107" s="7">
        <v>1702</v>
      </c>
      <c r="F107" s="7">
        <v>109</v>
      </c>
      <c r="G107" s="7">
        <v>57890</v>
      </c>
    </row>
    <row r="108" spans="1:7" ht="18" x14ac:dyDescent="0.2">
      <c r="A108" s="7" t="s">
        <v>37</v>
      </c>
      <c r="B108" s="7" t="s">
        <v>0</v>
      </c>
      <c r="C108" s="7" t="s">
        <v>3</v>
      </c>
      <c r="D108" s="7">
        <f t="shared" si="1"/>
        <v>623</v>
      </c>
      <c r="E108" s="7">
        <v>1703</v>
      </c>
      <c r="F108" s="7">
        <v>109</v>
      </c>
      <c r="G108" s="7">
        <v>58650</v>
      </c>
    </row>
    <row r="109" spans="1:7" ht="18" x14ac:dyDescent="0.2">
      <c r="A109" s="7" t="s">
        <v>37</v>
      </c>
      <c r="B109" s="7" t="s">
        <v>0</v>
      </c>
      <c r="C109" s="7" t="s">
        <v>3</v>
      </c>
      <c r="D109" s="7">
        <f t="shared" si="1"/>
        <v>630</v>
      </c>
      <c r="E109" s="7">
        <v>1704</v>
      </c>
      <c r="F109" s="7">
        <v>109</v>
      </c>
      <c r="G109" s="7">
        <v>59410</v>
      </c>
    </row>
    <row r="110" spans="1:7" ht="18" x14ac:dyDescent="0.2">
      <c r="A110" s="7" t="s">
        <v>37</v>
      </c>
      <c r="B110" s="7" t="s">
        <v>0</v>
      </c>
      <c r="C110" s="7" t="s">
        <v>3</v>
      </c>
      <c r="D110" s="7">
        <f t="shared" si="1"/>
        <v>637</v>
      </c>
      <c r="E110" s="7">
        <v>1705</v>
      </c>
      <c r="F110" s="7">
        <v>109</v>
      </c>
      <c r="G110" s="7">
        <v>60170</v>
      </c>
    </row>
    <row r="111" spans="1:7" ht="18" x14ac:dyDescent="0.2">
      <c r="A111" s="7" t="s">
        <v>37</v>
      </c>
      <c r="B111" s="7" t="s">
        <v>0</v>
      </c>
      <c r="C111" s="7" t="s">
        <v>3</v>
      </c>
      <c r="D111" s="7">
        <f t="shared" si="1"/>
        <v>644</v>
      </c>
      <c r="E111" s="7">
        <v>1707</v>
      </c>
      <c r="F111" s="7">
        <v>109</v>
      </c>
      <c r="G111" s="7">
        <v>60930</v>
      </c>
    </row>
    <row r="112" spans="1:7" ht="18" x14ac:dyDescent="0.2">
      <c r="A112" s="7" t="s">
        <v>37</v>
      </c>
      <c r="B112" s="7" t="s">
        <v>0</v>
      </c>
      <c r="C112" s="7" t="s">
        <v>3</v>
      </c>
      <c r="D112" s="7">
        <f t="shared" si="1"/>
        <v>651</v>
      </c>
      <c r="E112" s="7">
        <v>1707</v>
      </c>
      <c r="F112" s="7">
        <v>109</v>
      </c>
      <c r="G112" s="7">
        <v>61690</v>
      </c>
    </row>
    <row r="113" spans="1:7" ht="18" x14ac:dyDescent="0.2">
      <c r="A113" s="7" t="s">
        <v>37</v>
      </c>
      <c r="B113" s="7" t="s">
        <v>0</v>
      </c>
      <c r="C113" s="7" t="s">
        <v>3</v>
      </c>
      <c r="D113" s="7">
        <f t="shared" si="1"/>
        <v>658</v>
      </c>
      <c r="E113" s="7">
        <v>1708</v>
      </c>
      <c r="F113" s="7">
        <v>109</v>
      </c>
      <c r="G113" s="7">
        <v>62450</v>
      </c>
    </row>
    <row r="114" spans="1:7" ht="18" x14ac:dyDescent="0.2">
      <c r="A114" s="7" t="s">
        <v>37</v>
      </c>
      <c r="B114" s="7" t="s">
        <v>0</v>
      </c>
      <c r="C114" s="7" t="s">
        <v>3</v>
      </c>
      <c r="D114" s="7">
        <f t="shared" si="1"/>
        <v>665</v>
      </c>
      <c r="E114" s="7">
        <v>1710</v>
      </c>
      <c r="F114" s="7">
        <v>109</v>
      </c>
      <c r="G114" s="7">
        <v>63210</v>
      </c>
    </row>
    <row r="115" spans="1:7" ht="18" x14ac:dyDescent="0.2">
      <c r="A115" s="7" t="s">
        <v>37</v>
      </c>
      <c r="B115" s="7" t="s">
        <v>0</v>
      </c>
      <c r="C115" s="7" t="s">
        <v>3</v>
      </c>
      <c r="D115" s="7">
        <f t="shared" si="1"/>
        <v>672</v>
      </c>
      <c r="E115" s="7">
        <v>1710</v>
      </c>
      <c r="F115" s="7">
        <v>109</v>
      </c>
      <c r="G115" s="7">
        <v>63970</v>
      </c>
    </row>
    <row r="116" spans="1:7" ht="18" x14ac:dyDescent="0.2">
      <c r="A116" s="7" t="s">
        <v>37</v>
      </c>
      <c r="B116" s="7" t="s">
        <v>0</v>
      </c>
      <c r="C116" s="7" t="s">
        <v>3</v>
      </c>
      <c r="D116" s="7">
        <f t="shared" si="1"/>
        <v>679</v>
      </c>
      <c r="E116" s="7">
        <v>1712</v>
      </c>
      <c r="F116" s="7">
        <v>109</v>
      </c>
      <c r="G116" s="7">
        <v>64730</v>
      </c>
    </row>
    <row r="117" spans="1:7" ht="18" x14ac:dyDescent="0.2">
      <c r="A117" s="7" t="s">
        <v>37</v>
      </c>
      <c r="B117" s="7" t="s">
        <v>0</v>
      </c>
      <c r="C117" s="7" t="s">
        <v>3</v>
      </c>
      <c r="D117" s="7">
        <f t="shared" si="1"/>
        <v>686</v>
      </c>
      <c r="E117" s="7">
        <v>1713</v>
      </c>
      <c r="F117" s="7">
        <v>109</v>
      </c>
      <c r="G117" s="7">
        <v>65490</v>
      </c>
    </row>
    <row r="118" spans="1:7" ht="18" x14ac:dyDescent="0.2">
      <c r="A118" s="7" t="s">
        <v>37</v>
      </c>
      <c r="B118" s="7" t="s">
        <v>0</v>
      </c>
      <c r="C118" s="7" t="s">
        <v>3</v>
      </c>
      <c r="D118" s="7">
        <f t="shared" si="1"/>
        <v>693</v>
      </c>
      <c r="E118" s="7">
        <v>1714</v>
      </c>
      <c r="F118" s="7">
        <v>109</v>
      </c>
      <c r="G118" s="7">
        <v>66250</v>
      </c>
    </row>
    <row r="119" spans="1:7" ht="18" x14ac:dyDescent="0.2">
      <c r="A119" s="7" t="s">
        <v>37</v>
      </c>
      <c r="B119" s="7" t="s">
        <v>0</v>
      </c>
      <c r="C119" s="7" t="s">
        <v>3</v>
      </c>
      <c r="D119" s="7">
        <f t="shared" si="1"/>
        <v>700</v>
      </c>
      <c r="E119" s="7">
        <v>1715</v>
      </c>
      <c r="F119" s="7">
        <v>109</v>
      </c>
      <c r="G119" s="7">
        <v>67010</v>
      </c>
    </row>
    <row r="120" spans="1:7" ht="18" x14ac:dyDescent="0.2">
      <c r="A120" s="7" t="s">
        <v>37</v>
      </c>
      <c r="B120" s="7" t="s">
        <v>0</v>
      </c>
      <c r="C120" s="7" t="s">
        <v>4</v>
      </c>
      <c r="D120" s="7">
        <v>7</v>
      </c>
      <c r="E120" s="7">
        <v>67</v>
      </c>
      <c r="F120" s="7">
        <v>15</v>
      </c>
      <c r="G120" s="7">
        <v>86</v>
      </c>
    </row>
    <row r="121" spans="1:7" ht="18" x14ac:dyDescent="0.2">
      <c r="A121" s="7" t="s">
        <v>37</v>
      </c>
      <c r="B121" s="7" t="s">
        <v>0</v>
      </c>
      <c r="C121" s="7" t="s">
        <v>4</v>
      </c>
      <c r="D121" s="7">
        <v>14</v>
      </c>
      <c r="E121" s="7">
        <v>109</v>
      </c>
      <c r="F121" s="7">
        <v>19</v>
      </c>
      <c r="G121" s="7">
        <v>231</v>
      </c>
    </row>
    <row r="122" spans="1:7" ht="18" x14ac:dyDescent="0.2">
      <c r="A122" s="7" t="s">
        <v>37</v>
      </c>
      <c r="B122" s="7" t="s">
        <v>0</v>
      </c>
      <c r="C122" s="7" t="s">
        <v>4</v>
      </c>
      <c r="D122" s="7">
        <f>D121+7</f>
        <v>21</v>
      </c>
      <c r="E122" s="7">
        <v>166</v>
      </c>
      <c r="F122" s="7">
        <v>24</v>
      </c>
      <c r="G122" s="7">
        <v>399</v>
      </c>
    </row>
    <row r="123" spans="1:7" ht="18" x14ac:dyDescent="0.2">
      <c r="A123" s="7" t="s">
        <v>37</v>
      </c>
      <c r="B123" s="7" t="s">
        <v>0</v>
      </c>
      <c r="C123" s="7" t="s">
        <v>4</v>
      </c>
      <c r="D123" s="7">
        <f>D122+7</f>
        <v>28</v>
      </c>
      <c r="E123" s="7">
        <v>230</v>
      </c>
      <c r="F123" s="7">
        <v>32</v>
      </c>
      <c r="G123" s="7">
        <v>617</v>
      </c>
    </row>
    <row r="124" spans="1:7" ht="18" x14ac:dyDescent="0.2">
      <c r="A124" s="7" t="s">
        <v>37</v>
      </c>
      <c r="B124" s="7" t="s">
        <v>0</v>
      </c>
      <c r="C124" s="7" t="s">
        <v>4</v>
      </c>
      <c r="D124" s="7">
        <f t="shared" ref="D124:D187" si="2">D123+7</f>
        <v>35</v>
      </c>
      <c r="E124" s="7">
        <v>320</v>
      </c>
      <c r="F124" s="7">
        <v>36</v>
      </c>
      <c r="G124" s="7">
        <v>869</v>
      </c>
    </row>
    <row r="125" spans="1:7" ht="18" x14ac:dyDescent="0.2">
      <c r="A125" s="7" t="s">
        <v>37</v>
      </c>
      <c r="B125" s="7" t="s">
        <v>0</v>
      </c>
      <c r="C125" s="7" t="s">
        <v>4</v>
      </c>
      <c r="D125" s="7">
        <f t="shared" si="2"/>
        <v>42</v>
      </c>
      <c r="E125" s="7">
        <v>406</v>
      </c>
      <c r="F125" s="7">
        <v>41</v>
      </c>
      <c r="G125" s="7">
        <v>1158</v>
      </c>
    </row>
    <row r="126" spans="1:7" ht="18" x14ac:dyDescent="0.2">
      <c r="A126" s="7" t="s">
        <v>37</v>
      </c>
      <c r="B126" s="7" t="s">
        <v>0</v>
      </c>
      <c r="C126" s="7" t="s">
        <v>4</v>
      </c>
      <c r="D126" s="7">
        <f t="shared" si="2"/>
        <v>49</v>
      </c>
      <c r="E126" s="7">
        <v>502</v>
      </c>
      <c r="F126" s="7">
        <v>45</v>
      </c>
      <c r="G126" s="7">
        <v>1471</v>
      </c>
    </row>
    <row r="127" spans="1:7" ht="18" x14ac:dyDescent="0.2">
      <c r="A127" s="7" t="s">
        <v>37</v>
      </c>
      <c r="B127" s="7" t="s">
        <v>0</v>
      </c>
      <c r="C127" s="7" t="s">
        <v>4</v>
      </c>
      <c r="D127" s="7">
        <f t="shared" si="2"/>
        <v>56</v>
      </c>
      <c r="E127" s="7">
        <v>585</v>
      </c>
      <c r="F127" s="7">
        <v>49</v>
      </c>
      <c r="G127" s="7">
        <v>1811</v>
      </c>
    </row>
    <row r="128" spans="1:7" ht="18" x14ac:dyDescent="0.2">
      <c r="A128" s="7" t="s">
        <v>37</v>
      </c>
      <c r="B128" s="7" t="s">
        <v>0</v>
      </c>
      <c r="C128" s="7" t="s">
        <v>4</v>
      </c>
      <c r="D128" s="7">
        <f t="shared" si="2"/>
        <v>63</v>
      </c>
      <c r="E128" s="7">
        <v>685</v>
      </c>
      <c r="F128" s="7">
        <v>53</v>
      </c>
      <c r="G128" s="7">
        <v>2179</v>
      </c>
    </row>
    <row r="129" spans="1:7" ht="18" x14ac:dyDescent="0.2">
      <c r="A129" s="7" t="s">
        <v>37</v>
      </c>
      <c r="B129" s="7" t="s">
        <v>0</v>
      </c>
      <c r="C129" s="7" t="s">
        <v>4</v>
      </c>
      <c r="D129" s="7">
        <f t="shared" si="2"/>
        <v>70</v>
      </c>
      <c r="E129" s="7">
        <v>776</v>
      </c>
      <c r="F129" s="7">
        <v>56</v>
      </c>
      <c r="G129" s="7">
        <v>2570</v>
      </c>
    </row>
    <row r="130" spans="1:7" ht="18" x14ac:dyDescent="0.2">
      <c r="A130" s="7" t="s">
        <v>37</v>
      </c>
      <c r="B130" s="7" t="s">
        <v>0</v>
      </c>
      <c r="C130" s="7" t="s">
        <v>4</v>
      </c>
      <c r="D130" s="7">
        <f t="shared" si="2"/>
        <v>77</v>
      </c>
      <c r="E130" s="7">
        <v>862</v>
      </c>
      <c r="F130" s="7">
        <v>58</v>
      </c>
      <c r="G130" s="7">
        <v>2973</v>
      </c>
    </row>
    <row r="131" spans="1:7" ht="18" x14ac:dyDescent="0.2">
      <c r="A131" s="7" t="s">
        <v>37</v>
      </c>
      <c r="B131" s="7" t="s">
        <v>0</v>
      </c>
      <c r="C131" s="7" t="s">
        <v>4</v>
      </c>
      <c r="D131" s="7">
        <f t="shared" si="2"/>
        <v>84</v>
      </c>
      <c r="E131" s="7">
        <v>946</v>
      </c>
      <c r="F131" s="7">
        <v>59</v>
      </c>
      <c r="G131" s="7">
        <v>3384</v>
      </c>
    </row>
    <row r="132" spans="1:7" ht="18" x14ac:dyDescent="0.2">
      <c r="A132" s="7" t="s">
        <v>37</v>
      </c>
      <c r="B132" s="7" t="s">
        <v>0</v>
      </c>
      <c r="C132" s="7" t="s">
        <v>4</v>
      </c>
      <c r="D132" s="7">
        <f t="shared" si="2"/>
        <v>91</v>
      </c>
      <c r="E132" s="7">
        <v>1010</v>
      </c>
      <c r="F132" s="7">
        <v>61</v>
      </c>
      <c r="G132" s="7">
        <v>3813</v>
      </c>
    </row>
    <row r="133" spans="1:7" ht="18" x14ac:dyDescent="0.2">
      <c r="A133" s="7" t="s">
        <v>37</v>
      </c>
      <c r="B133" s="7" t="s">
        <v>0</v>
      </c>
      <c r="C133" s="7" t="s">
        <v>4</v>
      </c>
      <c r="D133" s="7">
        <f t="shared" si="2"/>
        <v>98</v>
      </c>
      <c r="E133" s="7">
        <v>1075</v>
      </c>
      <c r="F133" s="7">
        <v>63</v>
      </c>
      <c r="G133" s="7">
        <v>4251</v>
      </c>
    </row>
    <row r="134" spans="1:7" ht="18" x14ac:dyDescent="0.2">
      <c r="A134" s="7" t="s">
        <v>37</v>
      </c>
      <c r="B134" s="7" t="s">
        <v>0</v>
      </c>
      <c r="C134" s="7" t="s">
        <v>4</v>
      </c>
      <c r="D134" s="7">
        <f t="shared" si="2"/>
        <v>105</v>
      </c>
      <c r="E134" s="7">
        <v>1132</v>
      </c>
      <c r="F134" s="7">
        <v>65</v>
      </c>
      <c r="G134" s="7">
        <v>4701</v>
      </c>
    </row>
    <row r="135" spans="1:7" ht="18" x14ac:dyDescent="0.2">
      <c r="A135" s="7" t="s">
        <v>37</v>
      </c>
      <c r="B135" s="7" t="s">
        <v>0</v>
      </c>
      <c r="C135" s="7" t="s">
        <v>4</v>
      </c>
      <c r="D135" s="7">
        <f t="shared" si="2"/>
        <v>112</v>
      </c>
      <c r="E135" s="7">
        <v>1182</v>
      </c>
      <c r="F135" s="7">
        <v>67</v>
      </c>
      <c r="G135" s="7">
        <v>5165</v>
      </c>
    </row>
    <row r="136" spans="1:7" ht="18" x14ac:dyDescent="0.2">
      <c r="A136" s="7" t="s">
        <v>37</v>
      </c>
      <c r="B136" s="7" t="s">
        <v>0</v>
      </c>
      <c r="C136" s="7" t="s">
        <v>4</v>
      </c>
      <c r="D136" s="7">
        <f t="shared" si="2"/>
        <v>119</v>
      </c>
      <c r="E136" s="7">
        <v>1220</v>
      </c>
      <c r="F136" s="7">
        <v>70</v>
      </c>
      <c r="G136" s="7">
        <v>5651</v>
      </c>
    </row>
    <row r="137" spans="1:7" ht="18" x14ac:dyDescent="0.2">
      <c r="A137" s="7" t="s">
        <v>37</v>
      </c>
      <c r="B137" s="7" t="s">
        <v>0</v>
      </c>
      <c r="C137" s="7" t="s">
        <v>4</v>
      </c>
      <c r="D137" s="7">
        <f t="shared" si="2"/>
        <v>126</v>
      </c>
      <c r="E137" s="7">
        <v>1265</v>
      </c>
      <c r="F137" s="7">
        <v>69</v>
      </c>
      <c r="G137" s="7">
        <v>6134</v>
      </c>
    </row>
    <row r="138" spans="1:7" ht="18" x14ac:dyDescent="0.2">
      <c r="A138" s="7" t="s">
        <v>37</v>
      </c>
      <c r="B138" s="7" t="s">
        <v>0</v>
      </c>
      <c r="C138" s="7" t="s">
        <v>4</v>
      </c>
      <c r="D138" s="7">
        <f t="shared" si="2"/>
        <v>133</v>
      </c>
      <c r="E138" s="7">
        <v>1320</v>
      </c>
      <c r="F138" s="7">
        <v>73</v>
      </c>
      <c r="G138" s="7">
        <v>6645</v>
      </c>
    </row>
    <row r="139" spans="1:7" ht="18" x14ac:dyDescent="0.2">
      <c r="A139" s="7" t="s">
        <v>37</v>
      </c>
      <c r="B139" s="7" t="s">
        <v>0</v>
      </c>
      <c r="C139" s="7" t="s">
        <v>4</v>
      </c>
      <c r="D139" s="7">
        <f t="shared" si="2"/>
        <v>140</v>
      </c>
      <c r="E139" s="7">
        <v>1375</v>
      </c>
      <c r="F139" s="7">
        <v>77</v>
      </c>
      <c r="G139" s="7">
        <v>7184</v>
      </c>
    </row>
    <row r="140" spans="1:7" ht="18" x14ac:dyDescent="0.2">
      <c r="A140" s="7" t="s">
        <v>37</v>
      </c>
      <c r="B140" s="7" t="s">
        <v>0</v>
      </c>
      <c r="C140" s="7" t="s">
        <v>4</v>
      </c>
      <c r="D140" s="7">
        <f t="shared" si="2"/>
        <v>147</v>
      </c>
      <c r="E140" s="7">
        <v>1425</v>
      </c>
      <c r="F140" s="7">
        <v>80</v>
      </c>
      <c r="G140" s="7">
        <v>7744</v>
      </c>
    </row>
    <row r="141" spans="1:7" ht="18" x14ac:dyDescent="0.2">
      <c r="A141" s="7" t="s">
        <v>37</v>
      </c>
      <c r="B141" s="7" t="s">
        <v>0</v>
      </c>
      <c r="C141" s="7" t="s">
        <v>4</v>
      </c>
      <c r="D141" s="7">
        <f t="shared" si="2"/>
        <v>154</v>
      </c>
      <c r="E141" s="7">
        <v>1450</v>
      </c>
      <c r="F141" s="7">
        <v>84</v>
      </c>
      <c r="G141" s="7">
        <v>8332</v>
      </c>
    </row>
    <row r="142" spans="1:7" ht="18" x14ac:dyDescent="0.2">
      <c r="A142" s="7" t="s">
        <v>37</v>
      </c>
      <c r="B142" s="7" t="s">
        <v>0</v>
      </c>
      <c r="C142" s="7" t="s">
        <v>4</v>
      </c>
      <c r="D142" s="7">
        <f t="shared" si="2"/>
        <v>161</v>
      </c>
      <c r="E142" s="7">
        <v>1465</v>
      </c>
      <c r="F142" s="7">
        <v>89</v>
      </c>
      <c r="G142" s="7">
        <v>8955</v>
      </c>
    </row>
    <row r="143" spans="1:7" ht="18" x14ac:dyDescent="0.2">
      <c r="A143" s="7" t="s">
        <v>37</v>
      </c>
      <c r="B143" s="7" t="s">
        <v>0</v>
      </c>
      <c r="C143" s="7" t="s">
        <v>4</v>
      </c>
      <c r="D143" s="7">
        <f t="shared" si="2"/>
        <v>168</v>
      </c>
      <c r="E143" s="7">
        <v>1480</v>
      </c>
      <c r="F143" s="7">
        <v>93</v>
      </c>
      <c r="G143" s="7">
        <v>9606</v>
      </c>
    </row>
    <row r="144" spans="1:7" ht="18" x14ac:dyDescent="0.2">
      <c r="A144" s="7" t="s">
        <v>37</v>
      </c>
      <c r="B144" s="7" t="s">
        <v>0</v>
      </c>
      <c r="C144" s="7" t="s">
        <v>4</v>
      </c>
      <c r="D144" s="7">
        <f t="shared" si="2"/>
        <v>175</v>
      </c>
      <c r="E144" s="7">
        <v>1500</v>
      </c>
      <c r="F144" s="7">
        <v>96</v>
      </c>
      <c r="G144" s="7">
        <v>10278</v>
      </c>
    </row>
    <row r="145" spans="1:7" ht="18" x14ac:dyDescent="0.2">
      <c r="A145" s="7" t="s">
        <v>37</v>
      </c>
      <c r="B145" s="7" t="s">
        <v>0</v>
      </c>
      <c r="C145" s="7" t="s">
        <v>4</v>
      </c>
      <c r="D145" s="7">
        <f t="shared" si="2"/>
        <v>182</v>
      </c>
      <c r="E145" s="7">
        <v>1510</v>
      </c>
      <c r="F145" s="7">
        <v>98</v>
      </c>
      <c r="G145" s="7">
        <v>10964</v>
      </c>
    </row>
    <row r="146" spans="1:7" ht="18" x14ac:dyDescent="0.2">
      <c r="A146" s="7" t="s">
        <v>37</v>
      </c>
      <c r="B146" s="7" t="s">
        <v>0</v>
      </c>
      <c r="C146" s="7" t="s">
        <v>4</v>
      </c>
      <c r="D146" s="7">
        <f t="shared" si="2"/>
        <v>189</v>
      </c>
      <c r="E146" s="7">
        <v>1515</v>
      </c>
      <c r="F146" s="7">
        <v>99</v>
      </c>
      <c r="G146" s="7">
        <v>11657</v>
      </c>
    </row>
    <row r="147" spans="1:7" ht="18" x14ac:dyDescent="0.2">
      <c r="A147" s="7" t="s">
        <v>37</v>
      </c>
      <c r="B147" s="7" t="s">
        <v>0</v>
      </c>
      <c r="C147" s="7" t="s">
        <v>4</v>
      </c>
      <c r="D147" s="7">
        <f t="shared" si="2"/>
        <v>196</v>
      </c>
      <c r="E147" s="7">
        <v>1520</v>
      </c>
      <c r="F147" s="7">
        <v>100</v>
      </c>
      <c r="G147" s="7">
        <v>12357</v>
      </c>
    </row>
    <row r="148" spans="1:7" ht="18" x14ac:dyDescent="0.2">
      <c r="A148" s="7" t="s">
        <v>37</v>
      </c>
      <c r="B148" s="7" t="s">
        <v>0</v>
      </c>
      <c r="C148" s="7" t="s">
        <v>4</v>
      </c>
      <c r="D148" s="7">
        <f t="shared" si="2"/>
        <v>203</v>
      </c>
      <c r="E148" s="7">
        <v>1530</v>
      </c>
      <c r="F148" s="7">
        <v>100</v>
      </c>
      <c r="G148" s="7">
        <v>13057</v>
      </c>
    </row>
    <row r="149" spans="1:7" ht="18" x14ac:dyDescent="0.2">
      <c r="A149" s="7" t="s">
        <v>37</v>
      </c>
      <c r="B149" s="7" t="s">
        <v>0</v>
      </c>
      <c r="C149" s="7" t="s">
        <v>4</v>
      </c>
      <c r="D149" s="7">
        <f t="shared" si="2"/>
        <v>210</v>
      </c>
      <c r="E149" s="7">
        <v>1530</v>
      </c>
      <c r="F149" s="7">
        <v>100</v>
      </c>
      <c r="G149" s="7">
        <v>13757</v>
      </c>
    </row>
    <row r="150" spans="1:7" ht="18" x14ac:dyDescent="0.2">
      <c r="A150" s="7" t="s">
        <v>37</v>
      </c>
      <c r="B150" s="7" t="s">
        <v>0</v>
      </c>
      <c r="C150" s="7" t="s">
        <v>4</v>
      </c>
      <c r="D150" s="7">
        <f t="shared" si="2"/>
        <v>217</v>
      </c>
      <c r="E150" s="7">
        <v>1540</v>
      </c>
      <c r="F150" s="7">
        <v>100</v>
      </c>
      <c r="G150" s="7">
        <v>14457</v>
      </c>
    </row>
    <row r="151" spans="1:7" ht="18" x14ac:dyDescent="0.2">
      <c r="A151" s="7" t="s">
        <v>37</v>
      </c>
      <c r="B151" s="7" t="s">
        <v>0</v>
      </c>
      <c r="C151" s="7" t="s">
        <v>4</v>
      </c>
      <c r="D151" s="7">
        <f t="shared" si="2"/>
        <v>224</v>
      </c>
      <c r="E151" s="7">
        <v>1540</v>
      </c>
      <c r="F151" s="7">
        <v>101</v>
      </c>
      <c r="G151" s="7">
        <v>15164</v>
      </c>
    </row>
    <row r="152" spans="1:7" ht="18" x14ac:dyDescent="0.2">
      <c r="A152" s="7" t="s">
        <v>37</v>
      </c>
      <c r="B152" s="7" t="s">
        <v>0</v>
      </c>
      <c r="C152" s="7" t="s">
        <v>4</v>
      </c>
      <c r="D152" s="7">
        <f t="shared" si="2"/>
        <v>231</v>
      </c>
      <c r="E152" s="7">
        <v>1550</v>
      </c>
      <c r="F152" s="7">
        <v>101</v>
      </c>
      <c r="G152" s="7">
        <v>15871</v>
      </c>
    </row>
    <row r="153" spans="1:7" ht="18" x14ac:dyDescent="0.2">
      <c r="A153" s="7" t="s">
        <v>37</v>
      </c>
      <c r="B153" s="7" t="s">
        <v>0</v>
      </c>
      <c r="C153" s="7" t="s">
        <v>4</v>
      </c>
      <c r="D153" s="7">
        <f t="shared" si="2"/>
        <v>238</v>
      </c>
      <c r="E153" s="7">
        <v>1550</v>
      </c>
      <c r="F153" s="7">
        <v>101</v>
      </c>
      <c r="G153" s="7">
        <v>16578</v>
      </c>
    </row>
    <row r="154" spans="1:7" ht="18" x14ac:dyDescent="0.2">
      <c r="A154" s="7" t="s">
        <v>37</v>
      </c>
      <c r="B154" s="7" t="s">
        <v>0</v>
      </c>
      <c r="C154" s="7" t="s">
        <v>4</v>
      </c>
      <c r="D154" s="7">
        <f t="shared" si="2"/>
        <v>245</v>
      </c>
      <c r="E154" s="7">
        <v>1560</v>
      </c>
      <c r="F154" s="7">
        <v>101</v>
      </c>
      <c r="G154" s="7">
        <v>17285</v>
      </c>
    </row>
    <row r="155" spans="1:7" ht="18" x14ac:dyDescent="0.2">
      <c r="A155" s="7" t="s">
        <v>37</v>
      </c>
      <c r="B155" s="7" t="s">
        <v>0</v>
      </c>
      <c r="C155" s="7" t="s">
        <v>4</v>
      </c>
      <c r="D155" s="7">
        <f t="shared" si="2"/>
        <v>252</v>
      </c>
      <c r="E155" s="7">
        <v>1560</v>
      </c>
      <c r="F155" s="7">
        <v>102</v>
      </c>
      <c r="G155" s="7">
        <v>17999</v>
      </c>
    </row>
    <row r="156" spans="1:7" ht="18" x14ac:dyDescent="0.2">
      <c r="A156" s="7" t="s">
        <v>37</v>
      </c>
      <c r="B156" s="7" t="s">
        <v>0</v>
      </c>
      <c r="C156" s="7" t="s">
        <v>4</v>
      </c>
      <c r="D156" s="7">
        <f t="shared" si="2"/>
        <v>259</v>
      </c>
      <c r="E156" s="7">
        <v>1560</v>
      </c>
      <c r="F156" s="7">
        <v>102</v>
      </c>
      <c r="G156" s="7">
        <v>18713</v>
      </c>
    </row>
    <row r="157" spans="1:7" ht="18" x14ac:dyDescent="0.2">
      <c r="A157" s="7" t="s">
        <v>37</v>
      </c>
      <c r="B157" s="7" t="s">
        <v>0</v>
      </c>
      <c r="C157" s="7" t="s">
        <v>4</v>
      </c>
      <c r="D157" s="7">
        <f t="shared" si="2"/>
        <v>266</v>
      </c>
      <c r="E157" s="7">
        <v>1570</v>
      </c>
      <c r="F157" s="7">
        <v>102</v>
      </c>
      <c r="G157" s="7">
        <v>19427</v>
      </c>
    </row>
    <row r="158" spans="1:7" ht="18" x14ac:dyDescent="0.2">
      <c r="A158" s="7" t="s">
        <v>37</v>
      </c>
      <c r="B158" s="7" t="s">
        <v>0</v>
      </c>
      <c r="C158" s="7" t="s">
        <v>4</v>
      </c>
      <c r="D158" s="7">
        <f t="shared" si="2"/>
        <v>273</v>
      </c>
      <c r="E158" s="7">
        <v>1570</v>
      </c>
      <c r="F158" s="7">
        <v>102</v>
      </c>
      <c r="G158" s="7">
        <v>20141</v>
      </c>
    </row>
    <row r="159" spans="1:7" ht="18" x14ac:dyDescent="0.2">
      <c r="A159" s="7" t="s">
        <v>37</v>
      </c>
      <c r="B159" s="7" t="s">
        <v>0</v>
      </c>
      <c r="C159" s="7" t="s">
        <v>4</v>
      </c>
      <c r="D159" s="7">
        <f t="shared" si="2"/>
        <v>280</v>
      </c>
      <c r="E159" s="7">
        <v>1570</v>
      </c>
      <c r="F159" s="7">
        <v>102</v>
      </c>
      <c r="G159" s="7">
        <v>20855</v>
      </c>
    </row>
    <row r="160" spans="1:7" ht="18" x14ac:dyDescent="0.2">
      <c r="A160" s="7" t="s">
        <v>37</v>
      </c>
      <c r="B160" s="7" t="s">
        <v>0</v>
      </c>
      <c r="C160" s="7" t="s">
        <v>4</v>
      </c>
      <c r="D160" s="7">
        <f t="shared" si="2"/>
        <v>287</v>
      </c>
      <c r="E160" s="7">
        <v>1570</v>
      </c>
      <c r="F160" s="7">
        <v>102</v>
      </c>
      <c r="G160" s="7">
        <v>21569</v>
      </c>
    </row>
    <row r="161" spans="1:7" ht="18" x14ac:dyDescent="0.2">
      <c r="A161" s="7" t="s">
        <v>37</v>
      </c>
      <c r="B161" s="7" t="s">
        <v>0</v>
      </c>
      <c r="C161" s="7" t="s">
        <v>4</v>
      </c>
      <c r="D161" s="7">
        <f t="shared" si="2"/>
        <v>294</v>
      </c>
      <c r="E161" s="7">
        <v>1580</v>
      </c>
      <c r="F161" s="7">
        <v>102</v>
      </c>
      <c r="G161" s="7">
        <v>22283</v>
      </c>
    </row>
    <row r="162" spans="1:7" ht="18" x14ac:dyDescent="0.2">
      <c r="A162" s="7" t="s">
        <v>37</v>
      </c>
      <c r="B162" s="7" t="s">
        <v>0</v>
      </c>
      <c r="C162" s="7" t="s">
        <v>4</v>
      </c>
      <c r="D162" s="7">
        <f t="shared" si="2"/>
        <v>301</v>
      </c>
      <c r="E162" s="7">
        <v>1580</v>
      </c>
      <c r="F162" s="7">
        <v>102</v>
      </c>
      <c r="G162" s="7">
        <v>22997</v>
      </c>
    </row>
    <row r="163" spans="1:7" ht="18" x14ac:dyDescent="0.2">
      <c r="A163" s="7" t="s">
        <v>37</v>
      </c>
      <c r="B163" s="7" t="s">
        <v>0</v>
      </c>
      <c r="C163" s="7" t="s">
        <v>4</v>
      </c>
      <c r="D163" s="7">
        <f t="shared" si="2"/>
        <v>308</v>
      </c>
      <c r="E163" s="7">
        <v>1580</v>
      </c>
      <c r="F163" s="7">
        <v>102</v>
      </c>
      <c r="G163" s="7">
        <v>23711</v>
      </c>
    </row>
    <row r="164" spans="1:7" ht="18" x14ac:dyDescent="0.2">
      <c r="A164" s="7" t="s">
        <v>37</v>
      </c>
      <c r="B164" s="7" t="s">
        <v>0</v>
      </c>
      <c r="C164" s="7" t="s">
        <v>4</v>
      </c>
      <c r="D164" s="7">
        <f t="shared" si="2"/>
        <v>315</v>
      </c>
      <c r="E164" s="7">
        <v>1580</v>
      </c>
      <c r="F164" s="7">
        <v>102</v>
      </c>
      <c r="G164" s="7">
        <v>24425</v>
      </c>
    </row>
    <row r="165" spans="1:7" ht="18" x14ac:dyDescent="0.2">
      <c r="A165" s="7" t="s">
        <v>37</v>
      </c>
      <c r="B165" s="7" t="s">
        <v>0</v>
      </c>
      <c r="C165" s="7" t="s">
        <v>4</v>
      </c>
      <c r="D165" s="7">
        <f t="shared" si="2"/>
        <v>322</v>
      </c>
      <c r="E165" s="7">
        <v>1580</v>
      </c>
      <c r="F165" s="7">
        <v>102</v>
      </c>
      <c r="G165" s="7">
        <v>25139</v>
      </c>
    </row>
    <row r="166" spans="1:7" ht="18" x14ac:dyDescent="0.2">
      <c r="A166" s="7" t="s">
        <v>37</v>
      </c>
      <c r="B166" s="7" t="s">
        <v>0</v>
      </c>
      <c r="C166" s="7" t="s">
        <v>4</v>
      </c>
      <c r="D166" s="7">
        <f t="shared" si="2"/>
        <v>329</v>
      </c>
      <c r="E166" s="7">
        <v>1580</v>
      </c>
      <c r="F166" s="7">
        <v>102</v>
      </c>
      <c r="G166" s="7">
        <v>25853</v>
      </c>
    </row>
    <row r="167" spans="1:7" ht="18" x14ac:dyDescent="0.2">
      <c r="A167" s="7" t="s">
        <v>37</v>
      </c>
      <c r="B167" s="7" t="s">
        <v>0</v>
      </c>
      <c r="C167" s="7" t="s">
        <v>4</v>
      </c>
      <c r="D167" s="7">
        <f t="shared" si="2"/>
        <v>336</v>
      </c>
      <c r="E167" s="7">
        <v>1580</v>
      </c>
      <c r="F167" s="7">
        <v>102</v>
      </c>
      <c r="G167" s="7">
        <v>26567</v>
      </c>
    </row>
    <row r="168" spans="1:7" ht="18" x14ac:dyDescent="0.2">
      <c r="A168" s="7" t="s">
        <v>37</v>
      </c>
      <c r="B168" s="7" t="s">
        <v>0</v>
      </c>
      <c r="C168" s="7" t="s">
        <v>4</v>
      </c>
      <c r="D168" s="7">
        <f t="shared" si="2"/>
        <v>343</v>
      </c>
      <c r="E168" s="7">
        <v>1580</v>
      </c>
      <c r="F168" s="7">
        <v>102</v>
      </c>
      <c r="G168" s="7">
        <v>27281</v>
      </c>
    </row>
    <row r="169" spans="1:7" ht="18" x14ac:dyDescent="0.2">
      <c r="A169" s="7" t="s">
        <v>37</v>
      </c>
      <c r="B169" s="7" t="s">
        <v>0</v>
      </c>
      <c r="C169" s="7" t="s">
        <v>4</v>
      </c>
      <c r="D169" s="7">
        <f t="shared" si="2"/>
        <v>350</v>
      </c>
      <c r="E169" s="7">
        <v>1580</v>
      </c>
      <c r="F169" s="7">
        <v>102</v>
      </c>
      <c r="G169" s="7">
        <v>27995</v>
      </c>
    </row>
    <row r="170" spans="1:7" ht="18" x14ac:dyDescent="0.2">
      <c r="A170" s="7" t="s">
        <v>37</v>
      </c>
      <c r="B170" s="7" t="s">
        <v>0</v>
      </c>
      <c r="C170" s="7" t="s">
        <v>4</v>
      </c>
      <c r="D170" s="7">
        <f t="shared" si="2"/>
        <v>357</v>
      </c>
      <c r="E170" s="7">
        <v>1580</v>
      </c>
      <c r="F170" s="7">
        <v>102</v>
      </c>
      <c r="G170" s="7">
        <v>28709</v>
      </c>
    </row>
    <row r="171" spans="1:7" ht="18" x14ac:dyDescent="0.2">
      <c r="A171" s="7" t="s">
        <v>37</v>
      </c>
      <c r="B171" s="7" t="s">
        <v>0</v>
      </c>
      <c r="C171" s="7" t="s">
        <v>4</v>
      </c>
      <c r="D171" s="7">
        <f t="shared" si="2"/>
        <v>364</v>
      </c>
      <c r="E171" s="7">
        <v>1580</v>
      </c>
      <c r="F171" s="7">
        <v>102</v>
      </c>
      <c r="G171" s="7">
        <v>29423</v>
      </c>
    </row>
    <row r="172" spans="1:7" ht="18" x14ac:dyDescent="0.2">
      <c r="A172" s="7" t="s">
        <v>37</v>
      </c>
      <c r="B172" s="7" t="s">
        <v>0</v>
      </c>
      <c r="C172" s="7" t="s">
        <v>4</v>
      </c>
      <c r="D172" s="7">
        <f t="shared" si="2"/>
        <v>371</v>
      </c>
      <c r="E172" s="7">
        <v>1580</v>
      </c>
      <c r="F172" s="7">
        <v>102</v>
      </c>
      <c r="G172" s="7">
        <v>30137</v>
      </c>
    </row>
    <row r="173" spans="1:7" ht="18" x14ac:dyDescent="0.2">
      <c r="A173" s="7" t="s">
        <v>37</v>
      </c>
      <c r="B173" s="7" t="s">
        <v>0</v>
      </c>
      <c r="C173" s="7" t="s">
        <v>4</v>
      </c>
      <c r="D173" s="7">
        <f t="shared" si="2"/>
        <v>378</v>
      </c>
      <c r="E173" s="7">
        <v>1580</v>
      </c>
      <c r="F173" s="7">
        <v>102</v>
      </c>
      <c r="G173" s="7">
        <v>30851</v>
      </c>
    </row>
    <row r="174" spans="1:7" ht="18" x14ac:dyDescent="0.2">
      <c r="A174" s="7" t="s">
        <v>37</v>
      </c>
      <c r="B174" s="7" t="s">
        <v>0</v>
      </c>
      <c r="C174" s="7" t="s">
        <v>4</v>
      </c>
      <c r="D174" s="7">
        <f t="shared" si="2"/>
        <v>385</v>
      </c>
      <c r="E174" s="7">
        <v>1580</v>
      </c>
      <c r="F174" s="7">
        <v>102</v>
      </c>
      <c r="G174" s="7">
        <v>31565</v>
      </c>
    </row>
    <row r="175" spans="1:7" ht="18" x14ac:dyDescent="0.2">
      <c r="A175" s="7" t="s">
        <v>37</v>
      </c>
      <c r="B175" s="7" t="s">
        <v>0</v>
      </c>
      <c r="C175" s="7" t="s">
        <v>4</v>
      </c>
      <c r="D175" s="7">
        <f t="shared" si="2"/>
        <v>392</v>
      </c>
      <c r="E175" s="7">
        <v>1580</v>
      </c>
      <c r="F175" s="7">
        <v>102</v>
      </c>
      <c r="G175" s="7">
        <v>32279</v>
      </c>
    </row>
    <row r="176" spans="1:7" ht="18" x14ac:dyDescent="0.2">
      <c r="A176" s="7" t="s">
        <v>37</v>
      </c>
      <c r="B176" s="7" t="s">
        <v>0</v>
      </c>
      <c r="C176" s="7" t="s">
        <v>4</v>
      </c>
      <c r="D176" s="7">
        <f t="shared" si="2"/>
        <v>399</v>
      </c>
      <c r="E176" s="7">
        <v>1580</v>
      </c>
      <c r="F176" s="7">
        <v>102</v>
      </c>
      <c r="G176" s="7">
        <v>32993</v>
      </c>
    </row>
    <row r="177" spans="1:7" ht="18" x14ac:dyDescent="0.2">
      <c r="A177" s="7" t="s">
        <v>37</v>
      </c>
      <c r="B177" s="7" t="s">
        <v>0</v>
      </c>
      <c r="C177" s="7" t="s">
        <v>4</v>
      </c>
      <c r="D177" s="7">
        <f t="shared" si="2"/>
        <v>406</v>
      </c>
      <c r="E177" s="7">
        <v>1580</v>
      </c>
      <c r="F177" s="7">
        <v>102</v>
      </c>
      <c r="G177" s="7">
        <v>33707</v>
      </c>
    </row>
    <row r="178" spans="1:7" ht="18" x14ac:dyDescent="0.2">
      <c r="A178" s="7" t="s">
        <v>37</v>
      </c>
      <c r="B178" s="7" t="s">
        <v>0</v>
      </c>
      <c r="C178" s="7" t="s">
        <v>4</v>
      </c>
      <c r="D178" s="7">
        <f t="shared" si="2"/>
        <v>413</v>
      </c>
      <c r="E178" s="7">
        <v>1580</v>
      </c>
      <c r="F178" s="7">
        <v>102</v>
      </c>
      <c r="G178" s="7">
        <v>34421</v>
      </c>
    </row>
    <row r="179" spans="1:7" ht="18" x14ac:dyDescent="0.2">
      <c r="A179" s="7" t="s">
        <v>37</v>
      </c>
      <c r="B179" s="7" t="s">
        <v>0</v>
      </c>
      <c r="C179" s="7" t="s">
        <v>4</v>
      </c>
      <c r="D179" s="7">
        <f t="shared" si="2"/>
        <v>420</v>
      </c>
      <c r="E179" s="7">
        <v>1580</v>
      </c>
      <c r="F179" s="7">
        <v>102</v>
      </c>
      <c r="G179" s="7">
        <v>35135</v>
      </c>
    </row>
    <row r="180" spans="1:7" ht="18" x14ac:dyDescent="0.2">
      <c r="A180" s="7" t="s">
        <v>37</v>
      </c>
      <c r="B180" s="7" t="s">
        <v>0</v>
      </c>
      <c r="C180" s="7" t="s">
        <v>4</v>
      </c>
      <c r="D180" s="7">
        <f t="shared" si="2"/>
        <v>427</v>
      </c>
      <c r="E180" s="7">
        <v>1580</v>
      </c>
      <c r="F180" s="7">
        <v>102</v>
      </c>
      <c r="G180" s="7">
        <v>35849</v>
      </c>
    </row>
    <row r="181" spans="1:7" ht="18" x14ac:dyDescent="0.2">
      <c r="A181" s="7" t="s">
        <v>37</v>
      </c>
      <c r="B181" s="7" t="s">
        <v>0</v>
      </c>
      <c r="C181" s="7" t="s">
        <v>4</v>
      </c>
      <c r="D181" s="7">
        <f t="shared" si="2"/>
        <v>434</v>
      </c>
      <c r="E181" s="7">
        <v>1580</v>
      </c>
      <c r="F181" s="7">
        <v>102</v>
      </c>
      <c r="G181" s="7">
        <v>36563</v>
      </c>
    </row>
    <row r="182" spans="1:7" ht="18" x14ac:dyDescent="0.2">
      <c r="A182" s="7" t="s">
        <v>37</v>
      </c>
      <c r="B182" s="7" t="s">
        <v>0</v>
      </c>
      <c r="C182" s="7" t="s">
        <v>4</v>
      </c>
      <c r="D182" s="7">
        <f t="shared" si="2"/>
        <v>441</v>
      </c>
      <c r="E182" s="7">
        <v>1580</v>
      </c>
      <c r="F182" s="7">
        <v>102</v>
      </c>
      <c r="G182" s="7">
        <v>37277</v>
      </c>
    </row>
    <row r="183" spans="1:7" ht="18" x14ac:dyDescent="0.2">
      <c r="A183" s="7" t="s">
        <v>37</v>
      </c>
      <c r="B183" s="7" t="s">
        <v>0</v>
      </c>
      <c r="C183" s="7" t="s">
        <v>4</v>
      </c>
      <c r="D183" s="7">
        <f t="shared" si="2"/>
        <v>448</v>
      </c>
      <c r="E183" s="7">
        <v>1580</v>
      </c>
      <c r="F183" s="7">
        <v>102</v>
      </c>
      <c r="G183" s="7">
        <v>37991</v>
      </c>
    </row>
    <row r="184" spans="1:7" ht="18" x14ac:dyDescent="0.2">
      <c r="A184" s="7" t="s">
        <v>37</v>
      </c>
      <c r="B184" s="7" t="s">
        <v>0</v>
      </c>
      <c r="C184" s="7" t="s">
        <v>4</v>
      </c>
      <c r="D184" s="7">
        <f t="shared" si="2"/>
        <v>455</v>
      </c>
      <c r="E184" s="7">
        <v>1580</v>
      </c>
      <c r="F184" s="7">
        <v>102</v>
      </c>
      <c r="G184" s="7">
        <v>38705</v>
      </c>
    </row>
    <row r="185" spans="1:7" ht="18" x14ac:dyDescent="0.2">
      <c r="A185" s="7" t="s">
        <v>37</v>
      </c>
      <c r="B185" s="7" t="s">
        <v>0</v>
      </c>
      <c r="C185" s="7" t="s">
        <v>4</v>
      </c>
      <c r="D185" s="7">
        <f t="shared" si="2"/>
        <v>462</v>
      </c>
      <c r="E185" s="7">
        <v>1580</v>
      </c>
      <c r="F185" s="7">
        <v>102</v>
      </c>
      <c r="G185" s="7">
        <v>39419</v>
      </c>
    </row>
    <row r="186" spans="1:7" ht="18" x14ac:dyDescent="0.2">
      <c r="A186" s="7" t="s">
        <v>37</v>
      </c>
      <c r="B186" s="7" t="s">
        <v>0</v>
      </c>
      <c r="C186" s="7" t="s">
        <v>4</v>
      </c>
      <c r="D186" s="7">
        <f t="shared" si="2"/>
        <v>469</v>
      </c>
      <c r="E186" s="7">
        <v>1580</v>
      </c>
      <c r="F186" s="7">
        <v>102</v>
      </c>
      <c r="G186" s="7">
        <v>40133</v>
      </c>
    </row>
    <row r="187" spans="1:7" ht="18" x14ac:dyDescent="0.2">
      <c r="A187" s="7" t="s">
        <v>37</v>
      </c>
      <c r="B187" s="7" t="s">
        <v>0</v>
      </c>
      <c r="C187" s="7" t="s">
        <v>4</v>
      </c>
      <c r="D187" s="7">
        <f t="shared" si="2"/>
        <v>476</v>
      </c>
      <c r="E187" s="7">
        <v>1580</v>
      </c>
      <c r="F187" s="7">
        <v>102</v>
      </c>
      <c r="G187" s="7">
        <v>40847</v>
      </c>
    </row>
    <row r="188" spans="1:7" ht="18" x14ac:dyDescent="0.2">
      <c r="A188" s="7" t="s">
        <v>37</v>
      </c>
      <c r="B188" s="7" t="s">
        <v>0</v>
      </c>
      <c r="C188" s="7" t="s">
        <v>4</v>
      </c>
      <c r="D188" s="7">
        <f t="shared" ref="D188:D219" si="3">D187+7</f>
        <v>483</v>
      </c>
      <c r="E188" s="7">
        <v>1580</v>
      </c>
      <c r="F188" s="7">
        <v>102</v>
      </c>
      <c r="G188" s="7">
        <v>41561</v>
      </c>
    </row>
    <row r="189" spans="1:7" ht="18" x14ac:dyDescent="0.2">
      <c r="A189" s="7" t="s">
        <v>37</v>
      </c>
      <c r="B189" s="7" t="s">
        <v>0</v>
      </c>
      <c r="C189" s="7" t="s">
        <v>4</v>
      </c>
      <c r="D189" s="7">
        <f t="shared" si="3"/>
        <v>490</v>
      </c>
      <c r="E189" s="7">
        <v>1580</v>
      </c>
      <c r="F189" s="7">
        <v>102</v>
      </c>
      <c r="G189" s="7">
        <v>42275</v>
      </c>
    </row>
    <row r="190" spans="1:7" ht="18" x14ac:dyDescent="0.2">
      <c r="A190" s="7" t="s">
        <v>37</v>
      </c>
      <c r="B190" s="7" t="s">
        <v>0</v>
      </c>
      <c r="C190" s="7" t="s">
        <v>4</v>
      </c>
      <c r="D190" s="7">
        <f t="shared" si="3"/>
        <v>497</v>
      </c>
      <c r="E190" s="7">
        <v>1580</v>
      </c>
      <c r="F190" s="7">
        <v>102</v>
      </c>
      <c r="G190" s="7">
        <v>42989</v>
      </c>
    </row>
    <row r="191" spans="1:7" ht="18" x14ac:dyDescent="0.2">
      <c r="A191" s="7" t="s">
        <v>37</v>
      </c>
      <c r="B191" s="7" t="s">
        <v>0</v>
      </c>
      <c r="C191" s="7" t="s">
        <v>4</v>
      </c>
      <c r="D191" s="7">
        <f t="shared" si="3"/>
        <v>504</v>
      </c>
      <c r="E191" s="7">
        <v>1580</v>
      </c>
      <c r="F191" s="7">
        <v>102</v>
      </c>
      <c r="G191" s="7">
        <v>43703</v>
      </c>
    </row>
    <row r="192" spans="1:7" ht="18" x14ac:dyDescent="0.2">
      <c r="A192" s="7" t="s">
        <v>37</v>
      </c>
      <c r="B192" s="7" t="s">
        <v>0</v>
      </c>
      <c r="C192" s="7" t="s">
        <v>4</v>
      </c>
      <c r="D192" s="7">
        <f t="shared" si="3"/>
        <v>511</v>
      </c>
      <c r="E192" s="7">
        <v>1580</v>
      </c>
      <c r="F192" s="7">
        <v>102</v>
      </c>
      <c r="G192" s="7">
        <v>44417</v>
      </c>
    </row>
    <row r="193" spans="1:7" ht="18" x14ac:dyDescent="0.2">
      <c r="A193" s="7" t="s">
        <v>37</v>
      </c>
      <c r="B193" s="7" t="s">
        <v>0</v>
      </c>
      <c r="C193" s="7" t="s">
        <v>4</v>
      </c>
      <c r="D193" s="7">
        <f t="shared" si="3"/>
        <v>518</v>
      </c>
      <c r="E193" s="7">
        <v>1580</v>
      </c>
      <c r="F193" s="7">
        <v>102</v>
      </c>
      <c r="G193" s="7">
        <v>45131</v>
      </c>
    </row>
    <row r="194" spans="1:7" ht="18" x14ac:dyDescent="0.2">
      <c r="A194" s="7" t="s">
        <v>37</v>
      </c>
      <c r="B194" s="7" t="s">
        <v>0</v>
      </c>
      <c r="C194" s="7" t="s">
        <v>4</v>
      </c>
      <c r="D194" s="7">
        <f t="shared" si="3"/>
        <v>525</v>
      </c>
      <c r="E194" s="7">
        <v>1580</v>
      </c>
      <c r="F194" s="7">
        <v>102</v>
      </c>
      <c r="G194" s="7">
        <v>45845</v>
      </c>
    </row>
    <row r="195" spans="1:7" ht="18" x14ac:dyDescent="0.2">
      <c r="A195" s="7" t="s">
        <v>37</v>
      </c>
      <c r="B195" s="7" t="s">
        <v>0</v>
      </c>
      <c r="C195" s="7" t="s">
        <v>4</v>
      </c>
      <c r="D195" s="7">
        <f t="shared" si="3"/>
        <v>532</v>
      </c>
      <c r="E195" s="7">
        <v>1580</v>
      </c>
      <c r="F195" s="7">
        <v>102</v>
      </c>
      <c r="G195" s="7">
        <v>46559</v>
      </c>
    </row>
    <row r="196" spans="1:7" ht="18" x14ac:dyDescent="0.2">
      <c r="A196" s="7" t="s">
        <v>37</v>
      </c>
      <c r="B196" s="7" t="s">
        <v>0</v>
      </c>
      <c r="C196" s="7" t="s">
        <v>4</v>
      </c>
      <c r="D196" s="7">
        <f t="shared" si="3"/>
        <v>539</v>
      </c>
      <c r="E196" s="7">
        <v>1580</v>
      </c>
      <c r="F196" s="7">
        <v>102</v>
      </c>
      <c r="G196" s="7">
        <v>47273</v>
      </c>
    </row>
    <row r="197" spans="1:7" ht="18" x14ac:dyDescent="0.2">
      <c r="A197" s="7" t="s">
        <v>37</v>
      </c>
      <c r="B197" s="7" t="s">
        <v>0</v>
      </c>
      <c r="C197" s="7" t="s">
        <v>4</v>
      </c>
      <c r="D197" s="7">
        <f t="shared" si="3"/>
        <v>546</v>
      </c>
      <c r="E197" s="7">
        <v>1580</v>
      </c>
      <c r="F197" s="7">
        <v>102</v>
      </c>
      <c r="G197" s="7">
        <v>47987</v>
      </c>
    </row>
    <row r="198" spans="1:7" ht="18" x14ac:dyDescent="0.2">
      <c r="A198" s="7" t="s">
        <v>37</v>
      </c>
      <c r="B198" s="7" t="s">
        <v>0</v>
      </c>
      <c r="C198" s="7" t="s">
        <v>4</v>
      </c>
      <c r="D198" s="7">
        <f t="shared" si="3"/>
        <v>553</v>
      </c>
      <c r="E198" s="7">
        <v>1580</v>
      </c>
      <c r="F198" s="7">
        <v>102</v>
      </c>
      <c r="G198" s="7">
        <v>48701</v>
      </c>
    </row>
    <row r="199" spans="1:7" ht="18" x14ac:dyDescent="0.2">
      <c r="A199" s="7" t="s">
        <v>37</v>
      </c>
      <c r="B199" s="7" t="s">
        <v>0</v>
      </c>
      <c r="C199" s="7" t="s">
        <v>4</v>
      </c>
      <c r="D199" s="7">
        <f t="shared" si="3"/>
        <v>560</v>
      </c>
      <c r="E199" s="7">
        <v>1580</v>
      </c>
      <c r="F199" s="7">
        <v>102</v>
      </c>
      <c r="G199" s="7">
        <v>49415</v>
      </c>
    </row>
    <row r="200" spans="1:7" ht="18" x14ac:dyDescent="0.2">
      <c r="A200" s="7" t="s">
        <v>37</v>
      </c>
      <c r="B200" s="7" t="s">
        <v>0</v>
      </c>
      <c r="C200" s="7" t="s">
        <v>4</v>
      </c>
      <c r="D200" s="7">
        <f t="shared" si="3"/>
        <v>567</v>
      </c>
      <c r="E200" s="7">
        <v>1580</v>
      </c>
      <c r="F200" s="7">
        <v>102</v>
      </c>
      <c r="G200" s="7">
        <v>50129</v>
      </c>
    </row>
    <row r="201" spans="1:7" ht="18" x14ac:dyDescent="0.2">
      <c r="A201" s="7" t="s">
        <v>37</v>
      </c>
      <c r="B201" s="7" t="s">
        <v>0</v>
      </c>
      <c r="C201" s="7" t="s">
        <v>4</v>
      </c>
      <c r="D201" s="7">
        <f t="shared" si="3"/>
        <v>574</v>
      </c>
      <c r="E201" s="7">
        <v>1580</v>
      </c>
      <c r="F201" s="7">
        <v>102</v>
      </c>
      <c r="G201" s="7">
        <v>50843</v>
      </c>
    </row>
    <row r="202" spans="1:7" ht="18" x14ac:dyDescent="0.2">
      <c r="A202" s="7" t="s">
        <v>37</v>
      </c>
      <c r="B202" s="7" t="s">
        <v>0</v>
      </c>
      <c r="C202" s="7" t="s">
        <v>4</v>
      </c>
      <c r="D202" s="7">
        <f t="shared" si="3"/>
        <v>581</v>
      </c>
      <c r="E202" s="7">
        <v>1580</v>
      </c>
      <c r="F202" s="7">
        <v>102</v>
      </c>
      <c r="G202" s="7">
        <v>51557</v>
      </c>
    </row>
    <row r="203" spans="1:7" ht="18" x14ac:dyDescent="0.2">
      <c r="A203" s="7" t="s">
        <v>37</v>
      </c>
      <c r="B203" s="7" t="s">
        <v>0</v>
      </c>
      <c r="C203" s="7" t="s">
        <v>4</v>
      </c>
      <c r="D203" s="7">
        <f t="shared" si="3"/>
        <v>588</v>
      </c>
      <c r="E203" s="7">
        <v>1580</v>
      </c>
      <c r="F203" s="7">
        <v>102</v>
      </c>
      <c r="G203" s="7">
        <v>52271</v>
      </c>
    </row>
    <row r="204" spans="1:7" ht="18" x14ac:dyDescent="0.2">
      <c r="A204" s="7" t="s">
        <v>37</v>
      </c>
      <c r="B204" s="7" t="s">
        <v>0</v>
      </c>
      <c r="C204" s="7" t="s">
        <v>4</v>
      </c>
      <c r="D204" s="7">
        <f t="shared" si="3"/>
        <v>595</v>
      </c>
      <c r="E204" s="7">
        <v>1580</v>
      </c>
      <c r="F204" s="7">
        <v>102</v>
      </c>
      <c r="G204" s="7">
        <v>52985</v>
      </c>
    </row>
    <row r="205" spans="1:7" ht="18" x14ac:dyDescent="0.2">
      <c r="A205" s="7" t="s">
        <v>37</v>
      </c>
      <c r="B205" s="7" t="s">
        <v>0</v>
      </c>
      <c r="C205" s="7" t="s">
        <v>4</v>
      </c>
      <c r="D205" s="7">
        <f t="shared" si="3"/>
        <v>602</v>
      </c>
      <c r="E205" s="7">
        <v>1580</v>
      </c>
      <c r="F205" s="7">
        <v>102</v>
      </c>
      <c r="G205" s="7">
        <v>53699</v>
      </c>
    </row>
    <row r="206" spans="1:7" ht="18" x14ac:dyDescent="0.2">
      <c r="A206" s="7" t="s">
        <v>37</v>
      </c>
      <c r="B206" s="7" t="s">
        <v>0</v>
      </c>
      <c r="C206" s="7" t="s">
        <v>4</v>
      </c>
      <c r="D206" s="7">
        <f t="shared" si="3"/>
        <v>609</v>
      </c>
      <c r="E206" s="7">
        <v>1580</v>
      </c>
      <c r="F206" s="7">
        <v>102</v>
      </c>
      <c r="G206" s="7">
        <v>54413</v>
      </c>
    </row>
    <row r="207" spans="1:7" ht="18" x14ac:dyDescent="0.2">
      <c r="A207" s="7" t="s">
        <v>37</v>
      </c>
      <c r="B207" s="7" t="s">
        <v>0</v>
      </c>
      <c r="C207" s="7" t="s">
        <v>4</v>
      </c>
      <c r="D207" s="7">
        <f t="shared" si="3"/>
        <v>616</v>
      </c>
      <c r="E207" s="7">
        <v>1580</v>
      </c>
      <c r="F207" s="7">
        <v>102</v>
      </c>
      <c r="G207" s="7">
        <v>55127</v>
      </c>
    </row>
    <row r="208" spans="1:7" ht="18" x14ac:dyDescent="0.2">
      <c r="A208" s="7" t="s">
        <v>37</v>
      </c>
      <c r="B208" s="7" t="s">
        <v>0</v>
      </c>
      <c r="C208" s="7" t="s">
        <v>4</v>
      </c>
      <c r="D208" s="7">
        <f t="shared" si="3"/>
        <v>623</v>
      </c>
      <c r="E208" s="7">
        <v>1580</v>
      </c>
      <c r="F208" s="7">
        <v>102</v>
      </c>
      <c r="G208" s="7">
        <v>55841</v>
      </c>
    </row>
    <row r="209" spans="1:7" ht="18" x14ac:dyDescent="0.2">
      <c r="A209" s="7" t="s">
        <v>37</v>
      </c>
      <c r="B209" s="7" t="s">
        <v>0</v>
      </c>
      <c r="C209" s="7" t="s">
        <v>4</v>
      </c>
      <c r="D209" s="7">
        <f t="shared" si="3"/>
        <v>630</v>
      </c>
      <c r="E209" s="7">
        <v>1580</v>
      </c>
      <c r="F209" s="7">
        <v>102</v>
      </c>
      <c r="G209" s="7">
        <v>56555</v>
      </c>
    </row>
    <row r="210" spans="1:7" ht="18" x14ac:dyDescent="0.2">
      <c r="A210" s="7" t="s">
        <v>37</v>
      </c>
      <c r="B210" s="7" t="s">
        <v>0</v>
      </c>
      <c r="C210" s="7" t="s">
        <v>4</v>
      </c>
      <c r="D210" s="7">
        <f t="shared" si="3"/>
        <v>637</v>
      </c>
      <c r="E210" s="7">
        <v>1580</v>
      </c>
      <c r="F210" s="7">
        <v>102</v>
      </c>
      <c r="G210" s="7">
        <v>57269</v>
      </c>
    </row>
    <row r="211" spans="1:7" ht="18" x14ac:dyDescent="0.2">
      <c r="A211" s="7" t="s">
        <v>37</v>
      </c>
      <c r="B211" s="7" t="s">
        <v>0</v>
      </c>
      <c r="C211" s="7" t="s">
        <v>4</v>
      </c>
      <c r="D211" s="7">
        <f t="shared" si="3"/>
        <v>644</v>
      </c>
      <c r="E211" s="7">
        <v>1580</v>
      </c>
      <c r="F211" s="7">
        <v>102</v>
      </c>
      <c r="G211" s="7">
        <v>57983</v>
      </c>
    </row>
    <row r="212" spans="1:7" ht="18" x14ac:dyDescent="0.2">
      <c r="A212" s="7" t="s">
        <v>37</v>
      </c>
      <c r="B212" s="7" t="s">
        <v>0</v>
      </c>
      <c r="C212" s="7" t="s">
        <v>4</v>
      </c>
      <c r="D212" s="7">
        <f t="shared" si="3"/>
        <v>651</v>
      </c>
      <c r="E212" s="7">
        <v>1580</v>
      </c>
      <c r="F212" s="7">
        <v>102</v>
      </c>
      <c r="G212" s="7">
        <v>58697</v>
      </c>
    </row>
    <row r="213" spans="1:7" ht="18" x14ac:dyDescent="0.2">
      <c r="A213" s="7" t="s">
        <v>37</v>
      </c>
      <c r="B213" s="7" t="s">
        <v>0</v>
      </c>
      <c r="C213" s="7" t="s">
        <v>4</v>
      </c>
      <c r="D213" s="7">
        <f t="shared" si="3"/>
        <v>658</v>
      </c>
      <c r="E213" s="7">
        <v>1580</v>
      </c>
      <c r="F213" s="7">
        <v>102</v>
      </c>
      <c r="G213" s="7">
        <v>59411</v>
      </c>
    </row>
    <row r="214" spans="1:7" ht="18" x14ac:dyDescent="0.2">
      <c r="A214" s="7" t="s">
        <v>37</v>
      </c>
      <c r="B214" s="7" t="s">
        <v>0</v>
      </c>
      <c r="C214" s="7" t="s">
        <v>4</v>
      </c>
      <c r="D214" s="7">
        <f t="shared" si="3"/>
        <v>665</v>
      </c>
      <c r="E214" s="7">
        <v>1580</v>
      </c>
      <c r="F214" s="7">
        <v>102</v>
      </c>
      <c r="G214" s="7">
        <v>60125</v>
      </c>
    </row>
    <row r="215" spans="1:7" ht="18" x14ac:dyDescent="0.2">
      <c r="A215" s="7" t="s">
        <v>37</v>
      </c>
      <c r="B215" s="7" t="s">
        <v>0</v>
      </c>
      <c r="C215" s="7" t="s">
        <v>4</v>
      </c>
      <c r="D215" s="7">
        <f t="shared" si="3"/>
        <v>672</v>
      </c>
      <c r="E215" s="7">
        <v>1580</v>
      </c>
      <c r="F215" s="7">
        <v>102</v>
      </c>
      <c r="G215" s="7">
        <v>60839</v>
      </c>
    </row>
    <row r="216" spans="1:7" ht="18" x14ac:dyDescent="0.2">
      <c r="A216" s="7" t="s">
        <v>37</v>
      </c>
      <c r="B216" s="7" t="s">
        <v>0</v>
      </c>
      <c r="C216" s="7" t="s">
        <v>4</v>
      </c>
      <c r="D216" s="7">
        <f t="shared" si="3"/>
        <v>679</v>
      </c>
      <c r="E216" s="7">
        <v>1580</v>
      </c>
      <c r="F216" s="7">
        <v>102</v>
      </c>
      <c r="G216" s="7">
        <v>61553</v>
      </c>
    </row>
    <row r="217" spans="1:7" ht="18" x14ac:dyDescent="0.2">
      <c r="A217" s="7" t="s">
        <v>37</v>
      </c>
      <c r="B217" s="7" t="s">
        <v>0</v>
      </c>
      <c r="C217" s="7" t="s">
        <v>4</v>
      </c>
      <c r="D217" s="7">
        <f t="shared" si="3"/>
        <v>686</v>
      </c>
      <c r="E217" s="7">
        <v>1580</v>
      </c>
      <c r="F217" s="7">
        <v>102</v>
      </c>
      <c r="G217" s="7">
        <v>62267</v>
      </c>
    </row>
    <row r="218" spans="1:7" ht="18" x14ac:dyDescent="0.2">
      <c r="A218" s="7" t="s">
        <v>37</v>
      </c>
      <c r="B218" s="7" t="s">
        <v>0</v>
      </c>
      <c r="C218" s="7" t="s">
        <v>4</v>
      </c>
      <c r="D218" s="7">
        <f t="shared" si="3"/>
        <v>693</v>
      </c>
      <c r="E218" s="7">
        <v>1580</v>
      </c>
      <c r="F218" s="7">
        <v>102</v>
      </c>
      <c r="G218" s="7">
        <v>62981</v>
      </c>
    </row>
    <row r="219" spans="1:7" ht="18" x14ac:dyDescent="0.2">
      <c r="A219" s="7" t="s">
        <v>37</v>
      </c>
      <c r="B219" s="7" t="s">
        <v>0</v>
      </c>
      <c r="C219" s="7" t="s">
        <v>4</v>
      </c>
      <c r="D219" s="7">
        <f t="shared" si="3"/>
        <v>700</v>
      </c>
      <c r="E219" s="7">
        <v>1580</v>
      </c>
      <c r="F219" s="7">
        <v>102</v>
      </c>
      <c r="G219" s="7">
        <v>63695</v>
      </c>
    </row>
    <row r="220" spans="1:7" ht="18" x14ac:dyDescent="0.2">
      <c r="A220" s="7" t="s">
        <v>37</v>
      </c>
      <c r="B220" s="7" t="s">
        <v>0</v>
      </c>
      <c r="C220" s="7" t="s">
        <v>11</v>
      </c>
      <c r="D220" s="7">
        <v>7</v>
      </c>
      <c r="E220" s="7">
        <v>61</v>
      </c>
      <c r="F220" s="7">
        <v>9</v>
      </c>
      <c r="G220" s="7">
        <v>63</v>
      </c>
    </row>
    <row r="221" spans="1:7" ht="18" x14ac:dyDescent="0.2">
      <c r="A221" s="7" t="s">
        <v>37</v>
      </c>
      <c r="B221" s="7" t="s">
        <v>0</v>
      </c>
      <c r="C221" s="7" t="s">
        <v>11</v>
      </c>
      <c r="D221" s="7">
        <v>14</v>
      </c>
      <c r="E221" s="7">
        <v>120</v>
      </c>
      <c r="F221" s="7">
        <v>14</v>
      </c>
      <c r="G221" s="7">
        <v>161</v>
      </c>
    </row>
    <row r="222" spans="1:7" ht="18" x14ac:dyDescent="0.2">
      <c r="A222" s="7" t="s">
        <v>37</v>
      </c>
      <c r="B222" s="7" t="s">
        <v>0</v>
      </c>
      <c r="C222" s="7" t="s">
        <v>11</v>
      </c>
      <c r="D222" s="7">
        <f>D221+7</f>
        <v>21</v>
      </c>
      <c r="E222" s="7">
        <v>195</v>
      </c>
      <c r="F222" s="7">
        <v>20</v>
      </c>
      <c r="G222" s="7">
        <v>301</v>
      </c>
    </row>
    <row r="223" spans="1:7" ht="18" x14ac:dyDescent="0.2">
      <c r="A223" s="7" t="s">
        <v>37</v>
      </c>
      <c r="B223" s="7" t="s">
        <v>0</v>
      </c>
      <c r="C223" s="7" t="s">
        <v>11</v>
      </c>
      <c r="D223" s="7">
        <f>D222+7</f>
        <v>28</v>
      </c>
      <c r="E223" s="7">
        <v>265</v>
      </c>
      <c r="F223" s="7">
        <v>25</v>
      </c>
      <c r="G223" s="7">
        <v>476</v>
      </c>
    </row>
    <row r="224" spans="1:7" ht="18" x14ac:dyDescent="0.2">
      <c r="A224" s="7" t="s">
        <v>37</v>
      </c>
      <c r="B224" s="7" t="s">
        <v>0</v>
      </c>
      <c r="C224" s="7" t="s">
        <v>11</v>
      </c>
      <c r="D224" s="7">
        <f t="shared" ref="D224:D287" si="4">D223+7</f>
        <v>35</v>
      </c>
      <c r="E224" s="7">
        <v>341</v>
      </c>
      <c r="F224" s="7">
        <v>30</v>
      </c>
      <c r="G224" s="7">
        <v>686</v>
      </c>
    </row>
    <row r="225" spans="1:7" ht="18" x14ac:dyDescent="0.2">
      <c r="A225" s="7" t="s">
        <v>37</v>
      </c>
      <c r="B225" s="7" t="s">
        <v>0</v>
      </c>
      <c r="C225" s="7" t="s">
        <v>11</v>
      </c>
      <c r="D225" s="7">
        <f t="shared" si="4"/>
        <v>42</v>
      </c>
      <c r="E225" s="7">
        <v>421</v>
      </c>
      <c r="F225" s="7">
        <v>35</v>
      </c>
      <c r="G225" s="7">
        <v>931</v>
      </c>
    </row>
    <row r="226" spans="1:7" ht="18" x14ac:dyDescent="0.2">
      <c r="A226" s="7" t="s">
        <v>37</v>
      </c>
      <c r="B226" s="7" t="s">
        <v>0</v>
      </c>
      <c r="C226" s="7" t="s">
        <v>11</v>
      </c>
      <c r="D226" s="7">
        <f t="shared" si="4"/>
        <v>49</v>
      </c>
      <c r="E226" s="7">
        <v>501</v>
      </c>
      <c r="F226" s="7">
        <v>40</v>
      </c>
      <c r="G226" s="7">
        <v>1211</v>
      </c>
    </row>
    <row r="227" spans="1:7" ht="18" x14ac:dyDescent="0.2">
      <c r="A227" s="7" t="s">
        <v>37</v>
      </c>
      <c r="B227" s="7" t="s">
        <v>0</v>
      </c>
      <c r="C227" s="7" t="s">
        <v>11</v>
      </c>
      <c r="D227" s="7">
        <f t="shared" si="4"/>
        <v>56</v>
      </c>
      <c r="E227" s="7">
        <v>581</v>
      </c>
      <c r="F227" s="7">
        <v>44</v>
      </c>
      <c r="G227" s="7">
        <v>1519</v>
      </c>
    </row>
    <row r="228" spans="1:7" ht="18" x14ac:dyDescent="0.2">
      <c r="A228" s="7" t="s">
        <v>37</v>
      </c>
      <c r="B228" s="7" t="s">
        <v>0</v>
      </c>
      <c r="C228" s="7" t="s">
        <v>11</v>
      </c>
      <c r="D228" s="7">
        <f t="shared" si="4"/>
        <v>63</v>
      </c>
      <c r="E228" s="7">
        <v>661</v>
      </c>
      <c r="F228" s="7">
        <v>47</v>
      </c>
      <c r="G228" s="7">
        <v>1848</v>
      </c>
    </row>
    <row r="229" spans="1:7" ht="18" x14ac:dyDescent="0.2">
      <c r="A229" s="7" t="s">
        <v>37</v>
      </c>
      <c r="B229" s="7" t="s">
        <v>0</v>
      </c>
      <c r="C229" s="7" t="s">
        <v>11</v>
      </c>
      <c r="D229" s="7">
        <f t="shared" si="4"/>
        <v>70</v>
      </c>
      <c r="E229" s="7">
        <v>741</v>
      </c>
      <c r="F229" s="7">
        <v>50</v>
      </c>
      <c r="G229" s="7">
        <v>2198</v>
      </c>
    </row>
    <row r="230" spans="1:7" ht="18" x14ac:dyDescent="0.2">
      <c r="A230" s="7" t="s">
        <v>37</v>
      </c>
      <c r="B230" s="7" t="s">
        <v>0</v>
      </c>
      <c r="C230" s="7" t="s">
        <v>11</v>
      </c>
      <c r="D230" s="7">
        <f t="shared" si="4"/>
        <v>77</v>
      </c>
      <c r="E230" s="7">
        <v>815</v>
      </c>
      <c r="F230" s="7">
        <v>53</v>
      </c>
      <c r="G230" s="7">
        <v>2569</v>
      </c>
    </row>
    <row r="231" spans="1:7" ht="18" x14ac:dyDescent="0.2">
      <c r="A231" s="7" t="s">
        <v>37</v>
      </c>
      <c r="B231" s="7" t="s">
        <v>0</v>
      </c>
      <c r="C231" s="7" t="s">
        <v>11</v>
      </c>
      <c r="D231" s="7">
        <f t="shared" si="4"/>
        <v>84</v>
      </c>
      <c r="E231" s="7">
        <v>895</v>
      </c>
      <c r="F231" s="7">
        <v>56</v>
      </c>
      <c r="G231" s="7">
        <v>2961</v>
      </c>
    </row>
    <row r="232" spans="1:7" ht="18" x14ac:dyDescent="0.2">
      <c r="A232" s="7" t="s">
        <v>37</v>
      </c>
      <c r="B232" s="7" t="s">
        <v>0</v>
      </c>
      <c r="C232" s="7" t="s">
        <v>11</v>
      </c>
      <c r="D232" s="7">
        <f t="shared" si="4"/>
        <v>91</v>
      </c>
      <c r="E232" s="7">
        <v>960</v>
      </c>
      <c r="F232" s="7">
        <v>59</v>
      </c>
      <c r="G232" s="7">
        <v>3374</v>
      </c>
    </row>
    <row r="233" spans="1:7" ht="18" x14ac:dyDescent="0.2">
      <c r="A233" s="7" t="s">
        <v>37</v>
      </c>
      <c r="B233" s="7" t="s">
        <v>0</v>
      </c>
      <c r="C233" s="7" t="s">
        <v>11</v>
      </c>
      <c r="D233" s="7">
        <f t="shared" si="4"/>
        <v>98</v>
      </c>
      <c r="E233" s="7">
        <v>1030</v>
      </c>
      <c r="F233" s="7">
        <v>62</v>
      </c>
      <c r="G233" s="7">
        <v>3808</v>
      </c>
    </row>
    <row r="234" spans="1:7" ht="18" x14ac:dyDescent="0.2">
      <c r="A234" s="7" t="s">
        <v>37</v>
      </c>
      <c r="B234" s="7" t="s">
        <v>0</v>
      </c>
      <c r="C234" s="7" t="s">
        <v>11</v>
      </c>
      <c r="D234" s="7">
        <f t="shared" si="4"/>
        <v>105</v>
      </c>
      <c r="E234" s="7">
        <v>1095</v>
      </c>
      <c r="F234" s="7">
        <v>65</v>
      </c>
      <c r="G234" s="7">
        <v>4263</v>
      </c>
    </row>
    <row r="235" spans="1:7" ht="18" x14ac:dyDescent="0.2">
      <c r="A235" s="7" t="s">
        <v>37</v>
      </c>
      <c r="B235" s="7" t="s">
        <v>0</v>
      </c>
      <c r="C235" s="7" t="s">
        <v>11</v>
      </c>
      <c r="D235" s="7">
        <f t="shared" si="4"/>
        <v>112</v>
      </c>
      <c r="E235" s="7">
        <v>1150</v>
      </c>
      <c r="F235" s="7">
        <v>68</v>
      </c>
      <c r="G235" s="7">
        <v>4739</v>
      </c>
    </row>
    <row r="236" spans="1:7" ht="18" x14ac:dyDescent="0.2">
      <c r="A236" s="7" t="s">
        <v>37</v>
      </c>
      <c r="B236" s="7" t="s">
        <v>0</v>
      </c>
      <c r="C236" s="7" t="s">
        <v>11</v>
      </c>
      <c r="D236" s="7">
        <f t="shared" si="4"/>
        <v>119</v>
      </c>
      <c r="E236" s="7">
        <v>1205</v>
      </c>
      <c r="F236" s="7">
        <v>73</v>
      </c>
      <c r="G236" s="7">
        <v>5250</v>
      </c>
    </row>
    <row r="237" spans="1:7" ht="18" x14ac:dyDescent="0.2">
      <c r="A237" s="7" t="s">
        <v>37</v>
      </c>
      <c r="B237" s="7" t="s">
        <v>0</v>
      </c>
      <c r="C237" s="7" t="s">
        <v>11</v>
      </c>
      <c r="D237" s="7">
        <f t="shared" si="4"/>
        <v>126</v>
      </c>
      <c r="E237" s="7">
        <v>1250</v>
      </c>
      <c r="F237" s="7">
        <v>78</v>
      </c>
      <c r="G237" s="7">
        <v>5799</v>
      </c>
    </row>
    <row r="238" spans="1:7" ht="18" x14ac:dyDescent="0.2">
      <c r="A238" s="7" t="s">
        <v>37</v>
      </c>
      <c r="B238" s="7" t="s">
        <v>0</v>
      </c>
      <c r="C238" s="7" t="s">
        <v>11</v>
      </c>
      <c r="D238" s="7">
        <f t="shared" si="4"/>
        <v>133</v>
      </c>
      <c r="E238" s="7">
        <v>1310</v>
      </c>
      <c r="F238" s="7">
        <v>84</v>
      </c>
      <c r="G238" s="7">
        <v>6387</v>
      </c>
    </row>
    <row r="239" spans="1:7" ht="18" x14ac:dyDescent="0.2">
      <c r="A239" s="7" t="s">
        <v>37</v>
      </c>
      <c r="B239" s="7" t="s">
        <v>0</v>
      </c>
      <c r="C239" s="7" t="s">
        <v>11</v>
      </c>
      <c r="D239" s="7">
        <f t="shared" si="4"/>
        <v>140</v>
      </c>
      <c r="E239" s="7">
        <v>1370</v>
      </c>
      <c r="F239" s="7">
        <v>89</v>
      </c>
      <c r="G239" s="7">
        <v>7010</v>
      </c>
    </row>
    <row r="240" spans="1:7" ht="18" x14ac:dyDescent="0.2">
      <c r="A240" s="7" t="s">
        <v>37</v>
      </c>
      <c r="B240" s="7" t="s">
        <v>0</v>
      </c>
      <c r="C240" s="7" t="s">
        <v>11</v>
      </c>
      <c r="D240" s="7">
        <f t="shared" si="4"/>
        <v>147</v>
      </c>
      <c r="E240" s="7">
        <v>1445</v>
      </c>
      <c r="F240" s="7">
        <v>93</v>
      </c>
      <c r="G240" s="7">
        <v>7661</v>
      </c>
    </row>
    <row r="241" spans="1:7" ht="18" x14ac:dyDescent="0.2">
      <c r="A241" s="7" t="s">
        <v>37</v>
      </c>
      <c r="B241" s="7" t="s">
        <v>0</v>
      </c>
      <c r="C241" s="7" t="s">
        <v>11</v>
      </c>
      <c r="D241" s="7">
        <f t="shared" si="4"/>
        <v>154</v>
      </c>
      <c r="E241" s="7">
        <v>1495</v>
      </c>
      <c r="F241" s="7">
        <v>97</v>
      </c>
      <c r="G241" s="7">
        <v>8340</v>
      </c>
    </row>
    <row r="242" spans="1:7" ht="18" x14ac:dyDescent="0.2">
      <c r="A242" s="7" t="s">
        <v>37</v>
      </c>
      <c r="B242" s="7" t="s">
        <v>0</v>
      </c>
      <c r="C242" s="7" t="s">
        <v>11</v>
      </c>
      <c r="D242" s="7">
        <f t="shared" si="4"/>
        <v>161</v>
      </c>
      <c r="E242" s="7">
        <v>1530</v>
      </c>
      <c r="F242" s="7">
        <v>100</v>
      </c>
      <c r="G242" s="7">
        <v>9040</v>
      </c>
    </row>
    <row r="243" spans="1:7" ht="18" x14ac:dyDescent="0.2">
      <c r="A243" s="7" t="s">
        <v>37</v>
      </c>
      <c r="B243" s="7" t="s">
        <v>0</v>
      </c>
      <c r="C243" s="7" t="s">
        <v>11</v>
      </c>
      <c r="D243" s="7">
        <f t="shared" si="4"/>
        <v>168</v>
      </c>
      <c r="E243" s="7">
        <v>1550</v>
      </c>
      <c r="F243" s="7">
        <v>102</v>
      </c>
      <c r="G243" s="7">
        <v>9754</v>
      </c>
    </row>
    <row r="244" spans="1:7" ht="18" x14ac:dyDescent="0.2">
      <c r="A244" s="7" t="s">
        <v>37</v>
      </c>
      <c r="B244" s="7" t="s">
        <v>0</v>
      </c>
      <c r="C244" s="7" t="s">
        <v>11</v>
      </c>
      <c r="D244" s="7">
        <f t="shared" si="4"/>
        <v>175</v>
      </c>
      <c r="E244" s="7">
        <v>1565</v>
      </c>
      <c r="F244" s="7">
        <v>104</v>
      </c>
      <c r="G244" s="7">
        <v>10482</v>
      </c>
    </row>
    <row r="245" spans="1:7" ht="18" x14ac:dyDescent="0.2">
      <c r="A245" s="7" t="s">
        <v>37</v>
      </c>
      <c r="B245" s="7" t="s">
        <v>0</v>
      </c>
      <c r="C245" s="7" t="s">
        <v>11</v>
      </c>
      <c r="D245" s="7">
        <f t="shared" si="4"/>
        <v>182</v>
      </c>
      <c r="E245" s="7">
        <v>1580</v>
      </c>
      <c r="F245" s="7">
        <v>105</v>
      </c>
      <c r="G245" s="7">
        <v>11217</v>
      </c>
    </row>
    <row r="246" spans="1:7" ht="18" x14ac:dyDescent="0.2">
      <c r="A246" s="7" t="s">
        <v>37</v>
      </c>
      <c r="B246" s="7" t="s">
        <v>0</v>
      </c>
      <c r="C246" s="7" t="s">
        <v>11</v>
      </c>
      <c r="D246" s="7">
        <f t="shared" si="4"/>
        <v>189</v>
      </c>
      <c r="E246" s="7">
        <v>1590</v>
      </c>
      <c r="F246" s="7">
        <v>106</v>
      </c>
      <c r="G246" s="7">
        <v>11959</v>
      </c>
    </row>
    <row r="247" spans="1:7" ht="18" x14ac:dyDescent="0.2">
      <c r="A247" s="7" t="s">
        <v>37</v>
      </c>
      <c r="B247" s="7" t="s">
        <v>0</v>
      </c>
      <c r="C247" s="7" t="s">
        <v>11</v>
      </c>
      <c r="D247" s="7">
        <f t="shared" si="4"/>
        <v>196</v>
      </c>
      <c r="E247" s="7">
        <v>1602</v>
      </c>
      <c r="F247" s="7">
        <v>107</v>
      </c>
      <c r="G247" s="7">
        <v>12708</v>
      </c>
    </row>
    <row r="248" spans="1:7" ht="18" x14ac:dyDescent="0.2">
      <c r="A248" s="7" t="s">
        <v>37</v>
      </c>
      <c r="B248" s="7" t="s">
        <v>0</v>
      </c>
      <c r="C248" s="7" t="s">
        <v>11</v>
      </c>
      <c r="D248" s="7">
        <f t="shared" si="4"/>
        <v>203</v>
      </c>
      <c r="E248" s="7">
        <v>1608</v>
      </c>
      <c r="F248" s="7">
        <v>108</v>
      </c>
      <c r="G248" s="7">
        <v>13464</v>
      </c>
    </row>
    <row r="249" spans="1:7" ht="18" x14ac:dyDescent="0.2">
      <c r="A249" s="7" t="s">
        <v>37</v>
      </c>
      <c r="B249" s="7" t="s">
        <v>0</v>
      </c>
      <c r="C249" s="7" t="s">
        <v>11</v>
      </c>
      <c r="D249" s="7">
        <f t="shared" si="4"/>
        <v>210</v>
      </c>
      <c r="E249" s="7">
        <v>1616</v>
      </c>
      <c r="F249" s="7">
        <v>109</v>
      </c>
      <c r="G249" s="7">
        <v>14227</v>
      </c>
    </row>
    <row r="250" spans="1:7" ht="18" x14ac:dyDescent="0.2">
      <c r="A250" s="7" t="s">
        <v>37</v>
      </c>
      <c r="B250" s="7" t="s">
        <v>0</v>
      </c>
      <c r="C250" s="7" t="s">
        <v>11</v>
      </c>
      <c r="D250" s="7">
        <f t="shared" si="4"/>
        <v>217</v>
      </c>
      <c r="E250" s="7">
        <v>1621</v>
      </c>
      <c r="F250" s="7">
        <v>110</v>
      </c>
      <c r="G250" s="7">
        <v>14997</v>
      </c>
    </row>
    <row r="251" spans="1:7" ht="18" x14ac:dyDescent="0.2">
      <c r="A251" s="7" t="s">
        <v>37</v>
      </c>
      <c r="B251" s="7" t="s">
        <v>0</v>
      </c>
      <c r="C251" s="7" t="s">
        <v>11</v>
      </c>
      <c r="D251" s="7">
        <f t="shared" si="4"/>
        <v>224</v>
      </c>
      <c r="E251" s="7">
        <v>1626</v>
      </c>
      <c r="F251" s="7">
        <v>110</v>
      </c>
      <c r="G251" s="7">
        <v>15767</v>
      </c>
    </row>
    <row r="252" spans="1:7" ht="18" x14ac:dyDescent="0.2">
      <c r="A252" s="7" t="s">
        <v>37</v>
      </c>
      <c r="B252" s="7" t="s">
        <v>0</v>
      </c>
      <c r="C252" s="7" t="s">
        <v>11</v>
      </c>
      <c r="D252" s="7">
        <f t="shared" si="4"/>
        <v>231</v>
      </c>
      <c r="E252" s="7">
        <v>1629</v>
      </c>
      <c r="F252" s="7">
        <v>110</v>
      </c>
      <c r="G252" s="7">
        <v>16537</v>
      </c>
    </row>
    <row r="253" spans="1:7" ht="18" x14ac:dyDescent="0.2">
      <c r="A253" s="7" t="s">
        <v>37</v>
      </c>
      <c r="B253" s="7" t="s">
        <v>0</v>
      </c>
      <c r="C253" s="7" t="s">
        <v>11</v>
      </c>
      <c r="D253" s="7">
        <f t="shared" si="4"/>
        <v>238</v>
      </c>
      <c r="E253" s="7">
        <v>1632</v>
      </c>
      <c r="F253" s="7">
        <v>110</v>
      </c>
      <c r="G253" s="7">
        <v>17307</v>
      </c>
    </row>
    <row r="254" spans="1:7" ht="18" x14ac:dyDescent="0.2">
      <c r="A254" s="7" t="s">
        <v>37</v>
      </c>
      <c r="B254" s="7" t="s">
        <v>0</v>
      </c>
      <c r="C254" s="7" t="s">
        <v>11</v>
      </c>
      <c r="D254" s="7">
        <f t="shared" si="4"/>
        <v>245</v>
      </c>
      <c r="E254" s="7">
        <v>1635</v>
      </c>
      <c r="F254" s="7">
        <v>110</v>
      </c>
      <c r="G254" s="7">
        <v>18077</v>
      </c>
    </row>
    <row r="255" spans="1:7" ht="18" x14ac:dyDescent="0.2">
      <c r="A255" s="7" t="s">
        <v>37</v>
      </c>
      <c r="B255" s="7" t="s">
        <v>0</v>
      </c>
      <c r="C255" s="7" t="s">
        <v>11</v>
      </c>
      <c r="D255" s="7">
        <f t="shared" si="4"/>
        <v>252</v>
      </c>
      <c r="E255" s="7">
        <v>1638</v>
      </c>
      <c r="F255" s="7">
        <v>110</v>
      </c>
      <c r="G255" s="7">
        <v>18847</v>
      </c>
    </row>
    <row r="256" spans="1:7" ht="18" x14ac:dyDescent="0.2">
      <c r="A256" s="7" t="s">
        <v>37</v>
      </c>
      <c r="B256" s="7" t="s">
        <v>0</v>
      </c>
      <c r="C256" s="7" t="s">
        <v>11</v>
      </c>
      <c r="D256" s="7">
        <f t="shared" si="4"/>
        <v>259</v>
      </c>
      <c r="E256" s="7">
        <v>1641</v>
      </c>
      <c r="F256" s="7">
        <v>110</v>
      </c>
      <c r="G256" s="7">
        <v>19617</v>
      </c>
    </row>
    <row r="257" spans="1:7" ht="18" x14ac:dyDescent="0.2">
      <c r="A257" s="7" t="s">
        <v>37</v>
      </c>
      <c r="B257" s="7" t="s">
        <v>0</v>
      </c>
      <c r="C257" s="7" t="s">
        <v>11</v>
      </c>
      <c r="D257" s="7">
        <f t="shared" si="4"/>
        <v>266</v>
      </c>
      <c r="E257" s="7">
        <v>1644</v>
      </c>
      <c r="F257" s="7">
        <v>110</v>
      </c>
      <c r="G257" s="7">
        <v>20387</v>
      </c>
    </row>
    <row r="258" spans="1:7" ht="18" x14ac:dyDescent="0.2">
      <c r="A258" s="7" t="s">
        <v>37</v>
      </c>
      <c r="B258" s="7" t="s">
        <v>0</v>
      </c>
      <c r="C258" s="7" t="s">
        <v>11</v>
      </c>
      <c r="D258" s="7">
        <f t="shared" si="4"/>
        <v>273</v>
      </c>
      <c r="E258" s="7">
        <v>1647</v>
      </c>
      <c r="F258" s="7">
        <v>110</v>
      </c>
      <c r="G258" s="7">
        <v>21157</v>
      </c>
    </row>
    <row r="259" spans="1:7" ht="18" x14ac:dyDescent="0.2">
      <c r="A259" s="7" t="s">
        <v>37</v>
      </c>
      <c r="B259" s="7" t="s">
        <v>0</v>
      </c>
      <c r="C259" s="7" t="s">
        <v>11</v>
      </c>
      <c r="D259" s="7">
        <f t="shared" si="4"/>
        <v>280</v>
      </c>
      <c r="E259" s="7">
        <v>1650</v>
      </c>
      <c r="F259" s="7">
        <v>110</v>
      </c>
      <c r="G259" s="7">
        <v>21927</v>
      </c>
    </row>
    <row r="260" spans="1:7" ht="18" x14ac:dyDescent="0.2">
      <c r="A260" s="7" t="s">
        <v>37</v>
      </c>
      <c r="B260" s="7" t="s">
        <v>0</v>
      </c>
      <c r="C260" s="7" t="s">
        <v>11</v>
      </c>
      <c r="D260" s="7">
        <f t="shared" si="4"/>
        <v>287</v>
      </c>
      <c r="E260" s="7">
        <v>1652</v>
      </c>
      <c r="F260" s="7">
        <v>110</v>
      </c>
      <c r="G260" s="7">
        <v>22697</v>
      </c>
    </row>
    <row r="261" spans="1:7" ht="18" x14ac:dyDescent="0.2">
      <c r="A261" s="7" t="s">
        <v>37</v>
      </c>
      <c r="B261" s="7" t="s">
        <v>0</v>
      </c>
      <c r="C261" s="7" t="s">
        <v>11</v>
      </c>
      <c r="D261" s="7">
        <f t="shared" si="4"/>
        <v>294</v>
      </c>
      <c r="E261" s="7">
        <v>1654</v>
      </c>
      <c r="F261" s="7">
        <v>110</v>
      </c>
      <c r="G261" s="7">
        <v>23467</v>
      </c>
    </row>
    <row r="262" spans="1:7" ht="18" x14ac:dyDescent="0.2">
      <c r="A262" s="7" t="s">
        <v>37</v>
      </c>
      <c r="B262" s="7" t="s">
        <v>0</v>
      </c>
      <c r="C262" s="7" t="s">
        <v>11</v>
      </c>
      <c r="D262" s="7">
        <f t="shared" si="4"/>
        <v>301</v>
      </c>
      <c r="E262" s="7">
        <v>1656</v>
      </c>
      <c r="F262" s="7">
        <v>110</v>
      </c>
      <c r="G262" s="7">
        <v>24237</v>
      </c>
    </row>
    <row r="263" spans="1:7" ht="18" x14ac:dyDescent="0.2">
      <c r="A263" s="7" t="s">
        <v>37</v>
      </c>
      <c r="B263" s="7" t="s">
        <v>0</v>
      </c>
      <c r="C263" s="7" t="s">
        <v>11</v>
      </c>
      <c r="D263" s="7">
        <f t="shared" si="4"/>
        <v>308</v>
      </c>
      <c r="E263" s="7">
        <v>1658</v>
      </c>
      <c r="F263" s="7">
        <v>110</v>
      </c>
      <c r="G263" s="7">
        <v>25007</v>
      </c>
    </row>
    <row r="264" spans="1:7" ht="18" x14ac:dyDescent="0.2">
      <c r="A264" s="7" t="s">
        <v>37</v>
      </c>
      <c r="B264" s="7" t="s">
        <v>0</v>
      </c>
      <c r="C264" s="7" t="s">
        <v>11</v>
      </c>
      <c r="D264" s="7">
        <f t="shared" si="4"/>
        <v>315</v>
      </c>
      <c r="E264" s="7">
        <v>1660</v>
      </c>
      <c r="F264" s="7">
        <v>110</v>
      </c>
      <c r="G264" s="7">
        <v>25777</v>
      </c>
    </row>
    <row r="265" spans="1:7" ht="18" x14ac:dyDescent="0.2">
      <c r="A265" s="7" t="s">
        <v>37</v>
      </c>
      <c r="B265" s="7" t="s">
        <v>0</v>
      </c>
      <c r="C265" s="7" t="s">
        <v>11</v>
      </c>
      <c r="D265" s="7">
        <f t="shared" si="4"/>
        <v>322</v>
      </c>
      <c r="E265" s="7">
        <v>1661</v>
      </c>
      <c r="F265" s="7">
        <v>110</v>
      </c>
      <c r="G265" s="7">
        <v>26547</v>
      </c>
    </row>
    <row r="266" spans="1:7" ht="18" x14ac:dyDescent="0.2">
      <c r="A266" s="7" t="s">
        <v>37</v>
      </c>
      <c r="B266" s="7" t="s">
        <v>0</v>
      </c>
      <c r="C266" s="7" t="s">
        <v>11</v>
      </c>
      <c r="D266" s="7">
        <f t="shared" si="4"/>
        <v>329</v>
      </c>
      <c r="E266" s="7">
        <v>1662</v>
      </c>
      <c r="F266" s="7">
        <v>110</v>
      </c>
      <c r="G266" s="7">
        <v>27317</v>
      </c>
    </row>
    <row r="267" spans="1:7" ht="18" x14ac:dyDescent="0.2">
      <c r="A267" s="7" t="s">
        <v>37</v>
      </c>
      <c r="B267" s="7" t="s">
        <v>0</v>
      </c>
      <c r="C267" s="7" t="s">
        <v>11</v>
      </c>
      <c r="D267" s="7">
        <f t="shared" si="4"/>
        <v>336</v>
      </c>
      <c r="E267" s="7">
        <v>1663</v>
      </c>
      <c r="F267" s="7">
        <v>110</v>
      </c>
      <c r="G267" s="7">
        <v>28087</v>
      </c>
    </row>
    <row r="268" spans="1:7" ht="18" x14ac:dyDescent="0.2">
      <c r="A268" s="7" t="s">
        <v>37</v>
      </c>
      <c r="B268" s="7" t="s">
        <v>0</v>
      </c>
      <c r="C268" s="7" t="s">
        <v>11</v>
      </c>
      <c r="D268" s="7">
        <f t="shared" si="4"/>
        <v>343</v>
      </c>
      <c r="E268" s="7">
        <v>1664</v>
      </c>
      <c r="F268" s="7">
        <v>110</v>
      </c>
      <c r="G268" s="7">
        <v>28857</v>
      </c>
    </row>
    <row r="269" spans="1:7" ht="18" x14ac:dyDescent="0.2">
      <c r="A269" s="7" t="s">
        <v>37</v>
      </c>
      <c r="B269" s="7" t="s">
        <v>0</v>
      </c>
      <c r="C269" s="7" t="s">
        <v>11</v>
      </c>
      <c r="D269" s="7">
        <f t="shared" si="4"/>
        <v>350</v>
      </c>
      <c r="E269" s="7">
        <v>1665</v>
      </c>
      <c r="F269" s="7">
        <v>110</v>
      </c>
      <c r="G269" s="7">
        <v>29627</v>
      </c>
    </row>
    <row r="270" spans="1:7" ht="18" x14ac:dyDescent="0.2">
      <c r="A270" s="7" t="s">
        <v>37</v>
      </c>
      <c r="B270" s="7" t="s">
        <v>0</v>
      </c>
      <c r="C270" s="7" t="s">
        <v>11</v>
      </c>
      <c r="D270" s="7">
        <f t="shared" si="4"/>
        <v>357</v>
      </c>
      <c r="E270" s="7">
        <v>1666</v>
      </c>
      <c r="F270" s="7">
        <v>110</v>
      </c>
      <c r="G270" s="7">
        <v>30397</v>
      </c>
    </row>
    <row r="271" spans="1:7" ht="18" x14ac:dyDescent="0.2">
      <c r="A271" s="7" t="s">
        <v>37</v>
      </c>
      <c r="B271" s="7" t="s">
        <v>0</v>
      </c>
      <c r="C271" s="7" t="s">
        <v>11</v>
      </c>
      <c r="D271" s="7">
        <f t="shared" si="4"/>
        <v>364</v>
      </c>
      <c r="E271" s="7">
        <v>1667</v>
      </c>
      <c r="F271" s="7">
        <v>110</v>
      </c>
      <c r="G271" s="7">
        <v>31167</v>
      </c>
    </row>
    <row r="272" spans="1:7" ht="18" x14ac:dyDescent="0.2">
      <c r="A272" s="7" t="s">
        <v>37</v>
      </c>
      <c r="B272" s="7" t="s">
        <v>0</v>
      </c>
      <c r="C272" s="7" t="s">
        <v>11</v>
      </c>
      <c r="D272" s="7">
        <f t="shared" si="4"/>
        <v>371</v>
      </c>
      <c r="E272" s="7">
        <v>1668</v>
      </c>
      <c r="F272" s="7">
        <v>110</v>
      </c>
      <c r="G272" s="7">
        <v>31937</v>
      </c>
    </row>
    <row r="273" spans="1:7" ht="18" x14ac:dyDescent="0.2">
      <c r="A273" s="7" t="s">
        <v>37</v>
      </c>
      <c r="B273" s="7" t="s">
        <v>0</v>
      </c>
      <c r="C273" s="7" t="s">
        <v>11</v>
      </c>
      <c r="D273" s="7">
        <f t="shared" si="4"/>
        <v>378</v>
      </c>
      <c r="E273" s="7">
        <v>1669</v>
      </c>
      <c r="F273" s="7">
        <v>110</v>
      </c>
      <c r="G273" s="7">
        <v>32707</v>
      </c>
    </row>
    <row r="274" spans="1:7" ht="18" x14ac:dyDescent="0.2">
      <c r="A274" s="7" t="s">
        <v>37</v>
      </c>
      <c r="B274" s="7" t="s">
        <v>0</v>
      </c>
      <c r="C274" s="7" t="s">
        <v>11</v>
      </c>
      <c r="D274" s="7">
        <f t="shared" si="4"/>
        <v>385</v>
      </c>
      <c r="E274" s="7">
        <v>1670</v>
      </c>
      <c r="F274" s="7">
        <v>110</v>
      </c>
      <c r="G274" s="7">
        <v>33477</v>
      </c>
    </row>
    <row r="275" spans="1:7" ht="18" x14ac:dyDescent="0.2">
      <c r="A275" s="7" t="s">
        <v>37</v>
      </c>
      <c r="B275" s="7" t="s">
        <v>0</v>
      </c>
      <c r="C275" s="7" t="s">
        <v>11</v>
      </c>
      <c r="D275" s="7">
        <f t="shared" si="4"/>
        <v>392</v>
      </c>
      <c r="E275" s="7">
        <v>1671</v>
      </c>
      <c r="F275" s="7">
        <v>110</v>
      </c>
      <c r="G275" s="7">
        <v>34247</v>
      </c>
    </row>
    <row r="276" spans="1:7" ht="18" x14ac:dyDescent="0.2">
      <c r="A276" s="7" t="s">
        <v>37</v>
      </c>
      <c r="B276" s="7" t="s">
        <v>0</v>
      </c>
      <c r="C276" s="7" t="s">
        <v>11</v>
      </c>
      <c r="D276" s="7">
        <f t="shared" si="4"/>
        <v>399</v>
      </c>
      <c r="E276" s="7">
        <v>1672</v>
      </c>
      <c r="F276" s="7">
        <v>110</v>
      </c>
      <c r="G276" s="7">
        <v>35017</v>
      </c>
    </row>
    <row r="277" spans="1:7" ht="18" x14ac:dyDescent="0.2">
      <c r="A277" s="7" t="s">
        <v>37</v>
      </c>
      <c r="B277" s="7" t="s">
        <v>0</v>
      </c>
      <c r="C277" s="7" t="s">
        <v>11</v>
      </c>
      <c r="D277" s="7">
        <f t="shared" si="4"/>
        <v>406</v>
      </c>
      <c r="E277" s="7">
        <v>1673</v>
      </c>
      <c r="F277" s="7">
        <v>110</v>
      </c>
      <c r="G277" s="7">
        <v>35787</v>
      </c>
    </row>
    <row r="278" spans="1:7" ht="18" x14ac:dyDescent="0.2">
      <c r="A278" s="7" t="s">
        <v>37</v>
      </c>
      <c r="B278" s="7" t="s">
        <v>0</v>
      </c>
      <c r="C278" s="7" t="s">
        <v>11</v>
      </c>
      <c r="D278" s="7">
        <f t="shared" si="4"/>
        <v>413</v>
      </c>
      <c r="E278" s="7">
        <v>1674</v>
      </c>
      <c r="F278" s="7">
        <v>110</v>
      </c>
      <c r="G278" s="7">
        <v>36557</v>
      </c>
    </row>
    <row r="279" spans="1:7" ht="18" x14ac:dyDescent="0.2">
      <c r="A279" s="7" t="s">
        <v>37</v>
      </c>
      <c r="B279" s="7" t="s">
        <v>0</v>
      </c>
      <c r="C279" s="7" t="s">
        <v>11</v>
      </c>
      <c r="D279" s="7">
        <f t="shared" si="4"/>
        <v>420</v>
      </c>
      <c r="E279" s="7">
        <v>1675</v>
      </c>
      <c r="F279" s="7">
        <v>110</v>
      </c>
      <c r="G279" s="7">
        <v>37327</v>
      </c>
    </row>
    <row r="280" spans="1:7" ht="18" x14ac:dyDescent="0.2">
      <c r="A280" s="7" t="s">
        <v>37</v>
      </c>
      <c r="B280" s="7" t="s">
        <v>0</v>
      </c>
      <c r="C280" s="7" t="s">
        <v>11</v>
      </c>
      <c r="D280" s="7">
        <f t="shared" si="4"/>
        <v>427</v>
      </c>
      <c r="E280" s="7">
        <v>1676</v>
      </c>
      <c r="F280" s="7">
        <v>110</v>
      </c>
      <c r="G280" s="7">
        <v>38097</v>
      </c>
    </row>
    <row r="281" spans="1:7" ht="18" x14ac:dyDescent="0.2">
      <c r="A281" s="7" t="s">
        <v>37</v>
      </c>
      <c r="B281" s="7" t="s">
        <v>0</v>
      </c>
      <c r="C281" s="7" t="s">
        <v>11</v>
      </c>
      <c r="D281" s="7">
        <f t="shared" si="4"/>
        <v>434</v>
      </c>
      <c r="E281" s="7">
        <v>1677</v>
      </c>
      <c r="F281" s="7">
        <v>110</v>
      </c>
      <c r="G281" s="7">
        <v>38867</v>
      </c>
    </row>
    <row r="282" spans="1:7" ht="18" x14ac:dyDescent="0.2">
      <c r="A282" s="7" t="s">
        <v>37</v>
      </c>
      <c r="B282" s="7" t="s">
        <v>0</v>
      </c>
      <c r="C282" s="7" t="s">
        <v>11</v>
      </c>
      <c r="D282" s="7">
        <f t="shared" si="4"/>
        <v>441</v>
      </c>
      <c r="E282" s="7">
        <v>1678</v>
      </c>
      <c r="F282" s="7">
        <v>110</v>
      </c>
      <c r="G282" s="7">
        <v>39637</v>
      </c>
    </row>
    <row r="283" spans="1:7" ht="18" x14ac:dyDescent="0.2">
      <c r="A283" s="7" t="s">
        <v>37</v>
      </c>
      <c r="B283" s="7" t="s">
        <v>0</v>
      </c>
      <c r="C283" s="7" t="s">
        <v>11</v>
      </c>
      <c r="D283" s="7">
        <f t="shared" si="4"/>
        <v>448</v>
      </c>
      <c r="E283" s="7">
        <v>1679</v>
      </c>
      <c r="F283" s="7">
        <v>110</v>
      </c>
      <c r="G283" s="7">
        <v>40407</v>
      </c>
    </row>
    <row r="284" spans="1:7" ht="18" x14ac:dyDescent="0.2">
      <c r="A284" s="7" t="s">
        <v>37</v>
      </c>
      <c r="B284" s="7" t="s">
        <v>0</v>
      </c>
      <c r="C284" s="7" t="s">
        <v>11</v>
      </c>
      <c r="D284" s="7">
        <f t="shared" si="4"/>
        <v>455</v>
      </c>
      <c r="E284" s="7">
        <v>1680</v>
      </c>
      <c r="F284" s="7">
        <v>110</v>
      </c>
      <c r="G284" s="7">
        <v>41177</v>
      </c>
    </row>
    <row r="285" spans="1:7" ht="18" x14ac:dyDescent="0.2">
      <c r="A285" s="7" t="s">
        <v>37</v>
      </c>
      <c r="B285" s="7" t="s">
        <v>0</v>
      </c>
      <c r="C285" s="7" t="s">
        <v>11</v>
      </c>
      <c r="D285" s="7">
        <f t="shared" si="4"/>
        <v>462</v>
      </c>
      <c r="E285" s="7">
        <v>1681</v>
      </c>
      <c r="F285" s="7">
        <v>110</v>
      </c>
      <c r="G285" s="7">
        <v>41947</v>
      </c>
    </row>
    <row r="286" spans="1:7" ht="18" x14ac:dyDescent="0.2">
      <c r="A286" s="7" t="s">
        <v>37</v>
      </c>
      <c r="B286" s="7" t="s">
        <v>0</v>
      </c>
      <c r="C286" s="7" t="s">
        <v>11</v>
      </c>
      <c r="D286" s="7">
        <f t="shared" si="4"/>
        <v>469</v>
      </c>
      <c r="E286" s="7">
        <v>1682</v>
      </c>
      <c r="F286" s="7">
        <v>110</v>
      </c>
      <c r="G286" s="7">
        <v>42717</v>
      </c>
    </row>
    <row r="287" spans="1:7" ht="18" x14ac:dyDescent="0.2">
      <c r="A287" s="7" t="s">
        <v>37</v>
      </c>
      <c r="B287" s="7" t="s">
        <v>0</v>
      </c>
      <c r="C287" s="7" t="s">
        <v>11</v>
      </c>
      <c r="D287" s="7">
        <f t="shared" si="4"/>
        <v>476</v>
      </c>
      <c r="E287" s="7">
        <v>1683</v>
      </c>
      <c r="F287" s="7">
        <v>110</v>
      </c>
      <c r="G287" s="7">
        <v>43487</v>
      </c>
    </row>
    <row r="288" spans="1:7" ht="18" x14ac:dyDescent="0.2">
      <c r="A288" s="7" t="s">
        <v>37</v>
      </c>
      <c r="B288" s="7" t="s">
        <v>0</v>
      </c>
      <c r="C288" s="7" t="s">
        <v>11</v>
      </c>
      <c r="D288" s="7">
        <f t="shared" ref="D288:D319" si="5">D287+7</f>
        <v>483</v>
      </c>
      <c r="E288" s="7">
        <v>1684</v>
      </c>
      <c r="F288" s="7">
        <v>110</v>
      </c>
      <c r="G288" s="7">
        <v>44257</v>
      </c>
    </row>
    <row r="289" spans="1:7" ht="18" x14ac:dyDescent="0.2">
      <c r="A289" s="7" t="s">
        <v>37</v>
      </c>
      <c r="B289" s="7" t="s">
        <v>0</v>
      </c>
      <c r="C289" s="7" t="s">
        <v>11</v>
      </c>
      <c r="D289" s="7">
        <f t="shared" si="5"/>
        <v>490</v>
      </c>
      <c r="E289" s="7">
        <v>1685</v>
      </c>
      <c r="F289" s="7">
        <v>110</v>
      </c>
      <c r="G289" s="7">
        <v>45027</v>
      </c>
    </row>
    <row r="290" spans="1:7" ht="18" x14ac:dyDescent="0.2">
      <c r="A290" s="7" t="s">
        <v>37</v>
      </c>
      <c r="B290" s="7" t="s">
        <v>0</v>
      </c>
      <c r="C290" s="7" t="s">
        <v>11</v>
      </c>
      <c r="D290" s="7">
        <f t="shared" si="5"/>
        <v>497</v>
      </c>
      <c r="E290" s="7">
        <v>1686</v>
      </c>
      <c r="F290" s="7">
        <v>110</v>
      </c>
      <c r="G290" s="7">
        <v>45797</v>
      </c>
    </row>
    <row r="291" spans="1:7" ht="18" x14ac:dyDescent="0.2">
      <c r="A291" s="7" t="s">
        <v>37</v>
      </c>
      <c r="B291" s="7" t="s">
        <v>0</v>
      </c>
      <c r="C291" s="7" t="s">
        <v>11</v>
      </c>
      <c r="D291" s="7">
        <f t="shared" si="5"/>
        <v>504</v>
      </c>
      <c r="E291" s="7">
        <v>1687</v>
      </c>
      <c r="F291" s="7">
        <v>110</v>
      </c>
      <c r="G291" s="7">
        <v>46567</v>
      </c>
    </row>
    <row r="292" spans="1:7" ht="18" x14ac:dyDescent="0.2">
      <c r="A292" s="7" t="s">
        <v>37</v>
      </c>
      <c r="B292" s="7" t="s">
        <v>0</v>
      </c>
      <c r="C292" s="7" t="s">
        <v>11</v>
      </c>
      <c r="D292" s="7">
        <f t="shared" si="5"/>
        <v>511</v>
      </c>
      <c r="E292" s="7">
        <v>1688</v>
      </c>
      <c r="F292" s="7">
        <v>110</v>
      </c>
      <c r="G292" s="7">
        <v>47337</v>
      </c>
    </row>
    <row r="293" spans="1:7" ht="18" x14ac:dyDescent="0.2">
      <c r="A293" s="7" t="s">
        <v>37</v>
      </c>
      <c r="B293" s="7" t="s">
        <v>0</v>
      </c>
      <c r="C293" s="7" t="s">
        <v>11</v>
      </c>
      <c r="D293" s="7">
        <f t="shared" si="5"/>
        <v>518</v>
      </c>
      <c r="E293" s="7">
        <v>1689</v>
      </c>
      <c r="F293" s="7">
        <v>110</v>
      </c>
      <c r="G293" s="7">
        <v>48107</v>
      </c>
    </row>
    <row r="294" spans="1:7" ht="18" x14ac:dyDescent="0.2">
      <c r="A294" s="7" t="s">
        <v>37</v>
      </c>
      <c r="B294" s="7" t="s">
        <v>0</v>
      </c>
      <c r="C294" s="7" t="s">
        <v>11</v>
      </c>
      <c r="D294" s="7">
        <f t="shared" si="5"/>
        <v>525</v>
      </c>
      <c r="E294" s="7">
        <v>1690</v>
      </c>
      <c r="F294" s="7">
        <v>110</v>
      </c>
      <c r="G294" s="7">
        <v>48877</v>
      </c>
    </row>
    <row r="295" spans="1:7" ht="18" x14ac:dyDescent="0.2">
      <c r="A295" s="7" t="s">
        <v>37</v>
      </c>
      <c r="B295" s="7" t="s">
        <v>0</v>
      </c>
      <c r="C295" s="7" t="s">
        <v>11</v>
      </c>
      <c r="D295" s="7">
        <f t="shared" si="5"/>
        <v>532</v>
      </c>
      <c r="E295" s="7">
        <v>1691</v>
      </c>
      <c r="F295" s="7">
        <v>110</v>
      </c>
      <c r="G295" s="7">
        <v>49647</v>
      </c>
    </row>
    <row r="296" spans="1:7" ht="18" x14ac:dyDescent="0.2">
      <c r="A296" s="7" t="s">
        <v>37</v>
      </c>
      <c r="B296" s="7" t="s">
        <v>0</v>
      </c>
      <c r="C296" s="7" t="s">
        <v>11</v>
      </c>
      <c r="D296" s="7">
        <f t="shared" si="5"/>
        <v>539</v>
      </c>
      <c r="E296" s="7">
        <v>1692</v>
      </c>
      <c r="F296" s="7">
        <v>110</v>
      </c>
      <c r="G296" s="7">
        <v>50417</v>
      </c>
    </row>
    <row r="297" spans="1:7" ht="18" x14ac:dyDescent="0.2">
      <c r="A297" s="7" t="s">
        <v>37</v>
      </c>
      <c r="B297" s="7" t="s">
        <v>0</v>
      </c>
      <c r="C297" s="7" t="s">
        <v>11</v>
      </c>
      <c r="D297" s="7">
        <f t="shared" si="5"/>
        <v>546</v>
      </c>
      <c r="E297" s="7">
        <v>1693</v>
      </c>
      <c r="F297" s="7">
        <v>110</v>
      </c>
      <c r="G297" s="7">
        <v>51187</v>
      </c>
    </row>
    <row r="298" spans="1:7" ht="18" x14ac:dyDescent="0.2">
      <c r="A298" s="7" t="s">
        <v>37</v>
      </c>
      <c r="B298" s="7" t="s">
        <v>0</v>
      </c>
      <c r="C298" s="7" t="s">
        <v>11</v>
      </c>
      <c r="D298" s="7">
        <f t="shared" si="5"/>
        <v>553</v>
      </c>
      <c r="E298" s="7">
        <v>1694</v>
      </c>
      <c r="F298" s="7">
        <v>110</v>
      </c>
      <c r="G298" s="7">
        <v>51957</v>
      </c>
    </row>
    <row r="299" spans="1:7" ht="18" x14ac:dyDescent="0.2">
      <c r="A299" s="7" t="s">
        <v>37</v>
      </c>
      <c r="B299" s="7" t="s">
        <v>0</v>
      </c>
      <c r="C299" s="7" t="s">
        <v>11</v>
      </c>
      <c r="D299" s="7">
        <f t="shared" si="5"/>
        <v>560</v>
      </c>
      <c r="E299" s="7">
        <v>1695</v>
      </c>
      <c r="F299" s="7">
        <v>110</v>
      </c>
      <c r="G299" s="7">
        <v>52727</v>
      </c>
    </row>
    <row r="300" spans="1:7" ht="18" x14ac:dyDescent="0.2">
      <c r="A300" s="7" t="s">
        <v>37</v>
      </c>
      <c r="B300" s="7" t="s">
        <v>0</v>
      </c>
      <c r="C300" s="7" t="s">
        <v>11</v>
      </c>
      <c r="D300" s="7">
        <f t="shared" si="5"/>
        <v>567</v>
      </c>
      <c r="E300" s="7">
        <v>1696</v>
      </c>
      <c r="F300" s="7">
        <v>110</v>
      </c>
      <c r="G300" s="7">
        <v>53497</v>
      </c>
    </row>
    <row r="301" spans="1:7" ht="18" x14ac:dyDescent="0.2">
      <c r="A301" s="7" t="s">
        <v>37</v>
      </c>
      <c r="B301" s="7" t="s">
        <v>0</v>
      </c>
      <c r="C301" s="7" t="s">
        <v>11</v>
      </c>
      <c r="D301" s="7">
        <f t="shared" si="5"/>
        <v>574</v>
      </c>
      <c r="E301" s="7">
        <v>1697</v>
      </c>
      <c r="F301" s="7">
        <v>110</v>
      </c>
      <c r="G301" s="7">
        <v>54267</v>
      </c>
    </row>
    <row r="302" spans="1:7" ht="18" x14ac:dyDescent="0.2">
      <c r="A302" s="7" t="s">
        <v>37</v>
      </c>
      <c r="B302" s="7" t="s">
        <v>0</v>
      </c>
      <c r="C302" s="7" t="s">
        <v>11</v>
      </c>
      <c r="D302" s="7">
        <f t="shared" si="5"/>
        <v>581</v>
      </c>
      <c r="E302" s="7">
        <v>1698</v>
      </c>
      <c r="F302" s="7">
        <v>110</v>
      </c>
      <c r="G302" s="7">
        <v>55037</v>
      </c>
    </row>
    <row r="303" spans="1:7" ht="18" x14ac:dyDescent="0.2">
      <c r="A303" s="7" t="s">
        <v>37</v>
      </c>
      <c r="B303" s="7" t="s">
        <v>0</v>
      </c>
      <c r="C303" s="7" t="s">
        <v>11</v>
      </c>
      <c r="D303" s="7">
        <f t="shared" si="5"/>
        <v>588</v>
      </c>
      <c r="E303" s="7">
        <v>1699</v>
      </c>
      <c r="F303" s="7">
        <v>110</v>
      </c>
      <c r="G303" s="7">
        <v>55807</v>
      </c>
    </row>
    <row r="304" spans="1:7" ht="18" x14ac:dyDescent="0.2">
      <c r="A304" s="7" t="s">
        <v>37</v>
      </c>
      <c r="B304" s="7" t="s">
        <v>0</v>
      </c>
      <c r="C304" s="7" t="s">
        <v>11</v>
      </c>
      <c r="D304" s="7">
        <f t="shared" si="5"/>
        <v>595</v>
      </c>
      <c r="E304" s="7">
        <v>1700</v>
      </c>
      <c r="F304" s="7">
        <v>110</v>
      </c>
      <c r="G304" s="7">
        <v>56577</v>
      </c>
    </row>
    <row r="305" spans="1:7" ht="18" x14ac:dyDescent="0.2">
      <c r="A305" s="7" t="s">
        <v>37</v>
      </c>
      <c r="B305" s="7" t="s">
        <v>0</v>
      </c>
      <c r="C305" s="7" t="s">
        <v>11</v>
      </c>
      <c r="D305" s="7">
        <f t="shared" si="5"/>
        <v>602</v>
      </c>
      <c r="E305" s="7">
        <v>1700</v>
      </c>
      <c r="F305" s="7">
        <v>110</v>
      </c>
      <c r="G305" s="7">
        <v>57347</v>
      </c>
    </row>
    <row r="306" spans="1:7" ht="18" x14ac:dyDescent="0.2">
      <c r="A306" s="7" t="s">
        <v>37</v>
      </c>
      <c r="B306" s="7" t="s">
        <v>0</v>
      </c>
      <c r="C306" s="7" t="s">
        <v>11</v>
      </c>
      <c r="D306" s="7">
        <f t="shared" si="5"/>
        <v>609</v>
      </c>
      <c r="E306" s="7">
        <v>1700</v>
      </c>
      <c r="F306" s="7">
        <v>110</v>
      </c>
      <c r="G306" s="7">
        <v>58117</v>
      </c>
    </row>
    <row r="307" spans="1:7" ht="18" x14ac:dyDescent="0.2">
      <c r="A307" s="7" t="s">
        <v>37</v>
      </c>
      <c r="B307" s="7" t="s">
        <v>0</v>
      </c>
      <c r="C307" s="7" t="s">
        <v>11</v>
      </c>
      <c r="D307" s="7">
        <f t="shared" si="5"/>
        <v>616</v>
      </c>
      <c r="E307" s="7">
        <v>1700</v>
      </c>
      <c r="F307" s="7">
        <v>110</v>
      </c>
      <c r="G307" s="7">
        <v>58887</v>
      </c>
    </row>
    <row r="308" spans="1:7" ht="18" x14ac:dyDescent="0.2">
      <c r="A308" s="7" t="s">
        <v>37</v>
      </c>
      <c r="B308" s="7" t="s">
        <v>0</v>
      </c>
      <c r="C308" s="7" t="s">
        <v>11</v>
      </c>
      <c r="D308" s="7">
        <f t="shared" si="5"/>
        <v>623</v>
      </c>
      <c r="E308" s="7">
        <v>1700</v>
      </c>
      <c r="F308" s="7">
        <v>110</v>
      </c>
      <c r="G308" s="7">
        <v>59657</v>
      </c>
    </row>
    <row r="309" spans="1:7" ht="18" x14ac:dyDescent="0.2">
      <c r="A309" s="7" t="s">
        <v>37</v>
      </c>
      <c r="B309" s="7" t="s">
        <v>0</v>
      </c>
      <c r="C309" s="7" t="s">
        <v>11</v>
      </c>
      <c r="D309" s="7">
        <f t="shared" si="5"/>
        <v>630</v>
      </c>
      <c r="E309" s="7">
        <v>1700</v>
      </c>
      <c r="F309" s="7">
        <v>110</v>
      </c>
      <c r="G309" s="7">
        <v>60427</v>
      </c>
    </row>
    <row r="310" spans="1:7" ht="18" x14ac:dyDescent="0.2">
      <c r="A310" s="7" t="s">
        <v>37</v>
      </c>
      <c r="B310" s="7" t="s">
        <v>0</v>
      </c>
      <c r="C310" s="7" t="s">
        <v>11</v>
      </c>
      <c r="D310" s="7">
        <f t="shared" si="5"/>
        <v>637</v>
      </c>
      <c r="E310" s="7">
        <v>1700</v>
      </c>
      <c r="F310" s="7">
        <v>110</v>
      </c>
      <c r="G310" s="7">
        <v>61197</v>
      </c>
    </row>
    <row r="311" spans="1:7" ht="18" x14ac:dyDescent="0.2">
      <c r="A311" s="7" t="s">
        <v>37</v>
      </c>
      <c r="B311" s="7" t="s">
        <v>0</v>
      </c>
      <c r="C311" s="7" t="s">
        <v>11</v>
      </c>
      <c r="D311" s="7">
        <f t="shared" si="5"/>
        <v>644</v>
      </c>
      <c r="E311" s="7">
        <v>1700</v>
      </c>
      <c r="F311" s="7">
        <v>110</v>
      </c>
      <c r="G311" s="7">
        <v>61967</v>
      </c>
    </row>
    <row r="312" spans="1:7" ht="18" x14ac:dyDescent="0.2">
      <c r="A312" s="7" t="s">
        <v>37</v>
      </c>
      <c r="B312" s="7" t="s">
        <v>0</v>
      </c>
      <c r="C312" s="7" t="s">
        <v>11</v>
      </c>
      <c r="D312" s="7">
        <f t="shared" si="5"/>
        <v>651</v>
      </c>
      <c r="E312" s="7">
        <v>1700</v>
      </c>
      <c r="F312" s="7">
        <v>110</v>
      </c>
      <c r="G312" s="7">
        <v>62737</v>
      </c>
    </row>
    <row r="313" spans="1:7" ht="18" x14ac:dyDescent="0.2">
      <c r="A313" s="7" t="s">
        <v>37</v>
      </c>
      <c r="B313" s="7" t="s">
        <v>0</v>
      </c>
      <c r="C313" s="7" t="s">
        <v>11</v>
      </c>
      <c r="D313" s="7">
        <f t="shared" si="5"/>
        <v>658</v>
      </c>
      <c r="E313" s="7">
        <v>1700</v>
      </c>
      <c r="F313" s="7">
        <v>110</v>
      </c>
      <c r="G313" s="7">
        <v>63507</v>
      </c>
    </row>
    <row r="314" spans="1:7" ht="18" x14ac:dyDescent="0.2">
      <c r="A314" s="7" t="s">
        <v>37</v>
      </c>
      <c r="B314" s="7" t="s">
        <v>0</v>
      </c>
      <c r="C314" s="7" t="s">
        <v>11</v>
      </c>
      <c r="D314" s="7">
        <f t="shared" si="5"/>
        <v>665</v>
      </c>
      <c r="E314" s="7">
        <v>1700</v>
      </c>
      <c r="F314" s="7">
        <v>110</v>
      </c>
      <c r="G314" s="7">
        <v>64277</v>
      </c>
    </row>
    <row r="315" spans="1:7" ht="18" x14ac:dyDescent="0.2">
      <c r="A315" s="7" t="s">
        <v>37</v>
      </c>
      <c r="B315" s="7" t="s">
        <v>0</v>
      </c>
      <c r="C315" s="7" t="s">
        <v>11</v>
      </c>
      <c r="D315" s="7">
        <f t="shared" si="5"/>
        <v>672</v>
      </c>
      <c r="E315" s="7">
        <v>1700</v>
      </c>
      <c r="F315" s="7">
        <v>110</v>
      </c>
      <c r="G315" s="7">
        <v>65047</v>
      </c>
    </row>
    <row r="316" spans="1:7" ht="18" x14ac:dyDescent="0.2">
      <c r="A316" s="7" t="s">
        <v>37</v>
      </c>
      <c r="B316" s="7" t="s">
        <v>0</v>
      </c>
      <c r="C316" s="7" t="s">
        <v>11</v>
      </c>
      <c r="D316" s="7">
        <f t="shared" si="5"/>
        <v>679</v>
      </c>
      <c r="E316" s="7">
        <v>1700</v>
      </c>
      <c r="F316" s="7">
        <v>110</v>
      </c>
      <c r="G316" s="7">
        <v>65817</v>
      </c>
    </row>
    <row r="317" spans="1:7" ht="18" x14ac:dyDescent="0.2">
      <c r="A317" s="7" t="s">
        <v>37</v>
      </c>
      <c r="B317" s="7" t="s">
        <v>0</v>
      </c>
      <c r="C317" s="7" t="s">
        <v>11</v>
      </c>
      <c r="D317" s="7">
        <f t="shared" si="5"/>
        <v>686</v>
      </c>
      <c r="E317" s="7">
        <v>1700</v>
      </c>
      <c r="F317" s="7">
        <v>110</v>
      </c>
      <c r="G317" s="7">
        <v>66587</v>
      </c>
    </row>
    <row r="318" spans="1:7" ht="18" x14ac:dyDescent="0.2">
      <c r="A318" s="7" t="s">
        <v>37</v>
      </c>
      <c r="B318" s="7" t="s">
        <v>0</v>
      </c>
      <c r="C318" s="7" t="s">
        <v>11</v>
      </c>
      <c r="D318" s="7">
        <f t="shared" si="5"/>
        <v>693</v>
      </c>
      <c r="E318" s="7">
        <v>1700</v>
      </c>
      <c r="F318" s="7">
        <v>110</v>
      </c>
      <c r="G318" s="7">
        <v>67357</v>
      </c>
    </row>
    <row r="319" spans="1:7" ht="18" x14ac:dyDescent="0.2">
      <c r="A319" s="7" t="s">
        <v>37</v>
      </c>
      <c r="B319" s="7" t="s">
        <v>0</v>
      </c>
      <c r="C319" s="7" t="s">
        <v>11</v>
      </c>
      <c r="D319" s="7">
        <f t="shared" si="5"/>
        <v>700</v>
      </c>
      <c r="E319" s="7">
        <v>1700</v>
      </c>
      <c r="F319" s="7">
        <v>110</v>
      </c>
      <c r="G319" s="7">
        <v>68127</v>
      </c>
    </row>
    <row r="320" spans="1:7" ht="18" x14ac:dyDescent="0.2">
      <c r="A320" s="7" t="s">
        <v>37</v>
      </c>
      <c r="B320" s="7" t="s">
        <v>0</v>
      </c>
      <c r="C320" s="7" t="s">
        <v>8</v>
      </c>
      <c r="D320" s="7">
        <v>7</v>
      </c>
      <c r="E320" s="7">
        <v>61</v>
      </c>
      <c r="F320" s="7">
        <v>9</v>
      </c>
      <c r="G320" s="7">
        <v>63</v>
      </c>
    </row>
    <row r="321" spans="1:7" ht="18" x14ac:dyDescent="0.2">
      <c r="A321" s="7" t="s">
        <v>37</v>
      </c>
      <c r="B321" s="7" t="s">
        <v>0</v>
      </c>
      <c r="C321" s="7" t="s">
        <v>8</v>
      </c>
      <c r="D321" s="7">
        <v>14</v>
      </c>
      <c r="E321" s="7">
        <v>120</v>
      </c>
      <c r="F321" s="7">
        <v>14</v>
      </c>
      <c r="G321" s="7">
        <v>161</v>
      </c>
    </row>
    <row r="322" spans="1:7" ht="18" x14ac:dyDescent="0.2">
      <c r="A322" s="7" t="s">
        <v>37</v>
      </c>
      <c r="B322" s="7" t="s">
        <v>0</v>
      </c>
      <c r="C322" s="7" t="s">
        <v>8</v>
      </c>
      <c r="D322" s="7">
        <f>D321+7</f>
        <v>21</v>
      </c>
      <c r="E322" s="7">
        <v>195</v>
      </c>
      <c r="F322" s="7">
        <v>20</v>
      </c>
      <c r="G322" s="7">
        <v>301</v>
      </c>
    </row>
    <row r="323" spans="1:7" ht="18" x14ac:dyDescent="0.2">
      <c r="A323" s="7" t="s">
        <v>37</v>
      </c>
      <c r="B323" s="7" t="s">
        <v>0</v>
      </c>
      <c r="C323" s="7" t="s">
        <v>8</v>
      </c>
      <c r="D323" s="7">
        <f>D322+7</f>
        <v>28</v>
      </c>
      <c r="E323" s="7">
        <v>275</v>
      </c>
      <c r="F323" s="7">
        <v>26</v>
      </c>
      <c r="G323" s="7">
        <v>483</v>
      </c>
    </row>
    <row r="324" spans="1:7" ht="18" x14ac:dyDescent="0.2">
      <c r="A324" s="7" t="s">
        <v>37</v>
      </c>
      <c r="B324" s="7" t="s">
        <v>0</v>
      </c>
      <c r="C324" s="7" t="s">
        <v>8</v>
      </c>
      <c r="D324" s="7">
        <f t="shared" ref="D324:D387" si="6">D323+7</f>
        <v>35</v>
      </c>
      <c r="E324" s="7">
        <v>350</v>
      </c>
      <c r="F324" s="7">
        <v>31</v>
      </c>
      <c r="G324" s="7">
        <v>700</v>
      </c>
    </row>
    <row r="325" spans="1:7" ht="18" x14ac:dyDescent="0.2">
      <c r="A325" s="7" t="s">
        <v>37</v>
      </c>
      <c r="B325" s="7" t="s">
        <v>0</v>
      </c>
      <c r="C325" s="7" t="s">
        <v>8</v>
      </c>
      <c r="D325" s="7">
        <f t="shared" si="6"/>
        <v>42</v>
      </c>
      <c r="E325" s="7">
        <v>430</v>
      </c>
      <c r="F325" s="7">
        <v>36</v>
      </c>
      <c r="G325" s="7">
        <v>952</v>
      </c>
    </row>
    <row r="326" spans="1:7" ht="18" x14ac:dyDescent="0.2">
      <c r="A326" s="7" t="s">
        <v>37</v>
      </c>
      <c r="B326" s="7" t="s">
        <v>0</v>
      </c>
      <c r="C326" s="7" t="s">
        <v>8</v>
      </c>
      <c r="D326" s="7">
        <f t="shared" si="6"/>
        <v>49</v>
      </c>
      <c r="E326" s="7">
        <v>510</v>
      </c>
      <c r="F326" s="7">
        <v>41</v>
      </c>
      <c r="G326" s="7">
        <v>1239</v>
      </c>
    </row>
    <row r="327" spans="1:7" ht="18" x14ac:dyDescent="0.2">
      <c r="A327" s="7" t="s">
        <v>37</v>
      </c>
      <c r="B327" s="7" t="s">
        <v>0</v>
      </c>
      <c r="C327" s="7" t="s">
        <v>8</v>
      </c>
      <c r="D327" s="7">
        <f t="shared" si="6"/>
        <v>56</v>
      </c>
      <c r="E327" s="7">
        <v>600</v>
      </c>
      <c r="F327" s="7">
        <v>45</v>
      </c>
      <c r="G327" s="7">
        <v>1554</v>
      </c>
    </row>
    <row r="328" spans="1:7" ht="18" x14ac:dyDescent="0.2">
      <c r="A328" s="7" t="s">
        <v>37</v>
      </c>
      <c r="B328" s="7" t="s">
        <v>0</v>
      </c>
      <c r="C328" s="7" t="s">
        <v>8</v>
      </c>
      <c r="D328" s="7">
        <f t="shared" si="6"/>
        <v>63</v>
      </c>
      <c r="E328" s="7">
        <v>680</v>
      </c>
      <c r="F328" s="7">
        <v>49</v>
      </c>
      <c r="G328" s="7">
        <v>1897</v>
      </c>
    </row>
    <row r="329" spans="1:7" ht="18" x14ac:dyDescent="0.2">
      <c r="A329" s="7" t="s">
        <v>37</v>
      </c>
      <c r="B329" s="7" t="s">
        <v>0</v>
      </c>
      <c r="C329" s="7" t="s">
        <v>8</v>
      </c>
      <c r="D329" s="7">
        <f t="shared" si="6"/>
        <v>70</v>
      </c>
      <c r="E329" s="7">
        <v>760</v>
      </c>
      <c r="F329" s="7">
        <v>52</v>
      </c>
      <c r="G329" s="7">
        <v>2261</v>
      </c>
    </row>
    <row r="330" spans="1:7" ht="18" x14ac:dyDescent="0.2">
      <c r="A330" s="7" t="s">
        <v>37</v>
      </c>
      <c r="B330" s="7" t="s">
        <v>0</v>
      </c>
      <c r="C330" s="7" t="s">
        <v>8</v>
      </c>
      <c r="D330" s="7">
        <f t="shared" si="6"/>
        <v>77</v>
      </c>
      <c r="E330" s="7">
        <v>845</v>
      </c>
      <c r="F330" s="7">
        <v>55</v>
      </c>
      <c r="G330" s="7">
        <v>2646</v>
      </c>
    </row>
    <row r="331" spans="1:7" ht="18" x14ac:dyDescent="0.2">
      <c r="A331" s="7" t="s">
        <v>37</v>
      </c>
      <c r="B331" s="7" t="s">
        <v>0</v>
      </c>
      <c r="C331" s="7" t="s">
        <v>8</v>
      </c>
      <c r="D331" s="7">
        <f t="shared" si="6"/>
        <v>84</v>
      </c>
      <c r="E331" s="7">
        <v>925</v>
      </c>
      <c r="F331" s="7">
        <v>58</v>
      </c>
      <c r="G331" s="7">
        <v>3052</v>
      </c>
    </row>
    <row r="332" spans="1:7" ht="18" x14ac:dyDescent="0.2">
      <c r="A332" s="7" t="s">
        <v>37</v>
      </c>
      <c r="B332" s="7" t="s">
        <v>0</v>
      </c>
      <c r="C332" s="7" t="s">
        <v>8</v>
      </c>
      <c r="D332" s="7">
        <f t="shared" si="6"/>
        <v>91</v>
      </c>
      <c r="E332" s="7">
        <v>1000</v>
      </c>
      <c r="F332" s="7">
        <v>61</v>
      </c>
      <c r="G332" s="7">
        <v>3479</v>
      </c>
    </row>
    <row r="333" spans="1:7" ht="18" x14ac:dyDescent="0.2">
      <c r="A333" s="7" t="s">
        <v>37</v>
      </c>
      <c r="B333" s="7" t="s">
        <v>0</v>
      </c>
      <c r="C333" s="7" t="s">
        <v>8</v>
      </c>
      <c r="D333" s="7">
        <f t="shared" si="6"/>
        <v>98</v>
      </c>
      <c r="E333" s="7">
        <v>1070</v>
      </c>
      <c r="F333" s="7">
        <v>64</v>
      </c>
      <c r="G333" s="7">
        <v>3927</v>
      </c>
    </row>
    <row r="334" spans="1:7" ht="18" x14ac:dyDescent="0.2">
      <c r="A334" s="7" t="s">
        <v>37</v>
      </c>
      <c r="B334" s="7" t="s">
        <v>0</v>
      </c>
      <c r="C334" s="7" t="s">
        <v>8</v>
      </c>
      <c r="D334" s="7">
        <f t="shared" si="6"/>
        <v>105</v>
      </c>
      <c r="E334" s="7">
        <v>1135</v>
      </c>
      <c r="F334" s="7">
        <v>67</v>
      </c>
      <c r="G334" s="7">
        <v>4396</v>
      </c>
    </row>
    <row r="335" spans="1:7" ht="18" x14ac:dyDescent="0.2">
      <c r="A335" s="7" t="s">
        <v>37</v>
      </c>
      <c r="B335" s="7" t="s">
        <v>0</v>
      </c>
      <c r="C335" s="7" t="s">
        <v>8</v>
      </c>
      <c r="D335" s="7">
        <f t="shared" si="6"/>
        <v>112</v>
      </c>
      <c r="E335" s="7">
        <v>1200</v>
      </c>
      <c r="F335" s="7">
        <v>70</v>
      </c>
      <c r="G335" s="7">
        <v>4886</v>
      </c>
    </row>
    <row r="336" spans="1:7" ht="18" x14ac:dyDescent="0.2">
      <c r="A336" s="7" t="s">
        <v>37</v>
      </c>
      <c r="B336" s="7" t="s">
        <v>0</v>
      </c>
      <c r="C336" s="7" t="s">
        <v>8</v>
      </c>
      <c r="D336" s="7">
        <f t="shared" si="6"/>
        <v>119</v>
      </c>
      <c r="E336" s="7">
        <v>1255</v>
      </c>
      <c r="F336" s="7">
        <v>75</v>
      </c>
      <c r="G336" s="7">
        <v>5411</v>
      </c>
    </row>
    <row r="337" spans="1:7" ht="18" x14ac:dyDescent="0.2">
      <c r="A337" s="7" t="s">
        <v>37</v>
      </c>
      <c r="B337" s="7" t="s">
        <v>0</v>
      </c>
      <c r="C337" s="7" t="s">
        <v>8</v>
      </c>
      <c r="D337" s="7">
        <f t="shared" si="6"/>
        <v>126</v>
      </c>
      <c r="E337" s="7">
        <v>1300</v>
      </c>
      <c r="F337" s="7">
        <v>81</v>
      </c>
      <c r="G337" s="7">
        <v>5978</v>
      </c>
    </row>
    <row r="338" spans="1:7" ht="18" x14ac:dyDescent="0.2">
      <c r="A338" s="7" t="s">
        <v>37</v>
      </c>
      <c r="B338" s="7" t="s">
        <v>0</v>
      </c>
      <c r="C338" s="7" t="s">
        <v>8</v>
      </c>
      <c r="D338" s="7">
        <f t="shared" si="6"/>
        <v>133</v>
      </c>
      <c r="E338" s="7">
        <v>1360</v>
      </c>
      <c r="F338" s="7">
        <v>86</v>
      </c>
      <c r="G338" s="7">
        <v>6580</v>
      </c>
    </row>
    <row r="339" spans="1:7" ht="18" x14ac:dyDescent="0.2">
      <c r="A339" s="7" t="s">
        <v>37</v>
      </c>
      <c r="B339" s="7" t="s">
        <v>0</v>
      </c>
      <c r="C339" s="7" t="s">
        <v>8</v>
      </c>
      <c r="D339" s="7">
        <f t="shared" si="6"/>
        <v>140</v>
      </c>
      <c r="E339" s="7">
        <v>1420</v>
      </c>
      <c r="F339" s="7">
        <v>91</v>
      </c>
      <c r="G339" s="7">
        <v>7217</v>
      </c>
    </row>
    <row r="340" spans="1:7" ht="18" x14ac:dyDescent="0.2">
      <c r="A340" s="7" t="s">
        <v>37</v>
      </c>
      <c r="B340" s="7" t="s">
        <v>0</v>
      </c>
      <c r="C340" s="7" t="s">
        <v>8</v>
      </c>
      <c r="D340" s="7">
        <f t="shared" si="6"/>
        <v>147</v>
      </c>
      <c r="E340" s="7">
        <v>1495</v>
      </c>
      <c r="F340" s="7">
        <v>96</v>
      </c>
      <c r="G340" s="7">
        <v>7889</v>
      </c>
    </row>
    <row r="341" spans="1:7" ht="18" x14ac:dyDescent="0.2">
      <c r="A341" s="7" t="s">
        <v>37</v>
      </c>
      <c r="B341" s="7" t="s">
        <v>0</v>
      </c>
      <c r="C341" s="7" t="s">
        <v>8</v>
      </c>
      <c r="D341" s="7">
        <f t="shared" si="6"/>
        <v>154</v>
      </c>
      <c r="E341" s="7">
        <v>1545</v>
      </c>
      <c r="F341" s="7">
        <v>100</v>
      </c>
      <c r="G341" s="7">
        <v>8589</v>
      </c>
    </row>
    <row r="342" spans="1:7" ht="18" x14ac:dyDescent="0.2">
      <c r="A342" s="7" t="s">
        <v>37</v>
      </c>
      <c r="B342" s="7" t="s">
        <v>0</v>
      </c>
      <c r="C342" s="7" t="s">
        <v>8</v>
      </c>
      <c r="D342" s="7">
        <f t="shared" si="6"/>
        <v>161</v>
      </c>
      <c r="E342" s="7">
        <v>1580</v>
      </c>
      <c r="F342" s="7">
        <v>104</v>
      </c>
      <c r="G342" s="7">
        <v>9317</v>
      </c>
    </row>
    <row r="343" spans="1:7" ht="18" x14ac:dyDescent="0.2">
      <c r="A343" s="7" t="s">
        <v>37</v>
      </c>
      <c r="B343" s="7" t="s">
        <v>0</v>
      </c>
      <c r="C343" s="7" t="s">
        <v>8</v>
      </c>
      <c r="D343" s="7">
        <f t="shared" si="6"/>
        <v>168</v>
      </c>
      <c r="E343" s="7">
        <v>1600</v>
      </c>
      <c r="F343" s="7">
        <v>107</v>
      </c>
      <c r="G343" s="7">
        <v>10066</v>
      </c>
    </row>
    <row r="344" spans="1:7" ht="18" x14ac:dyDescent="0.2">
      <c r="A344" s="7" t="s">
        <v>37</v>
      </c>
      <c r="B344" s="7" t="s">
        <v>0</v>
      </c>
      <c r="C344" s="7" t="s">
        <v>8</v>
      </c>
      <c r="D344" s="7">
        <f t="shared" si="6"/>
        <v>175</v>
      </c>
      <c r="E344" s="7">
        <v>1615</v>
      </c>
      <c r="F344" s="7">
        <v>109</v>
      </c>
      <c r="G344" s="7">
        <v>10829</v>
      </c>
    </row>
    <row r="345" spans="1:7" ht="18" x14ac:dyDescent="0.2">
      <c r="A345" s="7" t="s">
        <v>37</v>
      </c>
      <c r="B345" s="7" t="s">
        <v>0</v>
      </c>
      <c r="C345" s="7" t="s">
        <v>8</v>
      </c>
      <c r="D345" s="7">
        <f t="shared" si="6"/>
        <v>182</v>
      </c>
      <c r="E345" s="7">
        <v>1630</v>
      </c>
      <c r="F345" s="7">
        <v>111</v>
      </c>
      <c r="G345" s="7">
        <v>11606</v>
      </c>
    </row>
    <row r="346" spans="1:7" ht="18" x14ac:dyDescent="0.2">
      <c r="A346" s="7" t="s">
        <v>37</v>
      </c>
      <c r="B346" s="7" t="s">
        <v>0</v>
      </c>
      <c r="C346" s="7" t="s">
        <v>8</v>
      </c>
      <c r="D346" s="7">
        <f t="shared" si="6"/>
        <v>189</v>
      </c>
      <c r="E346" s="7">
        <v>1640</v>
      </c>
      <c r="F346" s="7">
        <v>112</v>
      </c>
      <c r="G346" s="7">
        <v>12390</v>
      </c>
    </row>
    <row r="347" spans="1:7" ht="18" x14ac:dyDescent="0.2">
      <c r="A347" s="7" t="s">
        <v>37</v>
      </c>
      <c r="B347" s="7" t="s">
        <v>0</v>
      </c>
      <c r="C347" s="7" t="s">
        <v>8</v>
      </c>
      <c r="D347" s="7">
        <f t="shared" si="6"/>
        <v>196</v>
      </c>
      <c r="E347" s="7">
        <v>1650</v>
      </c>
      <c r="F347" s="7">
        <v>113</v>
      </c>
      <c r="G347" s="7">
        <v>13181</v>
      </c>
    </row>
    <row r="348" spans="1:7" ht="18" x14ac:dyDescent="0.2">
      <c r="A348" s="7" t="s">
        <v>37</v>
      </c>
      <c r="B348" s="7" t="s">
        <v>0</v>
      </c>
      <c r="C348" s="7" t="s">
        <v>8</v>
      </c>
      <c r="D348" s="7">
        <f t="shared" si="6"/>
        <v>203</v>
      </c>
      <c r="E348" s="7">
        <v>1658</v>
      </c>
      <c r="F348" s="7">
        <v>114</v>
      </c>
      <c r="G348" s="7">
        <v>13979</v>
      </c>
    </row>
    <row r="349" spans="1:7" ht="18" x14ac:dyDescent="0.2">
      <c r="A349" s="7" t="s">
        <v>37</v>
      </c>
      <c r="B349" s="7" t="s">
        <v>0</v>
      </c>
      <c r="C349" s="7" t="s">
        <v>8</v>
      </c>
      <c r="D349" s="7">
        <f t="shared" si="6"/>
        <v>210</v>
      </c>
      <c r="E349" s="7">
        <v>1665</v>
      </c>
      <c r="F349" s="7">
        <v>114</v>
      </c>
      <c r="G349" s="7">
        <v>14777</v>
      </c>
    </row>
    <row r="350" spans="1:7" ht="18" x14ac:dyDescent="0.2">
      <c r="A350" s="7" t="s">
        <v>37</v>
      </c>
      <c r="B350" s="7" t="s">
        <v>0</v>
      </c>
      <c r="C350" s="7" t="s">
        <v>8</v>
      </c>
      <c r="D350" s="7">
        <f t="shared" si="6"/>
        <v>217</v>
      </c>
      <c r="E350" s="7">
        <v>1669</v>
      </c>
      <c r="F350" s="7">
        <v>114</v>
      </c>
      <c r="G350" s="7">
        <v>15575</v>
      </c>
    </row>
    <row r="351" spans="1:7" ht="18" x14ac:dyDescent="0.2">
      <c r="A351" s="7" t="s">
        <v>37</v>
      </c>
      <c r="B351" s="7" t="s">
        <v>0</v>
      </c>
      <c r="C351" s="7" t="s">
        <v>8</v>
      </c>
      <c r="D351" s="7">
        <f t="shared" si="6"/>
        <v>224</v>
      </c>
      <c r="E351" s="7">
        <v>1673</v>
      </c>
      <c r="F351" s="7">
        <v>114</v>
      </c>
      <c r="G351" s="7">
        <v>16373</v>
      </c>
    </row>
    <row r="352" spans="1:7" ht="18" x14ac:dyDescent="0.2">
      <c r="A352" s="7" t="s">
        <v>37</v>
      </c>
      <c r="B352" s="7" t="s">
        <v>0</v>
      </c>
      <c r="C352" s="7" t="s">
        <v>8</v>
      </c>
      <c r="D352" s="7">
        <f t="shared" si="6"/>
        <v>231</v>
      </c>
      <c r="E352" s="7">
        <v>1677</v>
      </c>
      <c r="F352" s="7">
        <v>114</v>
      </c>
      <c r="G352" s="7">
        <v>17171</v>
      </c>
    </row>
    <row r="353" spans="1:7" ht="18" x14ac:dyDescent="0.2">
      <c r="A353" s="7" t="s">
        <v>37</v>
      </c>
      <c r="B353" s="7" t="s">
        <v>0</v>
      </c>
      <c r="C353" s="7" t="s">
        <v>8</v>
      </c>
      <c r="D353" s="7">
        <f t="shared" si="6"/>
        <v>238</v>
      </c>
      <c r="E353" s="7">
        <v>1681</v>
      </c>
      <c r="F353" s="7">
        <v>114</v>
      </c>
      <c r="G353" s="7">
        <v>17969</v>
      </c>
    </row>
    <row r="354" spans="1:7" ht="18" x14ac:dyDescent="0.2">
      <c r="A354" s="7" t="s">
        <v>37</v>
      </c>
      <c r="B354" s="7" t="s">
        <v>0</v>
      </c>
      <c r="C354" s="7" t="s">
        <v>8</v>
      </c>
      <c r="D354" s="7">
        <f t="shared" si="6"/>
        <v>245</v>
      </c>
      <c r="E354" s="7">
        <v>1685</v>
      </c>
      <c r="F354" s="7">
        <v>114</v>
      </c>
      <c r="G354" s="7">
        <v>18767</v>
      </c>
    </row>
    <row r="355" spans="1:7" ht="18" x14ac:dyDescent="0.2">
      <c r="A355" s="7" t="s">
        <v>37</v>
      </c>
      <c r="B355" s="7" t="s">
        <v>0</v>
      </c>
      <c r="C355" s="7" t="s">
        <v>8</v>
      </c>
      <c r="D355" s="7">
        <f t="shared" si="6"/>
        <v>252</v>
      </c>
      <c r="E355" s="7">
        <v>1688</v>
      </c>
      <c r="F355" s="7">
        <v>114</v>
      </c>
      <c r="G355" s="7">
        <v>19565</v>
      </c>
    </row>
    <row r="356" spans="1:7" ht="18" x14ac:dyDescent="0.2">
      <c r="A356" s="7" t="s">
        <v>37</v>
      </c>
      <c r="B356" s="7" t="s">
        <v>0</v>
      </c>
      <c r="C356" s="7" t="s">
        <v>8</v>
      </c>
      <c r="D356" s="7">
        <f t="shared" si="6"/>
        <v>259</v>
      </c>
      <c r="E356" s="7">
        <v>1691</v>
      </c>
      <c r="F356" s="7">
        <v>114</v>
      </c>
      <c r="G356" s="7">
        <v>20363</v>
      </c>
    </row>
    <row r="357" spans="1:7" ht="18" x14ac:dyDescent="0.2">
      <c r="A357" s="7" t="s">
        <v>37</v>
      </c>
      <c r="B357" s="7" t="s">
        <v>0</v>
      </c>
      <c r="C357" s="7" t="s">
        <v>8</v>
      </c>
      <c r="D357" s="7">
        <f t="shared" si="6"/>
        <v>266</v>
      </c>
      <c r="E357" s="7">
        <v>1694</v>
      </c>
      <c r="F357" s="7">
        <v>114</v>
      </c>
      <c r="G357" s="7">
        <v>21161</v>
      </c>
    </row>
    <row r="358" spans="1:7" ht="18" x14ac:dyDescent="0.2">
      <c r="A358" s="7" t="s">
        <v>37</v>
      </c>
      <c r="B358" s="7" t="s">
        <v>0</v>
      </c>
      <c r="C358" s="7" t="s">
        <v>8</v>
      </c>
      <c r="D358" s="7">
        <f t="shared" si="6"/>
        <v>273</v>
      </c>
      <c r="E358" s="7">
        <v>1697</v>
      </c>
      <c r="F358" s="7">
        <v>114</v>
      </c>
      <c r="G358" s="7">
        <v>21959</v>
      </c>
    </row>
    <row r="359" spans="1:7" ht="18" x14ac:dyDescent="0.2">
      <c r="A359" s="7" t="s">
        <v>37</v>
      </c>
      <c r="B359" s="7" t="s">
        <v>0</v>
      </c>
      <c r="C359" s="7" t="s">
        <v>8</v>
      </c>
      <c r="D359" s="7">
        <f t="shared" si="6"/>
        <v>280</v>
      </c>
      <c r="E359" s="7">
        <v>1700</v>
      </c>
      <c r="F359" s="7">
        <v>114</v>
      </c>
      <c r="G359" s="7">
        <v>22757</v>
      </c>
    </row>
    <row r="360" spans="1:7" ht="18" x14ac:dyDescent="0.2">
      <c r="A360" s="7" t="s">
        <v>37</v>
      </c>
      <c r="B360" s="7" t="s">
        <v>0</v>
      </c>
      <c r="C360" s="7" t="s">
        <v>8</v>
      </c>
      <c r="D360" s="7">
        <f t="shared" si="6"/>
        <v>287</v>
      </c>
      <c r="E360" s="7">
        <v>1702</v>
      </c>
      <c r="F360" s="7">
        <v>114</v>
      </c>
      <c r="G360" s="7">
        <v>23555</v>
      </c>
    </row>
    <row r="361" spans="1:7" ht="18" x14ac:dyDescent="0.2">
      <c r="A361" s="7" t="s">
        <v>37</v>
      </c>
      <c r="B361" s="7" t="s">
        <v>0</v>
      </c>
      <c r="C361" s="7" t="s">
        <v>8</v>
      </c>
      <c r="D361" s="7">
        <f t="shared" si="6"/>
        <v>294</v>
      </c>
      <c r="E361" s="7">
        <v>1704</v>
      </c>
      <c r="F361" s="7">
        <v>114</v>
      </c>
      <c r="G361" s="7">
        <v>24353</v>
      </c>
    </row>
    <row r="362" spans="1:7" ht="18" x14ac:dyDescent="0.2">
      <c r="A362" s="7" t="s">
        <v>37</v>
      </c>
      <c r="B362" s="7" t="s">
        <v>0</v>
      </c>
      <c r="C362" s="7" t="s">
        <v>8</v>
      </c>
      <c r="D362" s="7">
        <f t="shared" si="6"/>
        <v>301</v>
      </c>
      <c r="E362" s="7">
        <v>1706</v>
      </c>
      <c r="F362" s="7">
        <v>114</v>
      </c>
      <c r="G362" s="7">
        <v>25151</v>
      </c>
    </row>
    <row r="363" spans="1:7" ht="18" x14ac:dyDescent="0.2">
      <c r="A363" s="7" t="s">
        <v>37</v>
      </c>
      <c r="B363" s="7" t="s">
        <v>0</v>
      </c>
      <c r="C363" s="7" t="s">
        <v>8</v>
      </c>
      <c r="D363" s="7">
        <f t="shared" si="6"/>
        <v>308</v>
      </c>
      <c r="E363" s="7">
        <v>1708</v>
      </c>
      <c r="F363" s="7">
        <v>114</v>
      </c>
      <c r="G363" s="7">
        <v>25949</v>
      </c>
    </row>
    <row r="364" spans="1:7" ht="18" x14ac:dyDescent="0.2">
      <c r="A364" s="7" t="s">
        <v>37</v>
      </c>
      <c r="B364" s="7" t="s">
        <v>0</v>
      </c>
      <c r="C364" s="7" t="s">
        <v>8</v>
      </c>
      <c r="D364" s="7">
        <f t="shared" si="6"/>
        <v>315</v>
      </c>
      <c r="E364" s="7">
        <v>1710</v>
      </c>
      <c r="F364" s="7">
        <v>114</v>
      </c>
      <c r="G364" s="7">
        <v>26747</v>
      </c>
    </row>
    <row r="365" spans="1:7" ht="18" x14ac:dyDescent="0.2">
      <c r="A365" s="7" t="s">
        <v>37</v>
      </c>
      <c r="B365" s="7" t="s">
        <v>0</v>
      </c>
      <c r="C365" s="7" t="s">
        <v>8</v>
      </c>
      <c r="D365" s="7">
        <f t="shared" si="6"/>
        <v>322</v>
      </c>
      <c r="E365" s="7">
        <v>1711</v>
      </c>
      <c r="F365" s="7">
        <v>114</v>
      </c>
      <c r="G365" s="7">
        <v>27545</v>
      </c>
    </row>
    <row r="366" spans="1:7" ht="18" x14ac:dyDescent="0.2">
      <c r="A366" s="7" t="s">
        <v>37</v>
      </c>
      <c r="B366" s="7" t="s">
        <v>0</v>
      </c>
      <c r="C366" s="7" t="s">
        <v>8</v>
      </c>
      <c r="D366" s="7">
        <f t="shared" si="6"/>
        <v>329</v>
      </c>
      <c r="E366" s="7">
        <v>1712</v>
      </c>
      <c r="F366" s="7">
        <v>114</v>
      </c>
      <c r="G366" s="7">
        <v>28343</v>
      </c>
    </row>
    <row r="367" spans="1:7" ht="18" x14ac:dyDescent="0.2">
      <c r="A367" s="7" t="s">
        <v>37</v>
      </c>
      <c r="B367" s="7" t="s">
        <v>0</v>
      </c>
      <c r="C367" s="7" t="s">
        <v>8</v>
      </c>
      <c r="D367" s="7">
        <f t="shared" si="6"/>
        <v>336</v>
      </c>
      <c r="E367" s="7">
        <v>1713</v>
      </c>
      <c r="F367" s="7">
        <v>114</v>
      </c>
      <c r="G367" s="7">
        <v>29141</v>
      </c>
    </row>
    <row r="368" spans="1:7" ht="18" x14ac:dyDescent="0.2">
      <c r="A368" s="7" t="s">
        <v>37</v>
      </c>
      <c r="B368" s="7" t="s">
        <v>0</v>
      </c>
      <c r="C368" s="7" t="s">
        <v>8</v>
      </c>
      <c r="D368" s="7">
        <f t="shared" si="6"/>
        <v>343</v>
      </c>
      <c r="E368" s="7">
        <v>1714</v>
      </c>
      <c r="F368" s="7">
        <v>114</v>
      </c>
      <c r="G368" s="7">
        <v>29939</v>
      </c>
    </row>
    <row r="369" spans="1:7" ht="18" x14ac:dyDescent="0.2">
      <c r="A369" s="7" t="s">
        <v>37</v>
      </c>
      <c r="B369" s="7" t="s">
        <v>0</v>
      </c>
      <c r="C369" s="7" t="s">
        <v>8</v>
      </c>
      <c r="D369" s="7">
        <f t="shared" si="6"/>
        <v>350</v>
      </c>
      <c r="E369" s="7">
        <v>1715</v>
      </c>
      <c r="F369" s="7">
        <v>114</v>
      </c>
      <c r="G369" s="7">
        <v>30737</v>
      </c>
    </row>
    <row r="370" spans="1:7" ht="18" x14ac:dyDescent="0.2">
      <c r="A370" s="7" t="s">
        <v>37</v>
      </c>
      <c r="B370" s="7" t="s">
        <v>0</v>
      </c>
      <c r="C370" s="7" t="s">
        <v>8</v>
      </c>
      <c r="D370" s="7">
        <f t="shared" si="6"/>
        <v>357</v>
      </c>
      <c r="E370" s="7">
        <v>1716</v>
      </c>
      <c r="F370" s="7">
        <v>114</v>
      </c>
      <c r="G370" s="7">
        <v>31535</v>
      </c>
    </row>
    <row r="371" spans="1:7" ht="18" x14ac:dyDescent="0.2">
      <c r="A371" s="7" t="s">
        <v>37</v>
      </c>
      <c r="B371" s="7" t="s">
        <v>0</v>
      </c>
      <c r="C371" s="7" t="s">
        <v>8</v>
      </c>
      <c r="D371" s="7">
        <f t="shared" si="6"/>
        <v>364</v>
      </c>
      <c r="E371" s="7">
        <v>1717</v>
      </c>
      <c r="F371" s="7">
        <v>114</v>
      </c>
      <c r="G371" s="7">
        <v>32333</v>
      </c>
    </row>
    <row r="372" spans="1:7" ht="18" x14ac:dyDescent="0.2">
      <c r="A372" s="7" t="s">
        <v>37</v>
      </c>
      <c r="B372" s="7" t="s">
        <v>0</v>
      </c>
      <c r="C372" s="7" t="s">
        <v>8</v>
      </c>
      <c r="D372" s="7">
        <f t="shared" si="6"/>
        <v>371</v>
      </c>
      <c r="E372" s="7">
        <v>1718</v>
      </c>
      <c r="F372" s="7">
        <v>114</v>
      </c>
      <c r="G372" s="7">
        <v>33131</v>
      </c>
    </row>
    <row r="373" spans="1:7" ht="18" x14ac:dyDescent="0.2">
      <c r="A373" s="7" t="s">
        <v>37</v>
      </c>
      <c r="B373" s="7" t="s">
        <v>0</v>
      </c>
      <c r="C373" s="7" t="s">
        <v>8</v>
      </c>
      <c r="D373" s="7">
        <f t="shared" si="6"/>
        <v>378</v>
      </c>
      <c r="E373" s="7">
        <v>1719</v>
      </c>
      <c r="F373" s="7">
        <v>114</v>
      </c>
      <c r="G373" s="7">
        <v>33929</v>
      </c>
    </row>
    <row r="374" spans="1:7" ht="18" x14ac:dyDescent="0.2">
      <c r="A374" s="7" t="s">
        <v>37</v>
      </c>
      <c r="B374" s="7" t="s">
        <v>0</v>
      </c>
      <c r="C374" s="7" t="s">
        <v>8</v>
      </c>
      <c r="D374" s="7">
        <f t="shared" si="6"/>
        <v>385</v>
      </c>
      <c r="E374" s="7">
        <v>1720</v>
      </c>
      <c r="F374" s="7">
        <v>114</v>
      </c>
      <c r="G374" s="7">
        <v>34727</v>
      </c>
    </row>
    <row r="375" spans="1:7" ht="18" x14ac:dyDescent="0.2">
      <c r="A375" s="7" t="s">
        <v>37</v>
      </c>
      <c r="B375" s="7" t="s">
        <v>0</v>
      </c>
      <c r="C375" s="7" t="s">
        <v>8</v>
      </c>
      <c r="D375" s="7">
        <f t="shared" si="6"/>
        <v>392</v>
      </c>
      <c r="E375" s="7">
        <v>1721</v>
      </c>
      <c r="F375" s="7">
        <v>114</v>
      </c>
      <c r="G375" s="7">
        <v>35525</v>
      </c>
    </row>
    <row r="376" spans="1:7" ht="18" x14ac:dyDescent="0.2">
      <c r="A376" s="7" t="s">
        <v>37</v>
      </c>
      <c r="B376" s="7" t="s">
        <v>0</v>
      </c>
      <c r="C376" s="7" t="s">
        <v>8</v>
      </c>
      <c r="D376" s="7">
        <f t="shared" si="6"/>
        <v>399</v>
      </c>
      <c r="E376" s="7">
        <v>1722</v>
      </c>
      <c r="F376" s="7">
        <v>114</v>
      </c>
      <c r="G376" s="7">
        <v>36323</v>
      </c>
    </row>
    <row r="377" spans="1:7" ht="18" x14ac:dyDescent="0.2">
      <c r="A377" s="7" t="s">
        <v>37</v>
      </c>
      <c r="B377" s="7" t="s">
        <v>0</v>
      </c>
      <c r="C377" s="7" t="s">
        <v>8</v>
      </c>
      <c r="D377" s="7">
        <f t="shared" si="6"/>
        <v>406</v>
      </c>
      <c r="E377" s="7">
        <v>1723</v>
      </c>
      <c r="F377" s="7">
        <v>114</v>
      </c>
      <c r="G377" s="7">
        <v>37121</v>
      </c>
    </row>
    <row r="378" spans="1:7" ht="18" x14ac:dyDescent="0.2">
      <c r="A378" s="7" t="s">
        <v>37</v>
      </c>
      <c r="B378" s="7" t="s">
        <v>0</v>
      </c>
      <c r="C378" s="7" t="s">
        <v>8</v>
      </c>
      <c r="D378" s="7">
        <f t="shared" si="6"/>
        <v>413</v>
      </c>
      <c r="E378" s="7">
        <v>1724</v>
      </c>
      <c r="F378" s="7">
        <v>114</v>
      </c>
      <c r="G378" s="7">
        <v>37919</v>
      </c>
    </row>
    <row r="379" spans="1:7" ht="18" x14ac:dyDescent="0.2">
      <c r="A379" s="7" t="s">
        <v>37</v>
      </c>
      <c r="B379" s="7" t="s">
        <v>0</v>
      </c>
      <c r="C379" s="7" t="s">
        <v>8</v>
      </c>
      <c r="D379" s="7">
        <f t="shared" si="6"/>
        <v>420</v>
      </c>
      <c r="E379" s="7">
        <v>1725</v>
      </c>
      <c r="F379" s="7">
        <v>114</v>
      </c>
      <c r="G379" s="7">
        <v>38717</v>
      </c>
    </row>
    <row r="380" spans="1:7" ht="18" x14ac:dyDescent="0.2">
      <c r="A380" s="7" t="s">
        <v>37</v>
      </c>
      <c r="B380" s="7" t="s">
        <v>0</v>
      </c>
      <c r="C380" s="7" t="s">
        <v>8</v>
      </c>
      <c r="D380" s="7">
        <f t="shared" si="6"/>
        <v>427</v>
      </c>
      <c r="E380" s="7">
        <v>1726</v>
      </c>
      <c r="F380" s="7">
        <v>114</v>
      </c>
      <c r="G380" s="7">
        <v>39515</v>
      </c>
    </row>
    <row r="381" spans="1:7" ht="18" x14ac:dyDescent="0.2">
      <c r="A381" s="7" t="s">
        <v>37</v>
      </c>
      <c r="B381" s="7" t="s">
        <v>0</v>
      </c>
      <c r="C381" s="7" t="s">
        <v>8</v>
      </c>
      <c r="D381" s="7">
        <f t="shared" si="6"/>
        <v>434</v>
      </c>
      <c r="E381" s="7">
        <v>1727</v>
      </c>
      <c r="F381" s="7">
        <v>114</v>
      </c>
      <c r="G381" s="7">
        <v>40313</v>
      </c>
    </row>
    <row r="382" spans="1:7" ht="18" x14ac:dyDescent="0.2">
      <c r="A382" s="7" t="s">
        <v>37</v>
      </c>
      <c r="B382" s="7" t="s">
        <v>0</v>
      </c>
      <c r="C382" s="7" t="s">
        <v>8</v>
      </c>
      <c r="D382" s="7">
        <f t="shared" si="6"/>
        <v>441</v>
      </c>
      <c r="E382" s="7">
        <v>1728</v>
      </c>
      <c r="F382" s="7">
        <v>114</v>
      </c>
      <c r="G382" s="7">
        <v>41111</v>
      </c>
    </row>
    <row r="383" spans="1:7" ht="18" x14ac:dyDescent="0.2">
      <c r="A383" s="7" t="s">
        <v>37</v>
      </c>
      <c r="B383" s="7" t="s">
        <v>0</v>
      </c>
      <c r="C383" s="7" t="s">
        <v>8</v>
      </c>
      <c r="D383" s="7">
        <f t="shared" si="6"/>
        <v>448</v>
      </c>
      <c r="E383" s="7">
        <v>1729</v>
      </c>
      <c r="F383" s="7">
        <v>114</v>
      </c>
      <c r="G383" s="7">
        <v>41909</v>
      </c>
    </row>
    <row r="384" spans="1:7" ht="18" x14ac:dyDescent="0.2">
      <c r="A384" s="7" t="s">
        <v>37</v>
      </c>
      <c r="B384" s="7" t="s">
        <v>0</v>
      </c>
      <c r="C384" s="7" t="s">
        <v>8</v>
      </c>
      <c r="D384" s="7">
        <f t="shared" si="6"/>
        <v>455</v>
      </c>
      <c r="E384" s="7">
        <v>1730</v>
      </c>
      <c r="F384" s="7">
        <v>114</v>
      </c>
      <c r="G384" s="7">
        <v>42707</v>
      </c>
    </row>
    <row r="385" spans="1:7" ht="18" x14ac:dyDescent="0.2">
      <c r="A385" s="7" t="s">
        <v>37</v>
      </c>
      <c r="B385" s="7" t="s">
        <v>0</v>
      </c>
      <c r="C385" s="7" t="s">
        <v>8</v>
      </c>
      <c r="D385" s="7">
        <f t="shared" si="6"/>
        <v>462</v>
      </c>
      <c r="E385" s="7">
        <v>1731</v>
      </c>
      <c r="F385" s="7">
        <v>114</v>
      </c>
      <c r="G385" s="7">
        <v>43505</v>
      </c>
    </row>
    <row r="386" spans="1:7" ht="18" x14ac:dyDescent="0.2">
      <c r="A386" s="7" t="s">
        <v>37</v>
      </c>
      <c r="B386" s="7" t="s">
        <v>0</v>
      </c>
      <c r="C386" s="7" t="s">
        <v>8</v>
      </c>
      <c r="D386" s="7">
        <f t="shared" si="6"/>
        <v>469</v>
      </c>
      <c r="E386" s="7">
        <v>1732</v>
      </c>
      <c r="F386" s="7">
        <v>114</v>
      </c>
      <c r="G386" s="7">
        <v>44303</v>
      </c>
    </row>
    <row r="387" spans="1:7" ht="18" x14ac:dyDescent="0.2">
      <c r="A387" s="7" t="s">
        <v>37</v>
      </c>
      <c r="B387" s="7" t="s">
        <v>0</v>
      </c>
      <c r="C387" s="7" t="s">
        <v>8</v>
      </c>
      <c r="D387" s="7">
        <f t="shared" si="6"/>
        <v>476</v>
      </c>
      <c r="E387" s="7">
        <v>1733</v>
      </c>
      <c r="F387" s="7">
        <v>114</v>
      </c>
      <c r="G387" s="7">
        <v>45101</v>
      </c>
    </row>
    <row r="388" spans="1:7" ht="18" x14ac:dyDescent="0.2">
      <c r="A388" s="7" t="s">
        <v>37</v>
      </c>
      <c r="B388" s="7" t="s">
        <v>0</v>
      </c>
      <c r="C388" s="7" t="s">
        <v>8</v>
      </c>
      <c r="D388" s="7">
        <f t="shared" ref="D388:D419" si="7">D387+7</f>
        <v>483</v>
      </c>
      <c r="E388" s="7">
        <v>1734</v>
      </c>
      <c r="F388" s="7">
        <v>114</v>
      </c>
      <c r="G388" s="7">
        <v>45899</v>
      </c>
    </row>
    <row r="389" spans="1:7" ht="18" x14ac:dyDescent="0.2">
      <c r="A389" s="7" t="s">
        <v>37</v>
      </c>
      <c r="B389" s="7" t="s">
        <v>0</v>
      </c>
      <c r="C389" s="7" t="s">
        <v>8</v>
      </c>
      <c r="D389" s="7">
        <f t="shared" si="7"/>
        <v>490</v>
      </c>
      <c r="E389" s="7">
        <v>1735</v>
      </c>
      <c r="F389" s="7">
        <v>114</v>
      </c>
      <c r="G389" s="7">
        <v>46697</v>
      </c>
    </row>
    <row r="390" spans="1:7" ht="18" x14ac:dyDescent="0.2">
      <c r="A390" s="7" t="s">
        <v>37</v>
      </c>
      <c r="B390" s="7" t="s">
        <v>0</v>
      </c>
      <c r="C390" s="7" t="s">
        <v>8</v>
      </c>
      <c r="D390" s="7">
        <f t="shared" si="7"/>
        <v>497</v>
      </c>
      <c r="E390" s="7">
        <v>1736</v>
      </c>
      <c r="F390" s="7">
        <v>114</v>
      </c>
      <c r="G390" s="7">
        <v>47495</v>
      </c>
    </row>
    <row r="391" spans="1:7" ht="18" x14ac:dyDescent="0.2">
      <c r="A391" s="7" t="s">
        <v>37</v>
      </c>
      <c r="B391" s="7" t="s">
        <v>0</v>
      </c>
      <c r="C391" s="7" t="s">
        <v>8</v>
      </c>
      <c r="D391" s="7">
        <f t="shared" si="7"/>
        <v>504</v>
      </c>
      <c r="E391" s="7">
        <v>1737</v>
      </c>
      <c r="F391" s="7">
        <v>114</v>
      </c>
      <c r="G391" s="7">
        <v>48293</v>
      </c>
    </row>
    <row r="392" spans="1:7" ht="18" x14ac:dyDescent="0.2">
      <c r="A392" s="7" t="s">
        <v>37</v>
      </c>
      <c r="B392" s="7" t="s">
        <v>0</v>
      </c>
      <c r="C392" s="7" t="s">
        <v>8</v>
      </c>
      <c r="D392" s="7">
        <f t="shared" si="7"/>
        <v>511</v>
      </c>
      <c r="E392" s="7">
        <v>1738</v>
      </c>
      <c r="F392" s="7">
        <v>114</v>
      </c>
      <c r="G392" s="7">
        <v>49091</v>
      </c>
    </row>
    <row r="393" spans="1:7" ht="18" x14ac:dyDescent="0.2">
      <c r="A393" s="7" t="s">
        <v>37</v>
      </c>
      <c r="B393" s="7" t="s">
        <v>0</v>
      </c>
      <c r="C393" s="7" t="s">
        <v>8</v>
      </c>
      <c r="D393" s="7">
        <f t="shared" si="7"/>
        <v>518</v>
      </c>
      <c r="E393" s="7">
        <v>1739</v>
      </c>
      <c r="F393" s="7">
        <v>114</v>
      </c>
      <c r="G393" s="7">
        <v>49889</v>
      </c>
    </row>
    <row r="394" spans="1:7" ht="18" x14ac:dyDescent="0.2">
      <c r="A394" s="7" t="s">
        <v>37</v>
      </c>
      <c r="B394" s="7" t="s">
        <v>0</v>
      </c>
      <c r="C394" s="7" t="s">
        <v>8</v>
      </c>
      <c r="D394" s="7">
        <f t="shared" si="7"/>
        <v>525</v>
      </c>
      <c r="E394" s="7">
        <v>1740</v>
      </c>
      <c r="F394" s="7">
        <v>114</v>
      </c>
      <c r="G394" s="7">
        <v>50687</v>
      </c>
    </row>
    <row r="395" spans="1:7" ht="18" x14ac:dyDescent="0.2">
      <c r="A395" s="7" t="s">
        <v>37</v>
      </c>
      <c r="B395" s="7" t="s">
        <v>0</v>
      </c>
      <c r="C395" s="7" t="s">
        <v>8</v>
      </c>
      <c r="D395" s="7">
        <f t="shared" si="7"/>
        <v>532</v>
      </c>
      <c r="E395" s="7">
        <v>1741</v>
      </c>
      <c r="F395" s="7">
        <v>114</v>
      </c>
      <c r="G395" s="7">
        <v>51485</v>
      </c>
    </row>
    <row r="396" spans="1:7" ht="18" x14ac:dyDescent="0.2">
      <c r="A396" s="7" t="s">
        <v>37</v>
      </c>
      <c r="B396" s="7" t="s">
        <v>0</v>
      </c>
      <c r="C396" s="7" t="s">
        <v>8</v>
      </c>
      <c r="D396" s="7">
        <f t="shared" si="7"/>
        <v>539</v>
      </c>
      <c r="E396" s="7">
        <v>1742</v>
      </c>
      <c r="F396" s="7">
        <v>114</v>
      </c>
      <c r="G396" s="7">
        <v>52283</v>
      </c>
    </row>
    <row r="397" spans="1:7" ht="18" x14ac:dyDescent="0.2">
      <c r="A397" s="7" t="s">
        <v>37</v>
      </c>
      <c r="B397" s="7" t="s">
        <v>0</v>
      </c>
      <c r="C397" s="7" t="s">
        <v>8</v>
      </c>
      <c r="D397" s="7">
        <f t="shared" si="7"/>
        <v>546</v>
      </c>
      <c r="E397" s="7">
        <v>1743</v>
      </c>
      <c r="F397" s="7">
        <v>114</v>
      </c>
      <c r="G397" s="7">
        <v>53081</v>
      </c>
    </row>
    <row r="398" spans="1:7" ht="18" x14ac:dyDescent="0.2">
      <c r="A398" s="7" t="s">
        <v>37</v>
      </c>
      <c r="B398" s="7" t="s">
        <v>0</v>
      </c>
      <c r="C398" s="7" t="s">
        <v>8</v>
      </c>
      <c r="D398" s="7">
        <f t="shared" si="7"/>
        <v>553</v>
      </c>
      <c r="E398" s="7">
        <v>1744</v>
      </c>
      <c r="F398" s="7">
        <v>114</v>
      </c>
      <c r="G398" s="7">
        <v>53879</v>
      </c>
    </row>
    <row r="399" spans="1:7" ht="18" x14ac:dyDescent="0.2">
      <c r="A399" s="7" t="s">
        <v>37</v>
      </c>
      <c r="B399" s="7" t="s">
        <v>0</v>
      </c>
      <c r="C399" s="7" t="s">
        <v>8</v>
      </c>
      <c r="D399" s="7">
        <f t="shared" si="7"/>
        <v>560</v>
      </c>
      <c r="E399" s="7">
        <v>1745</v>
      </c>
      <c r="F399" s="7">
        <v>114</v>
      </c>
      <c r="G399" s="7">
        <v>54677</v>
      </c>
    </row>
    <row r="400" spans="1:7" ht="18" x14ac:dyDescent="0.2">
      <c r="A400" s="7" t="s">
        <v>37</v>
      </c>
      <c r="B400" s="7" t="s">
        <v>0</v>
      </c>
      <c r="C400" s="7" t="s">
        <v>8</v>
      </c>
      <c r="D400" s="7">
        <f t="shared" si="7"/>
        <v>567</v>
      </c>
      <c r="E400" s="7">
        <v>1746</v>
      </c>
      <c r="F400" s="7">
        <v>114</v>
      </c>
      <c r="G400" s="7">
        <v>55475</v>
      </c>
    </row>
    <row r="401" spans="1:7" ht="18" x14ac:dyDescent="0.2">
      <c r="A401" s="7" t="s">
        <v>37</v>
      </c>
      <c r="B401" s="7" t="s">
        <v>0</v>
      </c>
      <c r="C401" s="7" t="s">
        <v>8</v>
      </c>
      <c r="D401" s="7">
        <f t="shared" si="7"/>
        <v>574</v>
      </c>
      <c r="E401" s="7">
        <v>1747</v>
      </c>
      <c r="F401" s="7">
        <v>114</v>
      </c>
      <c r="G401" s="7">
        <v>56273</v>
      </c>
    </row>
    <row r="402" spans="1:7" ht="18" x14ac:dyDescent="0.2">
      <c r="A402" s="7" t="s">
        <v>37</v>
      </c>
      <c r="B402" s="7" t="s">
        <v>0</v>
      </c>
      <c r="C402" s="7" t="s">
        <v>8</v>
      </c>
      <c r="D402" s="7">
        <f t="shared" si="7"/>
        <v>581</v>
      </c>
      <c r="E402" s="7">
        <v>1748</v>
      </c>
      <c r="F402" s="7">
        <v>114</v>
      </c>
      <c r="G402" s="7">
        <v>57071</v>
      </c>
    </row>
    <row r="403" spans="1:7" ht="18" x14ac:dyDescent="0.2">
      <c r="A403" s="7" t="s">
        <v>37</v>
      </c>
      <c r="B403" s="7" t="s">
        <v>0</v>
      </c>
      <c r="C403" s="7" t="s">
        <v>8</v>
      </c>
      <c r="D403" s="7">
        <f t="shared" si="7"/>
        <v>588</v>
      </c>
      <c r="E403" s="7">
        <v>1749</v>
      </c>
      <c r="F403" s="7">
        <v>114</v>
      </c>
      <c r="G403" s="7">
        <v>57869</v>
      </c>
    </row>
    <row r="404" spans="1:7" ht="18" x14ac:dyDescent="0.2">
      <c r="A404" s="7" t="s">
        <v>37</v>
      </c>
      <c r="B404" s="7" t="s">
        <v>0</v>
      </c>
      <c r="C404" s="7" t="s">
        <v>8</v>
      </c>
      <c r="D404" s="7">
        <f t="shared" si="7"/>
        <v>595</v>
      </c>
      <c r="E404" s="7">
        <v>1750</v>
      </c>
      <c r="F404" s="7">
        <v>114</v>
      </c>
      <c r="G404" s="7">
        <v>58667</v>
      </c>
    </row>
    <row r="405" spans="1:7" ht="18" x14ac:dyDescent="0.2">
      <c r="A405" s="7" t="s">
        <v>37</v>
      </c>
      <c r="B405" s="7" t="s">
        <v>0</v>
      </c>
      <c r="C405" s="7" t="s">
        <v>8</v>
      </c>
      <c r="D405" s="7">
        <f t="shared" si="7"/>
        <v>602</v>
      </c>
      <c r="E405" s="7">
        <v>1750</v>
      </c>
      <c r="F405" s="7">
        <v>114</v>
      </c>
      <c r="G405" s="7">
        <v>59465</v>
      </c>
    </row>
    <row r="406" spans="1:7" ht="18" x14ac:dyDescent="0.2">
      <c r="A406" s="7" t="s">
        <v>37</v>
      </c>
      <c r="B406" s="7" t="s">
        <v>0</v>
      </c>
      <c r="C406" s="7" t="s">
        <v>8</v>
      </c>
      <c r="D406" s="7">
        <f t="shared" si="7"/>
        <v>609</v>
      </c>
      <c r="E406" s="7">
        <v>1750</v>
      </c>
      <c r="F406" s="7">
        <v>114</v>
      </c>
      <c r="G406" s="7">
        <v>60263</v>
      </c>
    </row>
    <row r="407" spans="1:7" ht="18" x14ac:dyDescent="0.2">
      <c r="A407" s="7" t="s">
        <v>37</v>
      </c>
      <c r="B407" s="7" t="s">
        <v>0</v>
      </c>
      <c r="C407" s="7" t="s">
        <v>8</v>
      </c>
      <c r="D407" s="7">
        <f t="shared" si="7"/>
        <v>616</v>
      </c>
      <c r="E407" s="7">
        <v>1750</v>
      </c>
      <c r="F407" s="7">
        <v>114</v>
      </c>
      <c r="G407" s="7">
        <v>61061</v>
      </c>
    </row>
    <row r="408" spans="1:7" ht="18" x14ac:dyDescent="0.2">
      <c r="A408" s="7" t="s">
        <v>37</v>
      </c>
      <c r="B408" s="7" t="s">
        <v>0</v>
      </c>
      <c r="C408" s="7" t="s">
        <v>8</v>
      </c>
      <c r="D408" s="7">
        <f t="shared" si="7"/>
        <v>623</v>
      </c>
      <c r="E408" s="7">
        <v>1750</v>
      </c>
      <c r="F408" s="7">
        <v>114</v>
      </c>
      <c r="G408" s="7">
        <v>61859</v>
      </c>
    </row>
    <row r="409" spans="1:7" ht="18" x14ac:dyDescent="0.2">
      <c r="A409" s="7" t="s">
        <v>37</v>
      </c>
      <c r="B409" s="7" t="s">
        <v>0</v>
      </c>
      <c r="C409" s="7" t="s">
        <v>8</v>
      </c>
      <c r="D409" s="7">
        <f t="shared" si="7"/>
        <v>630</v>
      </c>
      <c r="E409" s="7">
        <v>1750</v>
      </c>
      <c r="F409" s="7">
        <v>114</v>
      </c>
      <c r="G409" s="7">
        <v>62657</v>
      </c>
    </row>
    <row r="410" spans="1:7" ht="18" x14ac:dyDescent="0.2">
      <c r="A410" s="7" t="s">
        <v>37</v>
      </c>
      <c r="B410" s="7" t="s">
        <v>0</v>
      </c>
      <c r="C410" s="7" t="s">
        <v>8</v>
      </c>
      <c r="D410" s="7">
        <f t="shared" si="7"/>
        <v>637</v>
      </c>
      <c r="E410" s="7">
        <v>1750</v>
      </c>
      <c r="F410" s="7">
        <v>114</v>
      </c>
      <c r="G410" s="7">
        <v>63455</v>
      </c>
    </row>
    <row r="411" spans="1:7" ht="18" x14ac:dyDescent="0.2">
      <c r="A411" s="7" t="s">
        <v>37</v>
      </c>
      <c r="B411" s="7" t="s">
        <v>0</v>
      </c>
      <c r="C411" s="7" t="s">
        <v>8</v>
      </c>
      <c r="D411" s="7">
        <f t="shared" si="7"/>
        <v>644</v>
      </c>
      <c r="E411" s="7">
        <v>1750</v>
      </c>
      <c r="F411" s="7">
        <v>114</v>
      </c>
      <c r="G411" s="7">
        <v>64253</v>
      </c>
    </row>
    <row r="412" spans="1:7" ht="18" x14ac:dyDescent="0.2">
      <c r="A412" s="7" t="s">
        <v>37</v>
      </c>
      <c r="B412" s="7" t="s">
        <v>0</v>
      </c>
      <c r="C412" s="7" t="s">
        <v>8</v>
      </c>
      <c r="D412" s="7">
        <f t="shared" si="7"/>
        <v>651</v>
      </c>
      <c r="E412" s="7">
        <v>1750</v>
      </c>
      <c r="F412" s="7">
        <v>114</v>
      </c>
      <c r="G412" s="7">
        <v>65051</v>
      </c>
    </row>
    <row r="413" spans="1:7" ht="18" x14ac:dyDescent="0.2">
      <c r="A413" s="7" t="s">
        <v>37</v>
      </c>
      <c r="B413" s="7" t="s">
        <v>0</v>
      </c>
      <c r="C413" s="7" t="s">
        <v>8</v>
      </c>
      <c r="D413" s="7">
        <f t="shared" si="7"/>
        <v>658</v>
      </c>
      <c r="E413" s="7">
        <v>1750</v>
      </c>
      <c r="F413" s="7">
        <v>114</v>
      </c>
      <c r="G413" s="7">
        <v>65849</v>
      </c>
    </row>
    <row r="414" spans="1:7" ht="18" x14ac:dyDescent="0.2">
      <c r="A414" s="7" t="s">
        <v>37</v>
      </c>
      <c r="B414" s="7" t="s">
        <v>0</v>
      </c>
      <c r="C414" s="7" t="s">
        <v>8</v>
      </c>
      <c r="D414" s="7">
        <f t="shared" si="7"/>
        <v>665</v>
      </c>
      <c r="E414" s="7">
        <v>1750</v>
      </c>
      <c r="F414" s="7">
        <v>114</v>
      </c>
      <c r="G414" s="7">
        <v>66647</v>
      </c>
    </row>
    <row r="415" spans="1:7" ht="18" x14ac:dyDescent="0.2">
      <c r="A415" s="7" t="s">
        <v>37</v>
      </c>
      <c r="B415" s="7" t="s">
        <v>0</v>
      </c>
      <c r="C415" s="7" t="s">
        <v>8</v>
      </c>
      <c r="D415" s="7">
        <f t="shared" si="7"/>
        <v>672</v>
      </c>
      <c r="E415" s="7">
        <v>1750</v>
      </c>
      <c r="F415" s="7">
        <v>114</v>
      </c>
      <c r="G415" s="7">
        <v>67445</v>
      </c>
    </row>
    <row r="416" spans="1:7" ht="18" x14ac:dyDescent="0.2">
      <c r="A416" s="7" t="s">
        <v>37</v>
      </c>
      <c r="B416" s="7" t="s">
        <v>0</v>
      </c>
      <c r="C416" s="7" t="s">
        <v>8</v>
      </c>
      <c r="D416" s="7">
        <f t="shared" si="7"/>
        <v>679</v>
      </c>
      <c r="E416" s="7">
        <v>1750</v>
      </c>
      <c r="F416" s="7">
        <v>114</v>
      </c>
      <c r="G416" s="7">
        <v>68243</v>
      </c>
    </row>
    <row r="417" spans="1:7" ht="18" x14ac:dyDescent="0.2">
      <c r="A417" s="7" t="s">
        <v>37</v>
      </c>
      <c r="B417" s="7" t="s">
        <v>0</v>
      </c>
      <c r="C417" s="7" t="s">
        <v>8</v>
      </c>
      <c r="D417" s="7">
        <f t="shared" si="7"/>
        <v>686</v>
      </c>
      <c r="E417" s="7">
        <v>1750</v>
      </c>
      <c r="F417" s="7">
        <v>114</v>
      </c>
      <c r="G417" s="7">
        <v>69041</v>
      </c>
    </row>
    <row r="418" spans="1:7" ht="18" x14ac:dyDescent="0.2">
      <c r="A418" s="7" t="s">
        <v>37</v>
      </c>
      <c r="B418" s="7" t="s">
        <v>0</v>
      </c>
      <c r="C418" s="7" t="s">
        <v>8</v>
      </c>
      <c r="D418" s="7">
        <f t="shared" si="7"/>
        <v>693</v>
      </c>
      <c r="E418" s="7">
        <v>1750</v>
      </c>
      <c r="F418" s="7">
        <v>114</v>
      </c>
      <c r="G418" s="7">
        <v>69839</v>
      </c>
    </row>
    <row r="419" spans="1:7" ht="18" x14ac:dyDescent="0.2">
      <c r="A419" s="7" t="s">
        <v>37</v>
      </c>
      <c r="B419" s="7" t="s">
        <v>0</v>
      </c>
      <c r="C419" s="7" t="s">
        <v>8</v>
      </c>
      <c r="D419" s="7">
        <f t="shared" si="7"/>
        <v>700</v>
      </c>
      <c r="E419" s="7">
        <v>1750</v>
      </c>
      <c r="F419" s="7">
        <v>114</v>
      </c>
      <c r="G419" s="7">
        <v>70637</v>
      </c>
    </row>
    <row r="420" spans="1:7" ht="18" x14ac:dyDescent="0.2">
      <c r="A420" s="7" t="s">
        <v>37</v>
      </c>
      <c r="B420" s="7" t="s">
        <v>1</v>
      </c>
      <c r="C420" s="7" t="s">
        <v>18</v>
      </c>
      <c r="D420" s="7">
        <v>7</v>
      </c>
      <c r="E420" s="7">
        <v>61</v>
      </c>
      <c r="F420" s="7">
        <v>10</v>
      </c>
      <c r="G420" s="7">
        <v>73</v>
      </c>
    </row>
    <row r="421" spans="1:7" ht="18" x14ac:dyDescent="0.2">
      <c r="A421" s="7" t="s">
        <v>37</v>
      </c>
      <c r="B421" s="7" t="s">
        <v>1</v>
      </c>
      <c r="C421" s="7" t="s">
        <v>18</v>
      </c>
      <c r="D421" s="7">
        <v>14</v>
      </c>
      <c r="E421" s="7">
        <v>120</v>
      </c>
      <c r="F421" s="7">
        <v>16</v>
      </c>
      <c r="G421" s="7">
        <v>185</v>
      </c>
    </row>
    <row r="422" spans="1:7" ht="18" x14ac:dyDescent="0.2">
      <c r="A422" s="7" t="s">
        <v>37</v>
      </c>
      <c r="B422" s="7" t="s">
        <v>1</v>
      </c>
      <c r="C422" s="7" t="s">
        <v>18</v>
      </c>
      <c r="D422" s="7">
        <f>D421+7</f>
        <v>21</v>
      </c>
      <c r="E422" s="7">
        <v>175</v>
      </c>
      <c r="F422" s="7">
        <v>24</v>
      </c>
      <c r="G422" s="7">
        <v>353</v>
      </c>
    </row>
    <row r="423" spans="1:7" ht="18" x14ac:dyDescent="0.2">
      <c r="A423" s="7" t="s">
        <v>37</v>
      </c>
      <c r="B423" s="7" t="s">
        <v>1</v>
      </c>
      <c r="C423" s="7" t="s">
        <v>18</v>
      </c>
      <c r="D423" s="7">
        <f>D422+7</f>
        <v>28</v>
      </c>
      <c r="E423" s="7">
        <v>245</v>
      </c>
      <c r="F423" s="7">
        <v>31</v>
      </c>
      <c r="G423" s="7">
        <v>570</v>
      </c>
    </row>
    <row r="424" spans="1:7" ht="18" x14ac:dyDescent="0.2">
      <c r="A424" s="7" t="s">
        <v>37</v>
      </c>
      <c r="B424" s="7" t="s">
        <v>1</v>
      </c>
      <c r="C424" s="7" t="s">
        <v>18</v>
      </c>
      <c r="D424" s="7">
        <f t="shared" ref="D424:D487" si="8">D423+7</f>
        <v>35</v>
      </c>
      <c r="E424" s="7">
        <v>341</v>
      </c>
      <c r="F424" s="7">
        <v>36</v>
      </c>
      <c r="G424" s="7">
        <v>822</v>
      </c>
    </row>
    <row r="425" spans="1:7" ht="18" x14ac:dyDescent="0.2">
      <c r="A425" s="7" t="s">
        <v>37</v>
      </c>
      <c r="B425" s="7" t="s">
        <v>1</v>
      </c>
      <c r="C425" s="7" t="s">
        <v>18</v>
      </c>
      <c r="D425" s="7">
        <f t="shared" si="8"/>
        <v>42</v>
      </c>
      <c r="E425" s="7">
        <v>440</v>
      </c>
      <c r="F425" s="7">
        <v>41</v>
      </c>
      <c r="G425" s="7">
        <v>1109</v>
      </c>
    </row>
    <row r="426" spans="1:7" ht="18" x14ac:dyDescent="0.2">
      <c r="A426" s="7" t="s">
        <v>37</v>
      </c>
      <c r="B426" s="7" t="s">
        <v>1</v>
      </c>
      <c r="C426" s="7" t="s">
        <v>18</v>
      </c>
      <c r="D426" s="7">
        <f t="shared" si="8"/>
        <v>49</v>
      </c>
      <c r="E426" s="7">
        <v>541</v>
      </c>
      <c r="F426" s="7">
        <v>45</v>
      </c>
      <c r="G426" s="7">
        <v>1424</v>
      </c>
    </row>
    <row r="427" spans="1:7" ht="18" x14ac:dyDescent="0.2">
      <c r="A427" s="7" t="s">
        <v>37</v>
      </c>
      <c r="B427" s="7" t="s">
        <v>1</v>
      </c>
      <c r="C427" s="7" t="s">
        <v>18</v>
      </c>
      <c r="D427" s="7">
        <f t="shared" si="8"/>
        <v>56</v>
      </c>
      <c r="E427" s="7">
        <v>630</v>
      </c>
      <c r="F427" s="7">
        <v>49</v>
      </c>
      <c r="G427" s="7">
        <v>1767</v>
      </c>
    </row>
    <row r="428" spans="1:7" ht="18" x14ac:dyDescent="0.2">
      <c r="A428" s="7" t="s">
        <v>37</v>
      </c>
      <c r="B428" s="7" t="s">
        <v>1</v>
      </c>
      <c r="C428" s="7" t="s">
        <v>18</v>
      </c>
      <c r="D428" s="7">
        <f t="shared" si="8"/>
        <v>63</v>
      </c>
      <c r="E428" s="7">
        <v>720</v>
      </c>
      <c r="F428" s="7">
        <v>53</v>
      </c>
      <c r="G428" s="7">
        <v>2138</v>
      </c>
    </row>
    <row r="429" spans="1:7" ht="18" x14ac:dyDescent="0.2">
      <c r="A429" s="7" t="s">
        <v>37</v>
      </c>
      <c r="B429" s="7" t="s">
        <v>1</v>
      </c>
      <c r="C429" s="7" t="s">
        <v>18</v>
      </c>
      <c r="D429" s="7">
        <f t="shared" si="8"/>
        <v>70</v>
      </c>
      <c r="E429" s="7">
        <v>810</v>
      </c>
      <c r="F429" s="7">
        <v>57</v>
      </c>
      <c r="G429" s="7">
        <v>2537</v>
      </c>
    </row>
    <row r="430" spans="1:7" ht="18" x14ac:dyDescent="0.2">
      <c r="A430" s="7" t="s">
        <v>37</v>
      </c>
      <c r="B430" s="7" t="s">
        <v>1</v>
      </c>
      <c r="C430" s="7" t="s">
        <v>18</v>
      </c>
      <c r="D430" s="7">
        <f t="shared" si="8"/>
        <v>77</v>
      </c>
      <c r="E430" s="7">
        <v>901</v>
      </c>
      <c r="F430" s="7">
        <v>60</v>
      </c>
      <c r="G430" s="7">
        <v>2957</v>
      </c>
    </row>
    <row r="431" spans="1:7" ht="18" x14ac:dyDescent="0.2">
      <c r="A431" s="7" t="s">
        <v>37</v>
      </c>
      <c r="B431" s="7" t="s">
        <v>1</v>
      </c>
      <c r="C431" s="7" t="s">
        <v>18</v>
      </c>
      <c r="D431" s="7">
        <f t="shared" si="8"/>
        <v>84</v>
      </c>
      <c r="E431" s="7">
        <v>1000</v>
      </c>
      <c r="F431" s="7">
        <v>63</v>
      </c>
      <c r="G431" s="7">
        <v>3398</v>
      </c>
    </row>
    <row r="432" spans="1:7" ht="18" x14ac:dyDescent="0.2">
      <c r="A432" s="7" t="s">
        <v>37</v>
      </c>
      <c r="B432" s="7" t="s">
        <v>1</v>
      </c>
      <c r="C432" s="7" t="s">
        <v>18</v>
      </c>
      <c r="D432" s="7">
        <f t="shared" si="8"/>
        <v>91</v>
      </c>
      <c r="E432" s="7">
        <v>1095</v>
      </c>
      <c r="F432" s="7">
        <v>66</v>
      </c>
      <c r="G432" s="7">
        <v>3860</v>
      </c>
    </row>
    <row r="433" spans="1:7" ht="18" x14ac:dyDescent="0.2">
      <c r="A433" s="7" t="s">
        <v>37</v>
      </c>
      <c r="B433" s="7" t="s">
        <v>1</v>
      </c>
      <c r="C433" s="7" t="s">
        <v>18</v>
      </c>
      <c r="D433" s="7">
        <f t="shared" si="8"/>
        <v>98</v>
      </c>
      <c r="E433" s="7">
        <v>1181</v>
      </c>
      <c r="F433" s="7">
        <v>69</v>
      </c>
      <c r="G433" s="7">
        <v>4343</v>
      </c>
    </row>
    <row r="434" spans="1:7" ht="18" x14ac:dyDescent="0.2">
      <c r="A434" s="7" t="s">
        <v>37</v>
      </c>
      <c r="B434" s="7" t="s">
        <v>1</v>
      </c>
      <c r="C434" s="7" t="s">
        <v>18</v>
      </c>
      <c r="D434" s="7">
        <f t="shared" si="8"/>
        <v>105</v>
      </c>
      <c r="E434" s="7">
        <v>1265</v>
      </c>
      <c r="F434" s="7">
        <v>72</v>
      </c>
      <c r="G434" s="7">
        <v>4847</v>
      </c>
    </row>
    <row r="435" spans="1:7" ht="18" x14ac:dyDescent="0.2">
      <c r="A435" s="7" t="s">
        <v>37</v>
      </c>
      <c r="B435" s="7" t="s">
        <v>1</v>
      </c>
      <c r="C435" s="7" t="s">
        <v>18</v>
      </c>
      <c r="D435" s="7">
        <f t="shared" si="8"/>
        <v>112</v>
      </c>
      <c r="E435" s="7">
        <v>1350</v>
      </c>
      <c r="F435" s="7">
        <v>76</v>
      </c>
      <c r="G435" s="7">
        <v>5379</v>
      </c>
    </row>
    <row r="436" spans="1:7" ht="18" x14ac:dyDescent="0.2">
      <c r="A436" s="7" t="s">
        <v>37</v>
      </c>
      <c r="B436" s="7" t="s">
        <v>1</v>
      </c>
      <c r="C436" s="7" t="s">
        <v>18</v>
      </c>
      <c r="D436" s="7">
        <f t="shared" si="8"/>
        <v>119</v>
      </c>
      <c r="E436" s="7">
        <v>1425</v>
      </c>
      <c r="F436" s="7">
        <v>81</v>
      </c>
      <c r="G436" s="7">
        <v>5946</v>
      </c>
    </row>
    <row r="437" spans="1:7" ht="18" x14ac:dyDescent="0.2">
      <c r="A437" s="7" t="s">
        <v>37</v>
      </c>
      <c r="B437" s="7" t="s">
        <v>1</v>
      </c>
      <c r="C437" s="7" t="s">
        <v>18</v>
      </c>
      <c r="D437" s="7">
        <f t="shared" si="8"/>
        <v>126</v>
      </c>
      <c r="E437" s="7">
        <v>1475</v>
      </c>
      <c r="F437" s="7">
        <v>89</v>
      </c>
      <c r="G437" s="7">
        <v>6569</v>
      </c>
    </row>
    <row r="438" spans="1:7" ht="18" x14ac:dyDescent="0.2">
      <c r="A438" s="7" t="s">
        <v>37</v>
      </c>
      <c r="B438" s="7" t="s">
        <v>1</v>
      </c>
      <c r="C438" s="7" t="s">
        <v>18</v>
      </c>
      <c r="D438" s="7">
        <f t="shared" si="8"/>
        <v>133</v>
      </c>
      <c r="E438" s="7">
        <v>1535</v>
      </c>
      <c r="F438" s="7">
        <v>95</v>
      </c>
      <c r="G438" s="7">
        <v>7234</v>
      </c>
    </row>
    <row r="439" spans="1:7" ht="18" x14ac:dyDescent="0.2">
      <c r="A439" s="7" t="s">
        <v>37</v>
      </c>
      <c r="B439" s="7" t="s">
        <v>1</v>
      </c>
      <c r="C439" s="7" t="s">
        <v>18</v>
      </c>
      <c r="D439" s="7">
        <f t="shared" si="8"/>
        <v>140</v>
      </c>
      <c r="E439" s="7">
        <v>1605</v>
      </c>
      <c r="F439" s="7">
        <v>100</v>
      </c>
      <c r="G439" s="7">
        <v>7934</v>
      </c>
    </row>
    <row r="440" spans="1:7" ht="18" x14ac:dyDescent="0.2">
      <c r="A440" s="7" t="s">
        <v>37</v>
      </c>
      <c r="B440" s="7" t="s">
        <v>1</v>
      </c>
      <c r="C440" s="7" t="s">
        <v>18</v>
      </c>
      <c r="D440" s="7">
        <f t="shared" si="8"/>
        <v>147</v>
      </c>
      <c r="E440" s="7">
        <v>1660</v>
      </c>
      <c r="F440" s="7">
        <v>104</v>
      </c>
      <c r="G440" s="7">
        <v>8662</v>
      </c>
    </row>
    <row r="441" spans="1:7" ht="18" x14ac:dyDescent="0.2">
      <c r="A441" s="7" t="s">
        <v>37</v>
      </c>
      <c r="B441" s="7" t="s">
        <v>1</v>
      </c>
      <c r="C441" s="7" t="s">
        <v>18</v>
      </c>
      <c r="D441" s="7">
        <f t="shared" si="8"/>
        <v>154</v>
      </c>
      <c r="E441" s="7">
        <v>1715</v>
      </c>
      <c r="F441" s="7">
        <v>107</v>
      </c>
      <c r="G441" s="7">
        <v>9411</v>
      </c>
    </row>
    <row r="442" spans="1:7" ht="18" x14ac:dyDescent="0.2">
      <c r="A442" s="7" t="s">
        <v>37</v>
      </c>
      <c r="B442" s="7" t="s">
        <v>1</v>
      </c>
      <c r="C442" s="7" t="s">
        <v>18</v>
      </c>
      <c r="D442" s="7">
        <f t="shared" si="8"/>
        <v>161</v>
      </c>
      <c r="E442" s="7">
        <v>1745</v>
      </c>
      <c r="F442" s="7">
        <v>109</v>
      </c>
      <c r="G442" s="7">
        <v>10174</v>
      </c>
    </row>
    <row r="443" spans="1:7" ht="18" x14ac:dyDescent="0.2">
      <c r="A443" s="7" t="s">
        <v>37</v>
      </c>
      <c r="B443" s="7" t="s">
        <v>1</v>
      </c>
      <c r="C443" s="7" t="s">
        <v>18</v>
      </c>
      <c r="D443" s="7">
        <f t="shared" si="8"/>
        <v>168</v>
      </c>
      <c r="E443" s="7">
        <v>1765</v>
      </c>
      <c r="F443" s="7">
        <v>111</v>
      </c>
      <c r="G443" s="7">
        <v>10951</v>
      </c>
    </row>
    <row r="444" spans="1:7" ht="18" x14ac:dyDescent="0.2">
      <c r="A444" s="7" t="s">
        <v>37</v>
      </c>
      <c r="B444" s="7" t="s">
        <v>1</v>
      </c>
      <c r="C444" s="7" t="s">
        <v>18</v>
      </c>
      <c r="D444" s="7">
        <f t="shared" si="8"/>
        <v>175</v>
      </c>
      <c r="E444" s="7">
        <v>1780</v>
      </c>
      <c r="F444" s="7">
        <v>112</v>
      </c>
      <c r="G444" s="7">
        <v>11735</v>
      </c>
    </row>
    <row r="445" spans="1:7" ht="18" x14ac:dyDescent="0.2">
      <c r="A445" s="7" t="s">
        <v>37</v>
      </c>
      <c r="B445" s="7" t="s">
        <v>1</v>
      </c>
      <c r="C445" s="7" t="s">
        <v>18</v>
      </c>
      <c r="D445" s="7">
        <f t="shared" si="8"/>
        <v>182</v>
      </c>
      <c r="E445" s="7">
        <v>1795</v>
      </c>
      <c r="F445" s="7">
        <v>113</v>
      </c>
      <c r="G445" s="7">
        <v>12526</v>
      </c>
    </row>
    <row r="446" spans="1:7" ht="18" x14ac:dyDescent="0.2">
      <c r="A446" s="7" t="s">
        <v>37</v>
      </c>
      <c r="B446" s="7" t="s">
        <v>1</v>
      </c>
      <c r="C446" s="7" t="s">
        <v>18</v>
      </c>
      <c r="D446" s="7">
        <f t="shared" si="8"/>
        <v>189</v>
      </c>
      <c r="E446" s="7">
        <v>1805</v>
      </c>
      <c r="F446" s="7">
        <v>114</v>
      </c>
      <c r="G446" s="7">
        <v>13324</v>
      </c>
    </row>
    <row r="447" spans="1:7" ht="18" x14ac:dyDescent="0.2">
      <c r="A447" s="7" t="s">
        <v>37</v>
      </c>
      <c r="B447" s="7" t="s">
        <v>1</v>
      </c>
      <c r="C447" s="7" t="s">
        <v>18</v>
      </c>
      <c r="D447" s="7">
        <f t="shared" si="8"/>
        <v>196</v>
      </c>
      <c r="E447" s="7">
        <v>1815</v>
      </c>
      <c r="F447" s="7">
        <v>115</v>
      </c>
      <c r="G447" s="7">
        <v>14129</v>
      </c>
    </row>
    <row r="448" spans="1:7" ht="18" x14ac:dyDescent="0.2">
      <c r="A448" s="7" t="s">
        <v>37</v>
      </c>
      <c r="B448" s="7" t="s">
        <v>1</v>
      </c>
      <c r="C448" s="7" t="s">
        <v>18</v>
      </c>
      <c r="D448" s="7">
        <f t="shared" si="8"/>
        <v>203</v>
      </c>
      <c r="E448" s="7">
        <v>1825</v>
      </c>
      <c r="F448" s="7">
        <v>115</v>
      </c>
      <c r="G448" s="7">
        <v>14934</v>
      </c>
    </row>
    <row r="449" spans="1:7" ht="18" x14ac:dyDescent="0.2">
      <c r="A449" s="7" t="s">
        <v>37</v>
      </c>
      <c r="B449" s="7" t="s">
        <v>1</v>
      </c>
      <c r="C449" s="7" t="s">
        <v>18</v>
      </c>
      <c r="D449" s="7">
        <f t="shared" si="8"/>
        <v>210</v>
      </c>
      <c r="E449" s="7">
        <v>1835</v>
      </c>
      <c r="F449" s="7">
        <v>115</v>
      </c>
      <c r="G449" s="7">
        <v>15739</v>
      </c>
    </row>
    <row r="450" spans="1:7" ht="18" x14ac:dyDescent="0.2">
      <c r="A450" s="7" t="s">
        <v>37</v>
      </c>
      <c r="B450" s="7" t="s">
        <v>1</v>
      </c>
      <c r="C450" s="7" t="s">
        <v>18</v>
      </c>
      <c r="D450" s="7">
        <f t="shared" si="8"/>
        <v>217</v>
      </c>
      <c r="E450" s="7">
        <v>1845</v>
      </c>
      <c r="F450" s="7">
        <v>115</v>
      </c>
      <c r="G450" s="7">
        <v>16544</v>
      </c>
    </row>
    <row r="451" spans="1:7" ht="18" x14ac:dyDescent="0.2">
      <c r="A451" s="7" t="s">
        <v>37</v>
      </c>
      <c r="B451" s="7" t="s">
        <v>1</v>
      </c>
      <c r="C451" s="7" t="s">
        <v>18</v>
      </c>
      <c r="D451" s="7">
        <f t="shared" si="8"/>
        <v>224</v>
      </c>
      <c r="E451" s="7">
        <v>1850</v>
      </c>
      <c r="F451" s="7">
        <v>115</v>
      </c>
      <c r="G451" s="7">
        <v>17349</v>
      </c>
    </row>
    <row r="452" spans="1:7" ht="18" x14ac:dyDescent="0.2">
      <c r="A452" s="7" t="s">
        <v>37</v>
      </c>
      <c r="B452" s="7" t="s">
        <v>1</v>
      </c>
      <c r="C452" s="7" t="s">
        <v>18</v>
      </c>
      <c r="D452" s="7">
        <f t="shared" si="8"/>
        <v>231</v>
      </c>
      <c r="E452" s="7">
        <v>1858</v>
      </c>
      <c r="F452" s="7">
        <v>115</v>
      </c>
      <c r="G452" s="7">
        <v>18154</v>
      </c>
    </row>
    <row r="453" spans="1:7" ht="18" x14ac:dyDescent="0.2">
      <c r="A453" s="7" t="s">
        <v>37</v>
      </c>
      <c r="B453" s="7" t="s">
        <v>1</v>
      </c>
      <c r="C453" s="7" t="s">
        <v>18</v>
      </c>
      <c r="D453" s="7">
        <f t="shared" si="8"/>
        <v>238</v>
      </c>
      <c r="E453" s="7">
        <v>1860</v>
      </c>
      <c r="F453" s="7">
        <v>115</v>
      </c>
      <c r="G453" s="7">
        <v>18959</v>
      </c>
    </row>
    <row r="454" spans="1:7" ht="18" x14ac:dyDescent="0.2">
      <c r="A454" s="7" t="s">
        <v>37</v>
      </c>
      <c r="B454" s="7" t="s">
        <v>1</v>
      </c>
      <c r="C454" s="7" t="s">
        <v>18</v>
      </c>
      <c r="D454" s="7">
        <f t="shared" si="8"/>
        <v>245</v>
      </c>
      <c r="E454" s="7">
        <v>1863</v>
      </c>
      <c r="F454" s="7">
        <v>115</v>
      </c>
      <c r="G454" s="7">
        <v>19764</v>
      </c>
    </row>
    <row r="455" spans="1:7" ht="18" x14ac:dyDescent="0.2">
      <c r="A455" s="7" t="s">
        <v>37</v>
      </c>
      <c r="B455" s="7" t="s">
        <v>1</v>
      </c>
      <c r="C455" s="7" t="s">
        <v>18</v>
      </c>
      <c r="D455" s="7">
        <f t="shared" si="8"/>
        <v>252</v>
      </c>
      <c r="E455" s="7">
        <v>1870</v>
      </c>
      <c r="F455" s="7">
        <v>115</v>
      </c>
      <c r="G455" s="7">
        <v>20569</v>
      </c>
    </row>
    <row r="456" spans="1:7" ht="18" x14ac:dyDescent="0.2">
      <c r="A456" s="7" t="s">
        <v>37</v>
      </c>
      <c r="B456" s="7" t="s">
        <v>1</v>
      </c>
      <c r="C456" s="7" t="s">
        <v>18</v>
      </c>
      <c r="D456" s="7">
        <f t="shared" si="8"/>
        <v>259</v>
      </c>
      <c r="E456" s="7">
        <v>1870</v>
      </c>
      <c r="F456" s="7">
        <v>115</v>
      </c>
      <c r="G456" s="7">
        <v>21374</v>
      </c>
    </row>
    <row r="457" spans="1:7" ht="18" x14ac:dyDescent="0.2">
      <c r="A457" s="7" t="s">
        <v>37</v>
      </c>
      <c r="B457" s="7" t="s">
        <v>1</v>
      </c>
      <c r="C457" s="7" t="s">
        <v>18</v>
      </c>
      <c r="D457" s="7">
        <f t="shared" si="8"/>
        <v>266</v>
      </c>
      <c r="E457" s="7">
        <v>1873</v>
      </c>
      <c r="F457" s="7">
        <v>115</v>
      </c>
      <c r="G457" s="7">
        <v>22179</v>
      </c>
    </row>
    <row r="458" spans="1:7" ht="18" x14ac:dyDescent="0.2">
      <c r="A458" s="7" t="s">
        <v>37</v>
      </c>
      <c r="B458" s="7" t="s">
        <v>1</v>
      </c>
      <c r="C458" s="7" t="s">
        <v>18</v>
      </c>
      <c r="D458" s="7">
        <f t="shared" si="8"/>
        <v>273</v>
      </c>
      <c r="E458" s="7">
        <v>1873</v>
      </c>
      <c r="F458" s="7">
        <v>115</v>
      </c>
      <c r="G458" s="7">
        <v>22984</v>
      </c>
    </row>
    <row r="459" spans="1:7" ht="18" x14ac:dyDescent="0.2">
      <c r="A459" s="7" t="s">
        <v>37</v>
      </c>
      <c r="B459" s="7" t="s">
        <v>1</v>
      </c>
      <c r="C459" s="7" t="s">
        <v>18</v>
      </c>
      <c r="D459" s="7">
        <f t="shared" si="8"/>
        <v>280</v>
      </c>
      <c r="E459" s="7">
        <v>1875</v>
      </c>
      <c r="F459" s="7">
        <v>115</v>
      </c>
      <c r="G459" s="7">
        <v>23789</v>
      </c>
    </row>
    <row r="460" spans="1:7" ht="18" x14ac:dyDescent="0.2">
      <c r="A460" s="7" t="s">
        <v>37</v>
      </c>
      <c r="B460" s="7" t="s">
        <v>1</v>
      </c>
      <c r="C460" s="7" t="s">
        <v>18</v>
      </c>
      <c r="D460" s="7">
        <f t="shared" si="8"/>
        <v>287</v>
      </c>
      <c r="E460" s="7">
        <v>1880</v>
      </c>
      <c r="F460" s="7">
        <v>115</v>
      </c>
      <c r="G460" s="7">
        <v>24594</v>
      </c>
    </row>
    <row r="461" spans="1:7" ht="18" x14ac:dyDescent="0.2">
      <c r="A461" s="7" t="s">
        <v>37</v>
      </c>
      <c r="B461" s="7" t="s">
        <v>1</v>
      </c>
      <c r="C461" s="7" t="s">
        <v>18</v>
      </c>
      <c r="D461" s="7">
        <f t="shared" si="8"/>
        <v>294</v>
      </c>
      <c r="E461" s="7">
        <v>1883</v>
      </c>
      <c r="F461" s="7">
        <v>115</v>
      </c>
      <c r="G461" s="7">
        <v>25399</v>
      </c>
    </row>
    <row r="462" spans="1:7" ht="18" x14ac:dyDescent="0.2">
      <c r="A462" s="7" t="s">
        <v>37</v>
      </c>
      <c r="B462" s="7" t="s">
        <v>1</v>
      </c>
      <c r="C462" s="7" t="s">
        <v>18</v>
      </c>
      <c r="D462" s="7">
        <f t="shared" si="8"/>
        <v>301</v>
      </c>
      <c r="E462" s="7">
        <v>1883</v>
      </c>
      <c r="F462" s="7">
        <v>115</v>
      </c>
      <c r="G462" s="7">
        <v>26204</v>
      </c>
    </row>
    <row r="463" spans="1:7" ht="18" x14ac:dyDescent="0.2">
      <c r="A463" s="7" t="s">
        <v>37</v>
      </c>
      <c r="B463" s="7" t="s">
        <v>1</v>
      </c>
      <c r="C463" s="7" t="s">
        <v>18</v>
      </c>
      <c r="D463" s="7">
        <f t="shared" si="8"/>
        <v>308</v>
      </c>
      <c r="E463" s="7">
        <v>1883</v>
      </c>
      <c r="F463" s="7">
        <v>115</v>
      </c>
      <c r="G463" s="7">
        <v>27009</v>
      </c>
    </row>
    <row r="464" spans="1:7" ht="18" x14ac:dyDescent="0.2">
      <c r="A464" s="7" t="s">
        <v>37</v>
      </c>
      <c r="B464" s="7" t="s">
        <v>1</v>
      </c>
      <c r="C464" s="7" t="s">
        <v>18</v>
      </c>
      <c r="D464" s="7">
        <f t="shared" si="8"/>
        <v>315</v>
      </c>
      <c r="E464" s="7">
        <v>1885</v>
      </c>
      <c r="F464" s="7">
        <v>115</v>
      </c>
      <c r="G464" s="7">
        <v>27814</v>
      </c>
    </row>
    <row r="465" spans="1:7" ht="18" x14ac:dyDescent="0.2">
      <c r="A465" s="7" t="s">
        <v>37</v>
      </c>
      <c r="B465" s="7" t="s">
        <v>1</v>
      </c>
      <c r="C465" s="7" t="s">
        <v>18</v>
      </c>
      <c r="D465" s="7">
        <f t="shared" si="8"/>
        <v>322</v>
      </c>
      <c r="E465" s="7">
        <v>1890</v>
      </c>
      <c r="F465" s="7">
        <v>115</v>
      </c>
      <c r="G465" s="7">
        <v>28619</v>
      </c>
    </row>
    <row r="466" spans="1:7" ht="18" x14ac:dyDescent="0.2">
      <c r="A466" s="7" t="s">
        <v>37</v>
      </c>
      <c r="B466" s="7" t="s">
        <v>1</v>
      </c>
      <c r="C466" s="7" t="s">
        <v>18</v>
      </c>
      <c r="D466" s="7">
        <f t="shared" si="8"/>
        <v>329</v>
      </c>
      <c r="E466" s="7">
        <v>1890</v>
      </c>
      <c r="F466" s="7">
        <v>115</v>
      </c>
      <c r="G466" s="7">
        <v>29424</v>
      </c>
    </row>
    <row r="467" spans="1:7" ht="18" x14ac:dyDescent="0.2">
      <c r="A467" s="7" t="s">
        <v>37</v>
      </c>
      <c r="B467" s="7" t="s">
        <v>1</v>
      </c>
      <c r="C467" s="7" t="s">
        <v>18</v>
      </c>
      <c r="D467" s="7">
        <f t="shared" si="8"/>
        <v>336</v>
      </c>
      <c r="E467" s="7">
        <v>1890</v>
      </c>
      <c r="F467" s="7">
        <v>115</v>
      </c>
      <c r="G467" s="7">
        <v>30229</v>
      </c>
    </row>
    <row r="468" spans="1:7" ht="18" x14ac:dyDescent="0.2">
      <c r="A468" s="7" t="s">
        <v>37</v>
      </c>
      <c r="B468" s="7" t="s">
        <v>1</v>
      </c>
      <c r="C468" s="7" t="s">
        <v>18</v>
      </c>
      <c r="D468" s="7">
        <f t="shared" si="8"/>
        <v>343</v>
      </c>
      <c r="E468" s="7">
        <v>1890</v>
      </c>
      <c r="F468" s="7">
        <v>115</v>
      </c>
      <c r="G468" s="7">
        <v>31034</v>
      </c>
    </row>
    <row r="469" spans="1:7" ht="18" x14ac:dyDescent="0.2">
      <c r="A469" s="7" t="s">
        <v>37</v>
      </c>
      <c r="B469" s="7" t="s">
        <v>1</v>
      </c>
      <c r="C469" s="7" t="s">
        <v>18</v>
      </c>
      <c r="D469" s="7">
        <f t="shared" si="8"/>
        <v>350</v>
      </c>
      <c r="E469" s="7">
        <v>1890</v>
      </c>
      <c r="F469" s="7">
        <v>115</v>
      </c>
      <c r="G469" s="7">
        <v>31839</v>
      </c>
    </row>
    <row r="470" spans="1:7" ht="18" x14ac:dyDescent="0.2">
      <c r="A470" s="7" t="s">
        <v>37</v>
      </c>
      <c r="B470" s="7" t="s">
        <v>1</v>
      </c>
      <c r="C470" s="7" t="s">
        <v>18</v>
      </c>
      <c r="D470" s="7">
        <f t="shared" si="8"/>
        <v>357</v>
      </c>
      <c r="E470" s="7">
        <v>1895</v>
      </c>
      <c r="F470" s="7">
        <v>115</v>
      </c>
      <c r="G470" s="7">
        <v>32644</v>
      </c>
    </row>
    <row r="471" spans="1:7" ht="18" x14ac:dyDescent="0.2">
      <c r="A471" s="7" t="s">
        <v>37</v>
      </c>
      <c r="B471" s="7" t="s">
        <v>1</v>
      </c>
      <c r="C471" s="7" t="s">
        <v>18</v>
      </c>
      <c r="D471" s="7">
        <f t="shared" si="8"/>
        <v>364</v>
      </c>
      <c r="E471" s="7">
        <v>1900</v>
      </c>
      <c r="F471" s="7">
        <v>115</v>
      </c>
      <c r="G471" s="7">
        <v>33449</v>
      </c>
    </row>
    <row r="472" spans="1:7" ht="18" x14ac:dyDescent="0.2">
      <c r="A472" s="7" t="s">
        <v>37</v>
      </c>
      <c r="B472" s="7" t="s">
        <v>1</v>
      </c>
      <c r="C472" s="7" t="s">
        <v>18</v>
      </c>
      <c r="D472" s="7">
        <f t="shared" si="8"/>
        <v>371</v>
      </c>
      <c r="E472" s="7">
        <v>1900</v>
      </c>
      <c r="F472" s="7">
        <v>115</v>
      </c>
      <c r="G472" s="7">
        <v>34254</v>
      </c>
    </row>
    <row r="473" spans="1:7" ht="18" x14ac:dyDescent="0.2">
      <c r="A473" s="7" t="s">
        <v>37</v>
      </c>
      <c r="B473" s="7" t="s">
        <v>1</v>
      </c>
      <c r="C473" s="7" t="s">
        <v>18</v>
      </c>
      <c r="D473" s="7">
        <f t="shared" si="8"/>
        <v>378</v>
      </c>
      <c r="E473" s="7">
        <v>1900</v>
      </c>
      <c r="F473" s="7">
        <v>115</v>
      </c>
      <c r="G473" s="7">
        <v>35059</v>
      </c>
    </row>
    <row r="474" spans="1:7" ht="18" x14ac:dyDescent="0.2">
      <c r="A474" s="7" t="s">
        <v>37</v>
      </c>
      <c r="B474" s="7" t="s">
        <v>1</v>
      </c>
      <c r="C474" s="7" t="s">
        <v>18</v>
      </c>
      <c r="D474" s="7">
        <f t="shared" si="8"/>
        <v>385</v>
      </c>
      <c r="E474" s="7">
        <v>1905</v>
      </c>
      <c r="F474" s="7">
        <v>115</v>
      </c>
      <c r="G474" s="7">
        <v>35864</v>
      </c>
    </row>
    <row r="475" spans="1:7" ht="18" x14ac:dyDescent="0.2">
      <c r="A475" s="7" t="s">
        <v>37</v>
      </c>
      <c r="B475" s="7" t="s">
        <v>1</v>
      </c>
      <c r="C475" s="7" t="s">
        <v>18</v>
      </c>
      <c r="D475" s="7">
        <f t="shared" si="8"/>
        <v>392</v>
      </c>
      <c r="E475" s="7">
        <v>1905</v>
      </c>
      <c r="F475" s="7">
        <v>115</v>
      </c>
      <c r="G475" s="7">
        <v>36669</v>
      </c>
    </row>
    <row r="476" spans="1:7" ht="18" x14ac:dyDescent="0.2">
      <c r="A476" s="7" t="s">
        <v>37</v>
      </c>
      <c r="B476" s="7" t="s">
        <v>1</v>
      </c>
      <c r="C476" s="7" t="s">
        <v>18</v>
      </c>
      <c r="D476" s="7">
        <f t="shared" si="8"/>
        <v>399</v>
      </c>
      <c r="E476" s="7">
        <v>1910</v>
      </c>
      <c r="F476" s="7">
        <v>115</v>
      </c>
      <c r="G476" s="7">
        <v>37474</v>
      </c>
    </row>
    <row r="477" spans="1:7" ht="18" x14ac:dyDescent="0.2">
      <c r="A477" s="7" t="s">
        <v>37</v>
      </c>
      <c r="B477" s="7" t="s">
        <v>1</v>
      </c>
      <c r="C477" s="7" t="s">
        <v>18</v>
      </c>
      <c r="D477" s="7">
        <f t="shared" si="8"/>
        <v>406</v>
      </c>
      <c r="E477" s="7">
        <v>1910</v>
      </c>
      <c r="F477" s="7">
        <v>115</v>
      </c>
      <c r="G477" s="7">
        <v>38279</v>
      </c>
    </row>
    <row r="478" spans="1:7" ht="18" x14ac:dyDescent="0.2">
      <c r="A478" s="7" t="s">
        <v>37</v>
      </c>
      <c r="B478" s="7" t="s">
        <v>1</v>
      </c>
      <c r="C478" s="7" t="s">
        <v>18</v>
      </c>
      <c r="D478" s="7">
        <f t="shared" si="8"/>
        <v>413</v>
      </c>
      <c r="E478" s="7">
        <v>1910</v>
      </c>
      <c r="F478" s="7">
        <v>115</v>
      </c>
      <c r="G478" s="7">
        <v>39084</v>
      </c>
    </row>
    <row r="479" spans="1:7" ht="18" x14ac:dyDescent="0.2">
      <c r="A479" s="7" t="s">
        <v>37</v>
      </c>
      <c r="B479" s="7" t="s">
        <v>1</v>
      </c>
      <c r="C479" s="7" t="s">
        <v>18</v>
      </c>
      <c r="D479" s="7">
        <f t="shared" si="8"/>
        <v>420</v>
      </c>
      <c r="E479" s="7">
        <v>1915</v>
      </c>
      <c r="F479" s="7">
        <v>115</v>
      </c>
      <c r="G479" s="7">
        <v>39889</v>
      </c>
    </row>
    <row r="480" spans="1:7" ht="18" x14ac:dyDescent="0.2">
      <c r="A480" s="7" t="s">
        <v>37</v>
      </c>
      <c r="B480" s="7" t="s">
        <v>1</v>
      </c>
      <c r="C480" s="7" t="s">
        <v>18</v>
      </c>
      <c r="D480" s="7">
        <f t="shared" si="8"/>
        <v>427</v>
      </c>
      <c r="E480" s="7">
        <v>1915</v>
      </c>
      <c r="F480" s="7">
        <v>115</v>
      </c>
      <c r="G480" s="7">
        <v>40694</v>
      </c>
    </row>
    <row r="481" spans="1:7" ht="18" x14ac:dyDescent="0.2">
      <c r="A481" s="7" t="s">
        <v>37</v>
      </c>
      <c r="B481" s="7" t="s">
        <v>1</v>
      </c>
      <c r="C481" s="7" t="s">
        <v>18</v>
      </c>
      <c r="D481" s="7">
        <f t="shared" si="8"/>
        <v>434</v>
      </c>
      <c r="E481" s="7">
        <v>1915</v>
      </c>
      <c r="F481" s="7">
        <v>115</v>
      </c>
      <c r="G481" s="7">
        <v>41499</v>
      </c>
    </row>
    <row r="482" spans="1:7" ht="18" x14ac:dyDescent="0.2">
      <c r="A482" s="7" t="s">
        <v>37</v>
      </c>
      <c r="B482" s="7" t="s">
        <v>1</v>
      </c>
      <c r="C482" s="7" t="s">
        <v>18</v>
      </c>
      <c r="D482" s="7">
        <f t="shared" si="8"/>
        <v>441</v>
      </c>
      <c r="E482" s="7">
        <v>1915</v>
      </c>
      <c r="F482" s="7">
        <v>115</v>
      </c>
      <c r="G482" s="7">
        <v>42304</v>
      </c>
    </row>
    <row r="483" spans="1:7" ht="18" x14ac:dyDescent="0.2">
      <c r="A483" s="7" t="s">
        <v>37</v>
      </c>
      <c r="B483" s="7" t="s">
        <v>1</v>
      </c>
      <c r="C483" s="7" t="s">
        <v>18</v>
      </c>
      <c r="D483" s="7">
        <f t="shared" si="8"/>
        <v>448</v>
      </c>
      <c r="E483" s="7">
        <v>1915</v>
      </c>
      <c r="F483" s="7">
        <v>115</v>
      </c>
      <c r="G483" s="7">
        <v>43109</v>
      </c>
    </row>
    <row r="484" spans="1:7" ht="18" x14ac:dyDescent="0.2">
      <c r="A484" s="7" t="s">
        <v>37</v>
      </c>
      <c r="B484" s="7" t="s">
        <v>1</v>
      </c>
      <c r="C484" s="7" t="s">
        <v>18</v>
      </c>
      <c r="D484" s="7">
        <f t="shared" si="8"/>
        <v>455</v>
      </c>
      <c r="E484" s="7">
        <v>1915</v>
      </c>
      <c r="F484" s="7">
        <v>115</v>
      </c>
      <c r="G484" s="7">
        <v>43914</v>
      </c>
    </row>
    <row r="485" spans="1:7" ht="18" x14ac:dyDescent="0.2">
      <c r="A485" s="7" t="s">
        <v>37</v>
      </c>
      <c r="B485" s="7" t="s">
        <v>1</v>
      </c>
      <c r="C485" s="7" t="s">
        <v>18</v>
      </c>
      <c r="D485" s="7">
        <f t="shared" si="8"/>
        <v>462</v>
      </c>
      <c r="E485" s="7">
        <v>1925</v>
      </c>
      <c r="F485" s="7">
        <v>115</v>
      </c>
      <c r="G485" s="7">
        <v>44719</v>
      </c>
    </row>
    <row r="486" spans="1:7" ht="18" x14ac:dyDescent="0.2">
      <c r="A486" s="7" t="s">
        <v>37</v>
      </c>
      <c r="B486" s="7" t="s">
        <v>1</v>
      </c>
      <c r="C486" s="7" t="s">
        <v>18</v>
      </c>
      <c r="D486" s="7">
        <f t="shared" si="8"/>
        <v>469</v>
      </c>
      <c r="E486" s="7">
        <v>1925</v>
      </c>
      <c r="F486" s="7">
        <v>115</v>
      </c>
      <c r="G486" s="7">
        <v>45524</v>
      </c>
    </row>
    <row r="487" spans="1:7" ht="18" x14ac:dyDescent="0.2">
      <c r="A487" s="7" t="s">
        <v>37</v>
      </c>
      <c r="B487" s="7" t="s">
        <v>1</v>
      </c>
      <c r="C487" s="7" t="s">
        <v>18</v>
      </c>
      <c r="D487" s="7">
        <f t="shared" si="8"/>
        <v>476</v>
      </c>
      <c r="E487" s="7">
        <v>1925</v>
      </c>
      <c r="F487" s="7">
        <v>115</v>
      </c>
      <c r="G487" s="7">
        <v>46329</v>
      </c>
    </row>
    <row r="488" spans="1:7" ht="18" x14ac:dyDescent="0.2">
      <c r="A488" s="7" t="s">
        <v>37</v>
      </c>
      <c r="B488" s="7" t="s">
        <v>1</v>
      </c>
      <c r="C488" s="7" t="s">
        <v>18</v>
      </c>
      <c r="D488" s="7">
        <f t="shared" ref="D488:D519" si="9">D487+7</f>
        <v>483</v>
      </c>
      <c r="E488" s="7">
        <v>1925</v>
      </c>
      <c r="F488" s="7">
        <v>115</v>
      </c>
      <c r="G488" s="7">
        <v>47134</v>
      </c>
    </row>
    <row r="489" spans="1:7" ht="18" x14ac:dyDescent="0.2">
      <c r="A489" s="7" t="s">
        <v>37</v>
      </c>
      <c r="B489" s="7" t="s">
        <v>1</v>
      </c>
      <c r="C489" s="7" t="s">
        <v>18</v>
      </c>
      <c r="D489" s="7">
        <f t="shared" si="9"/>
        <v>490</v>
      </c>
      <c r="E489" s="7">
        <v>1925</v>
      </c>
      <c r="F489" s="7">
        <v>115</v>
      </c>
      <c r="G489" s="7">
        <v>47939</v>
      </c>
    </row>
    <row r="490" spans="1:7" ht="18" x14ac:dyDescent="0.2">
      <c r="A490" s="7" t="s">
        <v>37</v>
      </c>
      <c r="B490" s="7" t="s">
        <v>1</v>
      </c>
      <c r="C490" s="7" t="s">
        <v>18</v>
      </c>
      <c r="D490" s="7">
        <f t="shared" si="9"/>
        <v>497</v>
      </c>
      <c r="E490" s="7">
        <v>1930</v>
      </c>
      <c r="F490" s="7">
        <v>115</v>
      </c>
      <c r="G490" s="7">
        <v>48744</v>
      </c>
    </row>
    <row r="491" spans="1:7" ht="18" x14ac:dyDescent="0.2">
      <c r="A491" s="7" t="s">
        <v>37</v>
      </c>
      <c r="B491" s="7" t="s">
        <v>1</v>
      </c>
      <c r="C491" s="7" t="s">
        <v>18</v>
      </c>
      <c r="D491" s="7">
        <f t="shared" si="9"/>
        <v>504</v>
      </c>
      <c r="E491" s="7">
        <v>1930</v>
      </c>
      <c r="F491" s="7">
        <v>115</v>
      </c>
      <c r="G491" s="7">
        <v>49549</v>
      </c>
    </row>
    <row r="492" spans="1:7" ht="18" x14ac:dyDescent="0.2">
      <c r="A492" s="7" t="s">
        <v>37</v>
      </c>
      <c r="B492" s="7" t="s">
        <v>1</v>
      </c>
      <c r="C492" s="7" t="s">
        <v>18</v>
      </c>
      <c r="D492" s="7">
        <f t="shared" si="9"/>
        <v>511</v>
      </c>
      <c r="E492" s="7">
        <v>1930</v>
      </c>
      <c r="F492" s="7">
        <v>115</v>
      </c>
      <c r="G492" s="7">
        <v>50354</v>
      </c>
    </row>
    <row r="493" spans="1:7" ht="18" x14ac:dyDescent="0.2">
      <c r="A493" s="7" t="s">
        <v>37</v>
      </c>
      <c r="B493" s="7" t="s">
        <v>1</v>
      </c>
      <c r="C493" s="7" t="s">
        <v>18</v>
      </c>
      <c r="D493" s="7">
        <f t="shared" si="9"/>
        <v>518</v>
      </c>
      <c r="E493" s="7">
        <v>1935</v>
      </c>
      <c r="F493" s="7">
        <v>115</v>
      </c>
      <c r="G493" s="7">
        <v>51159</v>
      </c>
    </row>
    <row r="494" spans="1:7" ht="18" x14ac:dyDescent="0.2">
      <c r="A494" s="7" t="s">
        <v>37</v>
      </c>
      <c r="B494" s="7" t="s">
        <v>1</v>
      </c>
      <c r="C494" s="7" t="s">
        <v>18</v>
      </c>
      <c r="D494" s="7">
        <f t="shared" si="9"/>
        <v>525</v>
      </c>
      <c r="E494" s="7">
        <v>1935</v>
      </c>
      <c r="F494" s="7">
        <v>115</v>
      </c>
      <c r="G494" s="7">
        <v>51964</v>
      </c>
    </row>
    <row r="495" spans="1:7" ht="18" x14ac:dyDescent="0.2">
      <c r="A495" s="7" t="s">
        <v>37</v>
      </c>
      <c r="B495" s="7" t="s">
        <v>1</v>
      </c>
      <c r="C495" s="7" t="s">
        <v>18</v>
      </c>
      <c r="D495" s="7">
        <f t="shared" si="9"/>
        <v>532</v>
      </c>
      <c r="E495" s="7">
        <v>1940</v>
      </c>
      <c r="F495" s="7">
        <v>115</v>
      </c>
      <c r="G495" s="7">
        <v>52769</v>
      </c>
    </row>
    <row r="496" spans="1:7" ht="18" x14ac:dyDescent="0.2">
      <c r="A496" s="7" t="s">
        <v>37</v>
      </c>
      <c r="B496" s="7" t="s">
        <v>1</v>
      </c>
      <c r="C496" s="7" t="s">
        <v>18</v>
      </c>
      <c r="D496" s="7">
        <f t="shared" si="9"/>
        <v>539</v>
      </c>
      <c r="E496" s="7">
        <v>1940</v>
      </c>
      <c r="F496" s="7">
        <v>115</v>
      </c>
      <c r="G496" s="7">
        <v>53574</v>
      </c>
    </row>
    <row r="497" spans="1:7" ht="18" x14ac:dyDescent="0.2">
      <c r="A497" s="7" t="s">
        <v>37</v>
      </c>
      <c r="B497" s="7" t="s">
        <v>1</v>
      </c>
      <c r="C497" s="7" t="s">
        <v>18</v>
      </c>
      <c r="D497" s="7">
        <f t="shared" si="9"/>
        <v>546</v>
      </c>
      <c r="E497" s="7">
        <v>1940</v>
      </c>
      <c r="F497" s="7">
        <v>115</v>
      </c>
      <c r="G497" s="7">
        <v>54379</v>
      </c>
    </row>
    <row r="498" spans="1:7" ht="18" x14ac:dyDescent="0.2">
      <c r="A498" s="7" t="s">
        <v>37</v>
      </c>
      <c r="B498" s="7" t="s">
        <v>1</v>
      </c>
      <c r="C498" s="7" t="s">
        <v>18</v>
      </c>
      <c r="D498" s="7">
        <f t="shared" si="9"/>
        <v>553</v>
      </c>
      <c r="E498" s="7">
        <v>1940</v>
      </c>
      <c r="F498" s="7">
        <v>115</v>
      </c>
      <c r="G498" s="7">
        <v>55184</v>
      </c>
    </row>
    <row r="499" spans="1:7" ht="18" x14ac:dyDescent="0.2">
      <c r="A499" s="7" t="s">
        <v>37</v>
      </c>
      <c r="B499" s="7" t="s">
        <v>1</v>
      </c>
      <c r="C499" s="7" t="s">
        <v>18</v>
      </c>
      <c r="D499" s="7">
        <f t="shared" si="9"/>
        <v>560</v>
      </c>
      <c r="E499" s="7">
        <v>1940</v>
      </c>
      <c r="F499" s="7">
        <v>115</v>
      </c>
      <c r="G499" s="7">
        <v>55989</v>
      </c>
    </row>
    <row r="500" spans="1:7" ht="18" x14ac:dyDescent="0.2">
      <c r="A500" s="7" t="s">
        <v>37</v>
      </c>
      <c r="B500" s="7" t="s">
        <v>1</v>
      </c>
      <c r="C500" s="7" t="s">
        <v>18</v>
      </c>
      <c r="D500" s="7">
        <f t="shared" si="9"/>
        <v>567</v>
      </c>
      <c r="E500" s="7">
        <v>1945</v>
      </c>
      <c r="F500" s="7">
        <v>115</v>
      </c>
      <c r="G500" s="7">
        <v>56794</v>
      </c>
    </row>
    <row r="501" spans="1:7" ht="18" x14ac:dyDescent="0.2">
      <c r="A501" s="7" t="s">
        <v>37</v>
      </c>
      <c r="B501" s="7" t="s">
        <v>1</v>
      </c>
      <c r="C501" s="7" t="s">
        <v>18</v>
      </c>
      <c r="D501" s="7">
        <f t="shared" si="9"/>
        <v>574</v>
      </c>
      <c r="E501" s="7">
        <v>1945</v>
      </c>
      <c r="F501" s="7">
        <v>115</v>
      </c>
      <c r="G501" s="7">
        <v>57599</v>
      </c>
    </row>
    <row r="502" spans="1:7" ht="18" x14ac:dyDescent="0.2">
      <c r="A502" s="7" t="s">
        <v>37</v>
      </c>
      <c r="B502" s="7" t="s">
        <v>1</v>
      </c>
      <c r="C502" s="7" t="s">
        <v>18</v>
      </c>
      <c r="D502" s="7">
        <f t="shared" si="9"/>
        <v>581</v>
      </c>
      <c r="E502" s="7">
        <v>1945</v>
      </c>
      <c r="F502" s="7">
        <v>115</v>
      </c>
      <c r="G502" s="7">
        <v>58404</v>
      </c>
    </row>
    <row r="503" spans="1:7" ht="18" x14ac:dyDescent="0.2">
      <c r="A503" s="7" t="s">
        <v>37</v>
      </c>
      <c r="B503" s="7" t="s">
        <v>1</v>
      </c>
      <c r="C503" s="7" t="s">
        <v>18</v>
      </c>
      <c r="D503" s="7">
        <f t="shared" si="9"/>
        <v>588</v>
      </c>
      <c r="E503" s="7">
        <v>1950</v>
      </c>
      <c r="F503" s="7">
        <v>115</v>
      </c>
      <c r="G503" s="7">
        <v>59209</v>
      </c>
    </row>
    <row r="504" spans="1:7" ht="18" x14ac:dyDescent="0.2">
      <c r="A504" s="7" t="s">
        <v>37</v>
      </c>
      <c r="B504" s="7" t="s">
        <v>1</v>
      </c>
      <c r="C504" s="7" t="s">
        <v>18</v>
      </c>
      <c r="D504" s="7">
        <f t="shared" si="9"/>
        <v>595</v>
      </c>
      <c r="E504" s="7">
        <v>1950</v>
      </c>
      <c r="F504" s="7">
        <v>115</v>
      </c>
      <c r="G504" s="7">
        <v>60014</v>
      </c>
    </row>
    <row r="505" spans="1:7" ht="18" x14ac:dyDescent="0.2">
      <c r="A505" s="7" t="s">
        <v>37</v>
      </c>
      <c r="B505" s="7" t="s">
        <v>1</v>
      </c>
      <c r="C505" s="7" t="s">
        <v>18</v>
      </c>
      <c r="D505" s="7">
        <f t="shared" si="9"/>
        <v>602</v>
      </c>
      <c r="E505" s="7">
        <v>1950</v>
      </c>
      <c r="F505" s="7">
        <v>115</v>
      </c>
      <c r="G505" s="7">
        <v>60819</v>
      </c>
    </row>
    <row r="506" spans="1:7" ht="18" x14ac:dyDescent="0.2">
      <c r="A506" s="7" t="s">
        <v>37</v>
      </c>
      <c r="B506" s="7" t="s">
        <v>1</v>
      </c>
      <c r="C506" s="7" t="s">
        <v>18</v>
      </c>
      <c r="D506" s="7">
        <f t="shared" si="9"/>
        <v>609</v>
      </c>
      <c r="E506" s="7">
        <v>1950</v>
      </c>
      <c r="F506" s="7">
        <v>115</v>
      </c>
      <c r="G506" s="7">
        <v>61624</v>
      </c>
    </row>
    <row r="507" spans="1:7" ht="18" x14ac:dyDescent="0.2">
      <c r="A507" s="7" t="s">
        <v>37</v>
      </c>
      <c r="B507" s="7" t="s">
        <v>1</v>
      </c>
      <c r="C507" s="7" t="s">
        <v>18</v>
      </c>
      <c r="D507" s="7">
        <f t="shared" si="9"/>
        <v>616</v>
      </c>
      <c r="E507" s="7">
        <v>1950</v>
      </c>
      <c r="F507" s="7">
        <v>115</v>
      </c>
      <c r="G507" s="7">
        <v>62429</v>
      </c>
    </row>
    <row r="508" spans="1:7" ht="18" x14ac:dyDescent="0.2">
      <c r="A508" s="7" t="s">
        <v>37</v>
      </c>
      <c r="B508" s="7" t="s">
        <v>1</v>
      </c>
      <c r="C508" s="7" t="s">
        <v>18</v>
      </c>
      <c r="D508" s="7">
        <f t="shared" si="9"/>
        <v>623</v>
      </c>
      <c r="E508" s="7">
        <v>1955</v>
      </c>
      <c r="F508" s="7">
        <v>115</v>
      </c>
      <c r="G508" s="7">
        <v>63234</v>
      </c>
    </row>
    <row r="509" spans="1:7" ht="18" x14ac:dyDescent="0.2">
      <c r="A509" s="7" t="s">
        <v>37</v>
      </c>
      <c r="B509" s="7" t="s">
        <v>1</v>
      </c>
      <c r="C509" s="7" t="s">
        <v>18</v>
      </c>
      <c r="D509" s="7">
        <f t="shared" si="9"/>
        <v>630</v>
      </c>
      <c r="E509" s="7">
        <v>1955</v>
      </c>
      <c r="F509" s="7">
        <v>115</v>
      </c>
      <c r="G509" s="7">
        <v>64039</v>
      </c>
    </row>
    <row r="510" spans="1:7" ht="18" x14ac:dyDescent="0.2">
      <c r="A510" s="7" t="s">
        <v>37</v>
      </c>
      <c r="B510" s="7" t="s">
        <v>1</v>
      </c>
      <c r="C510" s="7" t="s">
        <v>18</v>
      </c>
      <c r="D510" s="7">
        <f t="shared" si="9"/>
        <v>637</v>
      </c>
      <c r="E510" s="7">
        <v>1955</v>
      </c>
      <c r="F510" s="7">
        <v>115</v>
      </c>
      <c r="G510" s="7">
        <v>64844</v>
      </c>
    </row>
    <row r="511" spans="1:7" ht="18" x14ac:dyDescent="0.2">
      <c r="A511" s="7" t="s">
        <v>37</v>
      </c>
      <c r="B511" s="7" t="s">
        <v>1</v>
      </c>
      <c r="C511" s="7" t="s">
        <v>18</v>
      </c>
      <c r="D511" s="7">
        <f t="shared" si="9"/>
        <v>644</v>
      </c>
      <c r="E511" s="7">
        <v>1960</v>
      </c>
      <c r="F511" s="7">
        <v>115</v>
      </c>
      <c r="G511" s="7">
        <v>65649</v>
      </c>
    </row>
    <row r="512" spans="1:7" ht="18" x14ac:dyDescent="0.2">
      <c r="A512" s="7" t="s">
        <v>37</v>
      </c>
      <c r="B512" s="7" t="s">
        <v>1</v>
      </c>
      <c r="C512" s="7" t="s">
        <v>18</v>
      </c>
      <c r="D512" s="7">
        <f t="shared" si="9"/>
        <v>651</v>
      </c>
      <c r="E512" s="7">
        <v>1960</v>
      </c>
      <c r="F512" s="7">
        <v>115</v>
      </c>
      <c r="G512" s="7">
        <v>66454</v>
      </c>
    </row>
    <row r="513" spans="1:7" ht="18" x14ac:dyDescent="0.2">
      <c r="A513" s="7" t="s">
        <v>37</v>
      </c>
      <c r="B513" s="7" t="s">
        <v>1</v>
      </c>
      <c r="C513" s="7" t="s">
        <v>18</v>
      </c>
      <c r="D513" s="7">
        <f t="shared" si="9"/>
        <v>658</v>
      </c>
      <c r="E513" s="7">
        <v>1965</v>
      </c>
      <c r="F513" s="7">
        <v>115</v>
      </c>
      <c r="G513" s="7">
        <v>67259</v>
      </c>
    </row>
    <row r="514" spans="1:7" ht="18" x14ac:dyDescent="0.2">
      <c r="A514" s="7" t="s">
        <v>37</v>
      </c>
      <c r="B514" s="7" t="s">
        <v>1</v>
      </c>
      <c r="C514" s="7" t="s">
        <v>18</v>
      </c>
      <c r="D514" s="7">
        <f t="shared" si="9"/>
        <v>665</v>
      </c>
      <c r="E514" s="7">
        <v>1965</v>
      </c>
      <c r="F514" s="7">
        <v>115</v>
      </c>
      <c r="G514" s="7">
        <v>68064</v>
      </c>
    </row>
    <row r="515" spans="1:7" ht="18" x14ac:dyDescent="0.2">
      <c r="A515" s="7" t="s">
        <v>37</v>
      </c>
      <c r="B515" s="7" t="s">
        <v>1</v>
      </c>
      <c r="C515" s="7" t="s">
        <v>18</v>
      </c>
      <c r="D515" s="7">
        <f t="shared" si="9"/>
        <v>672</v>
      </c>
      <c r="E515" s="7">
        <v>1970</v>
      </c>
      <c r="F515" s="7">
        <v>115</v>
      </c>
      <c r="G515" s="7">
        <v>68869</v>
      </c>
    </row>
    <row r="516" spans="1:7" ht="18" x14ac:dyDescent="0.2">
      <c r="A516" s="7" t="s">
        <v>37</v>
      </c>
      <c r="B516" s="7" t="s">
        <v>1</v>
      </c>
      <c r="C516" s="7" t="s">
        <v>18</v>
      </c>
      <c r="D516" s="7">
        <f t="shared" si="9"/>
        <v>679</v>
      </c>
      <c r="E516" s="7">
        <v>1970</v>
      </c>
      <c r="F516" s="7">
        <v>115</v>
      </c>
      <c r="G516" s="7">
        <v>69674</v>
      </c>
    </row>
    <row r="517" spans="1:7" ht="18" x14ac:dyDescent="0.2">
      <c r="A517" s="7" t="s">
        <v>37</v>
      </c>
      <c r="B517" s="7" t="s">
        <v>1</v>
      </c>
      <c r="C517" s="7" t="s">
        <v>18</v>
      </c>
      <c r="D517" s="7">
        <f t="shared" si="9"/>
        <v>686</v>
      </c>
      <c r="E517" s="7">
        <v>1970</v>
      </c>
      <c r="F517" s="7">
        <v>115</v>
      </c>
      <c r="G517" s="7">
        <v>70479</v>
      </c>
    </row>
    <row r="518" spans="1:7" ht="18" x14ac:dyDescent="0.2">
      <c r="A518" s="7" t="s">
        <v>37</v>
      </c>
      <c r="B518" s="7" t="s">
        <v>1</v>
      </c>
      <c r="C518" s="7" t="s">
        <v>18</v>
      </c>
      <c r="D518" s="7">
        <f t="shared" si="9"/>
        <v>693</v>
      </c>
      <c r="E518" s="7">
        <v>1975</v>
      </c>
      <c r="F518" s="7">
        <v>115</v>
      </c>
      <c r="G518" s="7">
        <v>71284</v>
      </c>
    </row>
    <row r="519" spans="1:7" ht="18" x14ac:dyDescent="0.2">
      <c r="A519" s="7" t="s">
        <v>37</v>
      </c>
      <c r="B519" s="7" t="s">
        <v>1</v>
      </c>
      <c r="C519" s="7" t="s">
        <v>18</v>
      </c>
      <c r="D519" s="7">
        <f t="shared" si="9"/>
        <v>700</v>
      </c>
      <c r="E519" s="7">
        <v>1975</v>
      </c>
      <c r="F519" s="7">
        <v>115</v>
      </c>
      <c r="G519" s="7">
        <v>72089</v>
      </c>
    </row>
    <row r="520" spans="1:7" ht="18" x14ac:dyDescent="0.2">
      <c r="A520" s="7" t="s">
        <v>37</v>
      </c>
      <c r="B520" s="7" t="s">
        <v>1</v>
      </c>
      <c r="C520" s="7" t="s">
        <v>14</v>
      </c>
      <c r="D520" s="7">
        <v>7</v>
      </c>
      <c r="E520" s="7">
        <v>61</v>
      </c>
      <c r="F520" s="7">
        <v>11</v>
      </c>
      <c r="G520" s="7">
        <v>77</v>
      </c>
    </row>
    <row r="521" spans="1:7" ht="18" x14ac:dyDescent="0.2">
      <c r="A521" s="7" t="s">
        <v>37</v>
      </c>
      <c r="B521" s="7" t="s">
        <v>1</v>
      </c>
      <c r="C521" s="7" t="s">
        <v>14</v>
      </c>
      <c r="D521" s="7">
        <v>14</v>
      </c>
      <c r="E521" s="7">
        <v>120</v>
      </c>
      <c r="F521" s="7">
        <v>17</v>
      </c>
      <c r="G521" s="7">
        <v>196</v>
      </c>
    </row>
    <row r="522" spans="1:7" ht="18" x14ac:dyDescent="0.2">
      <c r="A522" s="7" t="s">
        <v>37</v>
      </c>
      <c r="B522" s="7" t="s">
        <v>1</v>
      </c>
      <c r="C522" s="7" t="s">
        <v>14</v>
      </c>
      <c r="D522" s="7">
        <f>D521+7</f>
        <v>21</v>
      </c>
      <c r="E522" s="7">
        <v>175</v>
      </c>
      <c r="F522" s="7">
        <v>25</v>
      </c>
      <c r="G522" s="7">
        <v>371</v>
      </c>
    </row>
    <row r="523" spans="1:7" ht="18" x14ac:dyDescent="0.2">
      <c r="A523" s="7" t="s">
        <v>37</v>
      </c>
      <c r="B523" s="7" t="s">
        <v>1</v>
      </c>
      <c r="C523" s="7" t="s">
        <v>14</v>
      </c>
      <c r="D523" s="7">
        <f>D522+7</f>
        <v>28</v>
      </c>
      <c r="E523" s="7">
        <v>245</v>
      </c>
      <c r="F523" s="7">
        <v>32</v>
      </c>
      <c r="G523" s="7">
        <v>595</v>
      </c>
    </row>
    <row r="524" spans="1:7" ht="18" x14ac:dyDescent="0.2">
      <c r="A524" s="7" t="s">
        <v>37</v>
      </c>
      <c r="B524" s="7" t="s">
        <v>1</v>
      </c>
      <c r="C524" s="7" t="s">
        <v>14</v>
      </c>
      <c r="D524" s="7">
        <f t="shared" ref="D524:D587" si="10">D523+7</f>
        <v>35</v>
      </c>
      <c r="E524" s="7">
        <v>341</v>
      </c>
      <c r="F524" s="7">
        <v>37</v>
      </c>
      <c r="G524" s="7">
        <v>854</v>
      </c>
    </row>
    <row r="525" spans="1:7" ht="18" x14ac:dyDescent="0.2">
      <c r="A525" s="7" t="s">
        <v>37</v>
      </c>
      <c r="B525" s="7" t="s">
        <v>1</v>
      </c>
      <c r="C525" s="7" t="s">
        <v>14</v>
      </c>
      <c r="D525" s="7">
        <f t="shared" si="10"/>
        <v>42</v>
      </c>
      <c r="E525" s="7">
        <v>440</v>
      </c>
      <c r="F525" s="7">
        <v>42</v>
      </c>
      <c r="G525" s="7">
        <v>1148</v>
      </c>
    </row>
    <row r="526" spans="1:7" ht="18" x14ac:dyDescent="0.2">
      <c r="A526" s="7" t="s">
        <v>37</v>
      </c>
      <c r="B526" s="7" t="s">
        <v>1</v>
      </c>
      <c r="C526" s="7" t="s">
        <v>14</v>
      </c>
      <c r="D526" s="7">
        <f t="shared" si="10"/>
        <v>49</v>
      </c>
      <c r="E526" s="7">
        <v>541</v>
      </c>
      <c r="F526" s="7">
        <v>46</v>
      </c>
      <c r="G526" s="7">
        <v>1470</v>
      </c>
    </row>
    <row r="527" spans="1:7" ht="18" x14ac:dyDescent="0.2">
      <c r="A527" s="7" t="s">
        <v>37</v>
      </c>
      <c r="B527" s="7" t="s">
        <v>1</v>
      </c>
      <c r="C527" s="7" t="s">
        <v>14</v>
      </c>
      <c r="D527" s="7">
        <f t="shared" si="10"/>
        <v>56</v>
      </c>
      <c r="E527" s="7">
        <v>630</v>
      </c>
      <c r="F527" s="7">
        <v>50</v>
      </c>
      <c r="G527" s="7">
        <v>1820</v>
      </c>
    </row>
    <row r="528" spans="1:7" ht="18" x14ac:dyDescent="0.2">
      <c r="A528" s="7" t="s">
        <v>37</v>
      </c>
      <c r="B528" s="7" t="s">
        <v>1</v>
      </c>
      <c r="C528" s="7" t="s">
        <v>14</v>
      </c>
      <c r="D528" s="7">
        <f t="shared" si="10"/>
        <v>63</v>
      </c>
      <c r="E528" s="7">
        <v>720</v>
      </c>
      <c r="F528" s="7">
        <v>54</v>
      </c>
      <c r="G528" s="7">
        <v>2198</v>
      </c>
    </row>
    <row r="529" spans="1:7" ht="18" x14ac:dyDescent="0.2">
      <c r="A529" s="7" t="s">
        <v>37</v>
      </c>
      <c r="B529" s="7" t="s">
        <v>1</v>
      </c>
      <c r="C529" s="7" t="s">
        <v>14</v>
      </c>
      <c r="D529" s="7">
        <f t="shared" si="10"/>
        <v>70</v>
      </c>
      <c r="E529" s="7">
        <v>810</v>
      </c>
      <c r="F529" s="7">
        <v>58</v>
      </c>
      <c r="G529" s="7">
        <v>2604</v>
      </c>
    </row>
    <row r="530" spans="1:7" ht="18" x14ac:dyDescent="0.2">
      <c r="A530" s="7" t="s">
        <v>37</v>
      </c>
      <c r="B530" s="7" t="s">
        <v>1</v>
      </c>
      <c r="C530" s="7" t="s">
        <v>14</v>
      </c>
      <c r="D530" s="7">
        <f t="shared" si="10"/>
        <v>77</v>
      </c>
      <c r="E530" s="7">
        <v>901</v>
      </c>
      <c r="F530" s="7">
        <v>61</v>
      </c>
      <c r="G530" s="7">
        <v>3031</v>
      </c>
    </row>
    <row r="531" spans="1:7" ht="18" x14ac:dyDescent="0.2">
      <c r="A531" s="7" t="s">
        <v>37</v>
      </c>
      <c r="B531" s="7" t="s">
        <v>1</v>
      </c>
      <c r="C531" s="7" t="s">
        <v>14</v>
      </c>
      <c r="D531" s="7">
        <f t="shared" si="10"/>
        <v>84</v>
      </c>
      <c r="E531" s="7">
        <v>1000</v>
      </c>
      <c r="F531" s="7">
        <v>64</v>
      </c>
      <c r="G531" s="7">
        <v>3479</v>
      </c>
    </row>
    <row r="532" spans="1:7" ht="18" x14ac:dyDescent="0.2">
      <c r="A532" s="7" t="s">
        <v>37</v>
      </c>
      <c r="B532" s="7" t="s">
        <v>1</v>
      </c>
      <c r="C532" s="7" t="s">
        <v>14</v>
      </c>
      <c r="D532" s="7">
        <f t="shared" si="10"/>
        <v>91</v>
      </c>
      <c r="E532" s="7">
        <v>1095</v>
      </c>
      <c r="F532" s="7">
        <v>67</v>
      </c>
      <c r="G532" s="7">
        <v>3948</v>
      </c>
    </row>
    <row r="533" spans="1:7" ht="18" x14ac:dyDescent="0.2">
      <c r="A533" s="7" t="s">
        <v>37</v>
      </c>
      <c r="B533" s="7" t="s">
        <v>1</v>
      </c>
      <c r="C533" s="7" t="s">
        <v>14</v>
      </c>
      <c r="D533" s="7">
        <f t="shared" si="10"/>
        <v>98</v>
      </c>
      <c r="E533" s="7">
        <v>1181</v>
      </c>
      <c r="F533" s="7">
        <v>70</v>
      </c>
      <c r="G533" s="7">
        <v>4438</v>
      </c>
    </row>
    <row r="534" spans="1:7" ht="18" x14ac:dyDescent="0.2">
      <c r="A534" s="7" t="s">
        <v>37</v>
      </c>
      <c r="B534" s="7" t="s">
        <v>1</v>
      </c>
      <c r="C534" s="7" t="s">
        <v>14</v>
      </c>
      <c r="D534" s="7">
        <f t="shared" si="10"/>
        <v>105</v>
      </c>
      <c r="E534" s="7">
        <v>1265</v>
      </c>
      <c r="F534" s="7">
        <v>73</v>
      </c>
      <c r="G534" s="7">
        <v>4949</v>
      </c>
    </row>
    <row r="535" spans="1:7" ht="18" x14ac:dyDescent="0.2">
      <c r="A535" s="7" t="s">
        <v>37</v>
      </c>
      <c r="B535" s="7" t="s">
        <v>1</v>
      </c>
      <c r="C535" s="7" t="s">
        <v>14</v>
      </c>
      <c r="D535" s="7">
        <f t="shared" si="10"/>
        <v>112</v>
      </c>
      <c r="E535" s="7">
        <v>1350</v>
      </c>
      <c r="F535" s="7">
        <v>76</v>
      </c>
      <c r="G535" s="7">
        <v>5481</v>
      </c>
    </row>
    <row r="536" spans="1:7" ht="18" x14ac:dyDescent="0.2">
      <c r="A536" s="7" t="s">
        <v>37</v>
      </c>
      <c r="B536" s="7" t="s">
        <v>1</v>
      </c>
      <c r="C536" s="7" t="s">
        <v>14</v>
      </c>
      <c r="D536" s="7">
        <f t="shared" si="10"/>
        <v>119</v>
      </c>
      <c r="E536" s="7">
        <v>1425</v>
      </c>
      <c r="F536" s="7">
        <v>80</v>
      </c>
      <c r="G536" s="7">
        <v>6041</v>
      </c>
    </row>
    <row r="537" spans="1:7" ht="18" x14ac:dyDescent="0.2">
      <c r="A537" s="7" t="s">
        <v>37</v>
      </c>
      <c r="B537" s="7" t="s">
        <v>1</v>
      </c>
      <c r="C537" s="7" t="s">
        <v>14</v>
      </c>
      <c r="D537" s="7">
        <f t="shared" si="10"/>
        <v>126</v>
      </c>
      <c r="E537" s="7">
        <v>1500</v>
      </c>
      <c r="F537" s="7">
        <v>86</v>
      </c>
      <c r="G537" s="7">
        <v>6643</v>
      </c>
    </row>
    <row r="538" spans="1:7" ht="18" x14ac:dyDescent="0.2">
      <c r="A538" s="7" t="s">
        <v>37</v>
      </c>
      <c r="B538" s="7" t="s">
        <v>1</v>
      </c>
      <c r="C538" s="7" t="s">
        <v>14</v>
      </c>
      <c r="D538" s="7">
        <f t="shared" si="10"/>
        <v>133</v>
      </c>
      <c r="E538" s="7">
        <v>1560</v>
      </c>
      <c r="F538" s="7">
        <v>93</v>
      </c>
      <c r="G538" s="7">
        <v>7294</v>
      </c>
    </row>
    <row r="539" spans="1:7" ht="18" x14ac:dyDescent="0.2">
      <c r="A539" s="7" t="s">
        <v>37</v>
      </c>
      <c r="B539" s="7" t="s">
        <v>1</v>
      </c>
      <c r="C539" s="7" t="s">
        <v>14</v>
      </c>
      <c r="D539" s="7">
        <f t="shared" si="10"/>
        <v>140</v>
      </c>
      <c r="E539" s="7">
        <v>1610</v>
      </c>
      <c r="F539" s="7">
        <v>100</v>
      </c>
      <c r="G539" s="7">
        <v>7994</v>
      </c>
    </row>
    <row r="540" spans="1:7" ht="18" x14ac:dyDescent="0.2">
      <c r="A540" s="7" t="s">
        <v>37</v>
      </c>
      <c r="B540" s="7" t="s">
        <v>1</v>
      </c>
      <c r="C540" s="7" t="s">
        <v>14</v>
      </c>
      <c r="D540" s="7">
        <f t="shared" si="10"/>
        <v>147</v>
      </c>
      <c r="E540" s="7">
        <v>1665</v>
      </c>
      <c r="F540" s="7">
        <v>107</v>
      </c>
      <c r="G540" s="7">
        <v>8743</v>
      </c>
    </row>
    <row r="541" spans="1:7" ht="18" x14ac:dyDescent="0.2">
      <c r="A541" s="7" t="s">
        <v>37</v>
      </c>
      <c r="B541" s="7" t="s">
        <v>1</v>
      </c>
      <c r="C541" s="7" t="s">
        <v>14</v>
      </c>
      <c r="D541" s="7">
        <f t="shared" si="10"/>
        <v>154</v>
      </c>
      <c r="E541" s="7">
        <v>1710</v>
      </c>
      <c r="F541" s="7">
        <v>111</v>
      </c>
      <c r="G541" s="7">
        <v>9520</v>
      </c>
    </row>
    <row r="542" spans="1:7" ht="18" x14ac:dyDescent="0.2">
      <c r="A542" s="7" t="s">
        <v>37</v>
      </c>
      <c r="B542" s="7" t="s">
        <v>1</v>
      </c>
      <c r="C542" s="7" t="s">
        <v>14</v>
      </c>
      <c r="D542" s="7">
        <f t="shared" si="10"/>
        <v>161</v>
      </c>
      <c r="E542" s="7">
        <v>1740</v>
      </c>
      <c r="F542" s="7">
        <v>112</v>
      </c>
      <c r="G542" s="7">
        <v>10304</v>
      </c>
    </row>
    <row r="543" spans="1:7" ht="18" x14ac:dyDescent="0.2">
      <c r="A543" s="7" t="s">
        <v>37</v>
      </c>
      <c r="B543" s="7" t="s">
        <v>1</v>
      </c>
      <c r="C543" s="7" t="s">
        <v>14</v>
      </c>
      <c r="D543" s="7">
        <f t="shared" si="10"/>
        <v>168</v>
      </c>
      <c r="E543" s="7">
        <v>1760</v>
      </c>
      <c r="F543" s="7">
        <v>113</v>
      </c>
      <c r="G543" s="7">
        <v>11095</v>
      </c>
    </row>
    <row r="544" spans="1:7" ht="18" x14ac:dyDescent="0.2">
      <c r="A544" s="7" t="s">
        <v>37</v>
      </c>
      <c r="B544" s="7" t="s">
        <v>1</v>
      </c>
      <c r="C544" s="7" t="s">
        <v>14</v>
      </c>
      <c r="D544" s="7">
        <f t="shared" si="10"/>
        <v>175</v>
      </c>
      <c r="E544" s="7">
        <v>1770</v>
      </c>
      <c r="F544" s="7">
        <v>114</v>
      </c>
      <c r="G544" s="7">
        <v>11893</v>
      </c>
    </row>
    <row r="545" spans="1:7" ht="18" x14ac:dyDescent="0.2">
      <c r="A545" s="7" t="s">
        <v>37</v>
      </c>
      <c r="B545" s="7" t="s">
        <v>1</v>
      </c>
      <c r="C545" s="7" t="s">
        <v>14</v>
      </c>
      <c r="D545" s="7">
        <f t="shared" si="10"/>
        <v>182</v>
      </c>
      <c r="E545" s="7">
        <v>1780</v>
      </c>
      <c r="F545" s="7">
        <v>115</v>
      </c>
      <c r="G545" s="7">
        <v>12698</v>
      </c>
    </row>
    <row r="546" spans="1:7" ht="18" x14ac:dyDescent="0.2">
      <c r="A546" s="7" t="s">
        <v>37</v>
      </c>
      <c r="B546" s="7" t="s">
        <v>1</v>
      </c>
      <c r="C546" s="7" t="s">
        <v>14</v>
      </c>
      <c r="D546" s="7">
        <f t="shared" si="10"/>
        <v>189</v>
      </c>
      <c r="E546" s="7">
        <v>1790</v>
      </c>
      <c r="F546" s="7">
        <v>115</v>
      </c>
      <c r="G546" s="7">
        <v>13503</v>
      </c>
    </row>
    <row r="547" spans="1:7" ht="18" x14ac:dyDescent="0.2">
      <c r="A547" s="7" t="s">
        <v>37</v>
      </c>
      <c r="B547" s="7" t="s">
        <v>1</v>
      </c>
      <c r="C547" s="7" t="s">
        <v>14</v>
      </c>
      <c r="D547" s="7">
        <f t="shared" si="10"/>
        <v>196</v>
      </c>
      <c r="E547" s="7">
        <v>1800</v>
      </c>
      <c r="F547" s="7">
        <v>116</v>
      </c>
      <c r="G547" s="7">
        <v>14315</v>
      </c>
    </row>
    <row r="548" spans="1:7" ht="18" x14ac:dyDescent="0.2">
      <c r="A548" s="7" t="s">
        <v>37</v>
      </c>
      <c r="B548" s="7" t="s">
        <v>1</v>
      </c>
      <c r="C548" s="7" t="s">
        <v>14</v>
      </c>
      <c r="D548" s="7">
        <f t="shared" si="10"/>
        <v>203</v>
      </c>
      <c r="E548" s="7">
        <v>1810</v>
      </c>
      <c r="F548" s="7">
        <v>116</v>
      </c>
      <c r="G548" s="7">
        <v>15127</v>
      </c>
    </row>
    <row r="549" spans="1:7" ht="18" x14ac:dyDescent="0.2">
      <c r="A549" s="7" t="s">
        <v>37</v>
      </c>
      <c r="B549" s="7" t="s">
        <v>1</v>
      </c>
      <c r="C549" s="7" t="s">
        <v>14</v>
      </c>
      <c r="D549" s="7">
        <f t="shared" si="10"/>
        <v>210</v>
      </c>
      <c r="E549" s="7">
        <v>1820</v>
      </c>
      <c r="F549" s="7">
        <v>117</v>
      </c>
      <c r="G549" s="7">
        <v>15946</v>
      </c>
    </row>
    <row r="550" spans="1:7" ht="18" x14ac:dyDescent="0.2">
      <c r="A550" s="7" t="s">
        <v>37</v>
      </c>
      <c r="B550" s="7" t="s">
        <v>1</v>
      </c>
      <c r="C550" s="7" t="s">
        <v>14</v>
      </c>
      <c r="D550" s="7">
        <f t="shared" si="10"/>
        <v>217</v>
      </c>
      <c r="E550" s="7">
        <v>1825</v>
      </c>
      <c r="F550" s="7">
        <v>117</v>
      </c>
      <c r="G550" s="7">
        <v>16765</v>
      </c>
    </row>
    <row r="551" spans="1:7" ht="18" x14ac:dyDescent="0.2">
      <c r="A551" s="7" t="s">
        <v>37</v>
      </c>
      <c r="B551" s="7" t="s">
        <v>1</v>
      </c>
      <c r="C551" s="7" t="s">
        <v>14</v>
      </c>
      <c r="D551" s="7">
        <f t="shared" si="10"/>
        <v>224</v>
      </c>
      <c r="E551" s="7">
        <v>1830</v>
      </c>
      <c r="F551" s="7">
        <v>117</v>
      </c>
      <c r="G551" s="7">
        <v>17584</v>
      </c>
    </row>
    <row r="552" spans="1:7" ht="18" x14ac:dyDescent="0.2">
      <c r="A552" s="7" t="s">
        <v>37</v>
      </c>
      <c r="B552" s="7" t="s">
        <v>1</v>
      </c>
      <c r="C552" s="7" t="s">
        <v>14</v>
      </c>
      <c r="D552" s="7">
        <f t="shared" si="10"/>
        <v>231</v>
      </c>
      <c r="E552" s="7">
        <v>1835</v>
      </c>
      <c r="F552" s="7">
        <v>117</v>
      </c>
      <c r="G552" s="7">
        <v>18403</v>
      </c>
    </row>
    <row r="553" spans="1:7" ht="18" x14ac:dyDescent="0.2">
      <c r="A553" s="7" t="s">
        <v>37</v>
      </c>
      <c r="B553" s="7" t="s">
        <v>1</v>
      </c>
      <c r="C553" s="7" t="s">
        <v>14</v>
      </c>
      <c r="D553" s="7">
        <f t="shared" si="10"/>
        <v>238</v>
      </c>
      <c r="E553" s="7">
        <v>1840</v>
      </c>
      <c r="F553" s="7">
        <v>117</v>
      </c>
      <c r="G553" s="7">
        <v>19222</v>
      </c>
    </row>
    <row r="554" spans="1:7" ht="18" x14ac:dyDescent="0.2">
      <c r="A554" s="7" t="s">
        <v>37</v>
      </c>
      <c r="B554" s="7" t="s">
        <v>1</v>
      </c>
      <c r="C554" s="7" t="s">
        <v>14</v>
      </c>
      <c r="D554" s="7">
        <f t="shared" si="10"/>
        <v>245</v>
      </c>
      <c r="E554" s="7">
        <v>1845</v>
      </c>
      <c r="F554" s="7">
        <v>117</v>
      </c>
      <c r="G554" s="7">
        <v>20041</v>
      </c>
    </row>
    <row r="555" spans="1:7" ht="18" x14ac:dyDescent="0.2">
      <c r="A555" s="7" t="s">
        <v>37</v>
      </c>
      <c r="B555" s="7" t="s">
        <v>1</v>
      </c>
      <c r="C555" s="7" t="s">
        <v>14</v>
      </c>
      <c r="D555" s="7">
        <f t="shared" si="10"/>
        <v>252</v>
      </c>
      <c r="E555" s="7">
        <v>1850</v>
      </c>
      <c r="F555" s="7">
        <v>117</v>
      </c>
      <c r="G555" s="7">
        <v>20860</v>
      </c>
    </row>
    <row r="556" spans="1:7" ht="18" x14ac:dyDescent="0.2">
      <c r="A556" s="7" t="s">
        <v>37</v>
      </c>
      <c r="B556" s="7" t="s">
        <v>1</v>
      </c>
      <c r="C556" s="7" t="s">
        <v>14</v>
      </c>
      <c r="D556" s="7">
        <f t="shared" si="10"/>
        <v>259</v>
      </c>
      <c r="E556" s="7">
        <v>1852</v>
      </c>
      <c r="F556" s="7">
        <v>117</v>
      </c>
      <c r="G556" s="7">
        <v>21679</v>
      </c>
    </row>
    <row r="557" spans="1:7" ht="18" x14ac:dyDescent="0.2">
      <c r="A557" s="7" t="s">
        <v>37</v>
      </c>
      <c r="B557" s="7" t="s">
        <v>1</v>
      </c>
      <c r="C557" s="7" t="s">
        <v>14</v>
      </c>
      <c r="D557" s="7">
        <f t="shared" si="10"/>
        <v>266</v>
      </c>
      <c r="E557" s="7">
        <v>1854</v>
      </c>
      <c r="F557" s="7">
        <v>117</v>
      </c>
      <c r="G557" s="7">
        <v>22498</v>
      </c>
    </row>
    <row r="558" spans="1:7" ht="18" x14ac:dyDescent="0.2">
      <c r="A558" s="7" t="s">
        <v>37</v>
      </c>
      <c r="B558" s="7" t="s">
        <v>1</v>
      </c>
      <c r="C558" s="7" t="s">
        <v>14</v>
      </c>
      <c r="D558" s="7">
        <f t="shared" si="10"/>
        <v>273</v>
      </c>
      <c r="E558" s="7">
        <v>1856</v>
      </c>
      <c r="F558" s="7">
        <v>117</v>
      </c>
      <c r="G558" s="7">
        <v>23317</v>
      </c>
    </row>
    <row r="559" spans="1:7" ht="18" x14ac:dyDescent="0.2">
      <c r="A559" s="7" t="s">
        <v>37</v>
      </c>
      <c r="B559" s="7" t="s">
        <v>1</v>
      </c>
      <c r="C559" s="7" t="s">
        <v>14</v>
      </c>
      <c r="D559" s="7">
        <f t="shared" si="10"/>
        <v>280</v>
      </c>
      <c r="E559" s="7">
        <v>1858</v>
      </c>
      <c r="F559" s="7">
        <v>117</v>
      </c>
      <c r="G559" s="7">
        <v>24136</v>
      </c>
    </row>
    <row r="560" spans="1:7" ht="18" x14ac:dyDescent="0.2">
      <c r="A560" s="7" t="s">
        <v>37</v>
      </c>
      <c r="B560" s="7" t="s">
        <v>1</v>
      </c>
      <c r="C560" s="7" t="s">
        <v>14</v>
      </c>
      <c r="D560" s="7">
        <f t="shared" si="10"/>
        <v>287</v>
      </c>
      <c r="E560" s="7">
        <v>1860</v>
      </c>
      <c r="F560" s="7">
        <v>117</v>
      </c>
      <c r="G560" s="7">
        <v>24955</v>
      </c>
    </row>
    <row r="561" spans="1:7" ht="18" x14ac:dyDescent="0.2">
      <c r="A561" s="7" t="s">
        <v>37</v>
      </c>
      <c r="B561" s="7" t="s">
        <v>1</v>
      </c>
      <c r="C561" s="7" t="s">
        <v>14</v>
      </c>
      <c r="D561" s="7">
        <f t="shared" si="10"/>
        <v>294</v>
      </c>
      <c r="E561" s="7">
        <v>1862</v>
      </c>
      <c r="F561" s="7">
        <v>117</v>
      </c>
      <c r="G561" s="7">
        <v>25774</v>
      </c>
    </row>
    <row r="562" spans="1:7" ht="18" x14ac:dyDescent="0.2">
      <c r="A562" s="7" t="s">
        <v>37</v>
      </c>
      <c r="B562" s="7" t="s">
        <v>1</v>
      </c>
      <c r="C562" s="7" t="s">
        <v>14</v>
      </c>
      <c r="D562" s="7">
        <f t="shared" si="10"/>
        <v>301</v>
      </c>
      <c r="E562" s="7">
        <v>1864</v>
      </c>
      <c r="F562" s="7">
        <v>117</v>
      </c>
      <c r="G562" s="7">
        <v>26593</v>
      </c>
    </row>
    <row r="563" spans="1:7" ht="18" x14ac:dyDescent="0.2">
      <c r="A563" s="7" t="s">
        <v>37</v>
      </c>
      <c r="B563" s="7" t="s">
        <v>1</v>
      </c>
      <c r="C563" s="7" t="s">
        <v>14</v>
      </c>
      <c r="D563" s="7">
        <f t="shared" si="10"/>
        <v>308</v>
      </c>
      <c r="E563" s="7">
        <v>1866</v>
      </c>
      <c r="F563" s="7">
        <v>117</v>
      </c>
      <c r="G563" s="7">
        <v>27412</v>
      </c>
    </row>
    <row r="564" spans="1:7" ht="18" x14ac:dyDescent="0.2">
      <c r="A564" s="7" t="s">
        <v>37</v>
      </c>
      <c r="B564" s="7" t="s">
        <v>1</v>
      </c>
      <c r="C564" s="7" t="s">
        <v>14</v>
      </c>
      <c r="D564" s="7">
        <f t="shared" si="10"/>
        <v>315</v>
      </c>
      <c r="E564" s="7">
        <v>1870</v>
      </c>
      <c r="F564" s="7">
        <v>117</v>
      </c>
      <c r="G564" s="7">
        <v>28231</v>
      </c>
    </row>
    <row r="565" spans="1:7" ht="18" x14ac:dyDescent="0.2">
      <c r="A565" s="7" t="s">
        <v>37</v>
      </c>
      <c r="B565" s="7" t="s">
        <v>1</v>
      </c>
      <c r="C565" s="7" t="s">
        <v>14</v>
      </c>
      <c r="D565" s="7">
        <f t="shared" si="10"/>
        <v>322</v>
      </c>
      <c r="E565" s="7">
        <v>1872</v>
      </c>
      <c r="F565" s="7">
        <v>117</v>
      </c>
      <c r="G565" s="7">
        <v>29050</v>
      </c>
    </row>
    <row r="566" spans="1:7" ht="18" x14ac:dyDescent="0.2">
      <c r="A566" s="7" t="s">
        <v>37</v>
      </c>
      <c r="B566" s="7" t="s">
        <v>1</v>
      </c>
      <c r="C566" s="7" t="s">
        <v>14</v>
      </c>
      <c r="D566" s="7">
        <f t="shared" si="10"/>
        <v>329</v>
      </c>
      <c r="E566" s="7">
        <v>1874</v>
      </c>
      <c r="F566" s="7">
        <v>117</v>
      </c>
      <c r="G566" s="7">
        <v>29869</v>
      </c>
    </row>
    <row r="567" spans="1:7" ht="18" x14ac:dyDescent="0.2">
      <c r="A567" s="7" t="s">
        <v>37</v>
      </c>
      <c r="B567" s="7" t="s">
        <v>1</v>
      </c>
      <c r="C567" s="7" t="s">
        <v>14</v>
      </c>
      <c r="D567" s="7">
        <f t="shared" si="10"/>
        <v>336</v>
      </c>
      <c r="E567" s="7">
        <v>1876</v>
      </c>
      <c r="F567" s="7">
        <v>117</v>
      </c>
      <c r="G567" s="7">
        <v>30688</v>
      </c>
    </row>
    <row r="568" spans="1:7" ht="18" x14ac:dyDescent="0.2">
      <c r="A568" s="7" t="s">
        <v>37</v>
      </c>
      <c r="B568" s="7" t="s">
        <v>1</v>
      </c>
      <c r="C568" s="7" t="s">
        <v>14</v>
      </c>
      <c r="D568" s="7">
        <f t="shared" si="10"/>
        <v>343</v>
      </c>
      <c r="E568" s="7">
        <v>1878</v>
      </c>
      <c r="F568" s="7">
        <v>117</v>
      </c>
      <c r="G568" s="7">
        <v>31507</v>
      </c>
    </row>
    <row r="569" spans="1:7" ht="18" x14ac:dyDescent="0.2">
      <c r="A569" s="7" t="s">
        <v>37</v>
      </c>
      <c r="B569" s="7" t="s">
        <v>1</v>
      </c>
      <c r="C569" s="7" t="s">
        <v>14</v>
      </c>
      <c r="D569" s="7">
        <f t="shared" si="10"/>
        <v>350</v>
      </c>
      <c r="E569" s="7">
        <v>1880</v>
      </c>
      <c r="F569" s="7">
        <v>117</v>
      </c>
      <c r="G569" s="7">
        <v>32326</v>
      </c>
    </row>
    <row r="570" spans="1:7" ht="18" x14ac:dyDescent="0.2">
      <c r="A570" s="7" t="s">
        <v>37</v>
      </c>
      <c r="B570" s="7" t="s">
        <v>1</v>
      </c>
      <c r="C570" s="7" t="s">
        <v>14</v>
      </c>
      <c r="D570" s="7">
        <f t="shared" si="10"/>
        <v>357</v>
      </c>
      <c r="E570" s="7">
        <v>1882</v>
      </c>
      <c r="F570" s="7">
        <v>117</v>
      </c>
      <c r="G570" s="7">
        <v>33145</v>
      </c>
    </row>
    <row r="571" spans="1:7" ht="18" x14ac:dyDescent="0.2">
      <c r="A571" s="7" t="s">
        <v>37</v>
      </c>
      <c r="B571" s="7" t="s">
        <v>1</v>
      </c>
      <c r="C571" s="7" t="s">
        <v>14</v>
      </c>
      <c r="D571" s="7">
        <f t="shared" si="10"/>
        <v>364</v>
      </c>
      <c r="E571" s="7">
        <v>1884</v>
      </c>
      <c r="F571" s="7">
        <v>117</v>
      </c>
      <c r="G571" s="7">
        <v>33964</v>
      </c>
    </row>
    <row r="572" spans="1:7" ht="18" x14ac:dyDescent="0.2">
      <c r="A572" s="7" t="s">
        <v>37</v>
      </c>
      <c r="B572" s="7" t="s">
        <v>1</v>
      </c>
      <c r="C572" s="7" t="s">
        <v>14</v>
      </c>
      <c r="D572" s="7">
        <f t="shared" si="10"/>
        <v>371</v>
      </c>
      <c r="E572" s="7">
        <v>1886</v>
      </c>
      <c r="F572" s="7">
        <v>117</v>
      </c>
      <c r="G572" s="7">
        <v>34783</v>
      </c>
    </row>
    <row r="573" spans="1:7" ht="18" x14ac:dyDescent="0.2">
      <c r="A573" s="7" t="s">
        <v>37</v>
      </c>
      <c r="B573" s="7" t="s">
        <v>1</v>
      </c>
      <c r="C573" s="7" t="s">
        <v>14</v>
      </c>
      <c r="D573" s="7">
        <f t="shared" si="10"/>
        <v>378</v>
      </c>
      <c r="E573" s="7">
        <v>1888</v>
      </c>
      <c r="F573" s="7">
        <v>117</v>
      </c>
      <c r="G573" s="7">
        <v>35602</v>
      </c>
    </row>
    <row r="574" spans="1:7" ht="18" x14ac:dyDescent="0.2">
      <c r="A574" s="7" t="s">
        <v>37</v>
      </c>
      <c r="B574" s="7" t="s">
        <v>1</v>
      </c>
      <c r="C574" s="7" t="s">
        <v>14</v>
      </c>
      <c r="D574" s="7">
        <f t="shared" si="10"/>
        <v>385</v>
      </c>
      <c r="E574" s="7">
        <v>1890</v>
      </c>
      <c r="F574" s="7">
        <v>117</v>
      </c>
      <c r="G574" s="7">
        <v>36421</v>
      </c>
    </row>
    <row r="575" spans="1:7" ht="18" x14ac:dyDescent="0.2">
      <c r="A575" s="7" t="s">
        <v>37</v>
      </c>
      <c r="B575" s="7" t="s">
        <v>1</v>
      </c>
      <c r="C575" s="7" t="s">
        <v>14</v>
      </c>
      <c r="D575" s="7">
        <f t="shared" si="10"/>
        <v>392</v>
      </c>
      <c r="E575" s="7">
        <v>1892</v>
      </c>
      <c r="F575" s="7">
        <v>117</v>
      </c>
      <c r="G575" s="7">
        <v>37240</v>
      </c>
    </row>
    <row r="576" spans="1:7" ht="18" x14ac:dyDescent="0.2">
      <c r="A576" s="7" t="s">
        <v>37</v>
      </c>
      <c r="B576" s="7" t="s">
        <v>1</v>
      </c>
      <c r="C576" s="7" t="s">
        <v>14</v>
      </c>
      <c r="D576" s="7">
        <f t="shared" si="10"/>
        <v>399</v>
      </c>
      <c r="E576" s="7">
        <v>1894</v>
      </c>
      <c r="F576" s="7">
        <v>117</v>
      </c>
      <c r="G576" s="7">
        <v>38059</v>
      </c>
    </row>
    <row r="577" spans="1:7" ht="18" x14ac:dyDescent="0.2">
      <c r="A577" s="7" t="s">
        <v>37</v>
      </c>
      <c r="B577" s="7" t="s">
        <v>1</v>
      </c>
      <c r="C577" s="7" t="s">
        <v>14</v>
      </c>
      <c r="D577" s="7">
        <f t="shared" si="10"/>
        <v>406</v>
      </c>
      <c r="E577" s="7">
        <v>1896</v>
      </c>
      <c r="F577" s="7">
        <v>117</v>
      </c>
      <c r="G577" s="7">
        <v>38878</v>
      </c>
    </row>
    <row r="578" spans="1:7" ht="18" x14ac:dyDescent="0.2">
      <c r="A578" s="7" t="s">
        <v>37</v>
      </c>
      <c r="B578" s="7" t="s">
        <v>1</v>
      </c>
      <c r="C578" s="7" t="s">
        <v>14</v>
      </c>
      <c r="D578" s="7">
        <f t="shared" si="10"/>
        <v>413</v>
      </c>
      <c r="E578" s="7">
        <v>1898</v>
      </c>
      <c r="F578" s="7">
        <v>117</v>
      </c>
      <c r="G578" s="7">
        <v>39697</v>
      </c>
    </row>
    <row r="579" spans="1:7" ht="18" x14ac:dyDescent="0.2">
      <c r="A579" s="7" t="s">
        <v>37</v>
      </c>
      <c r="B579" s="7" t="s">
        <v>1</v>
      </c>
      <c r="C579" s="7" t="s">
        <v>14</v>
      </c>
      <c r="D579" s="7">
        <f t="shared" si="10"/>
        <v>420</v>
      </c>
      <c r="E579" s="7">
        <v>1900</v>
      </c>
      <c r="F579" s="7">
        <v>117</v>
      </c>
      <c r="G579" s="7">
        <v>40516</v>
      </c>
    </row>
    <row r="580" spans="1:7" ht="18" x14ac:dyDescent="0.2">
      <c r="A580" s="7" t="s">
        <v>37</v>
      </c>
      <c r="B580" s="7" t="s">
        <v>1</v>
      </c>
      <c r="C580" s="7" t="s">
        <v>14</v>
      </c>
      <c r="D580" s="7">
        <f t="shared" si="10"/>
        <v>427</v>
      </c>
      <c r="E580" s="7">
        <v>1902</v>
      </c>
      <c r="F580" s="7">
        <v>117</v>
      </c>
      <c r="G580" s="7">
        <v>41335</v>
      </c>
    </row>
    <row r="581" spans="1:7" ht="18" x14ac:dyDescent="0.2">
      <c r="A581" s="7" t="s">
        <v>37</v>
      </c>
      <c r="B581" s="7" t="s">
        <v>1</v>
      </c>
      <c r="C581" s="7" t="s">
        <v>14</v>
      </c>
      <c r="D581" s="7">
        <f t="shared" si="10"/>
        <v>434</v>
      </c>
      <c r="E581" s="7">
        <v>1904</v>
      </c>
      <c r="F581" s="7">
        <v>117</v>
      </c>
      <c r="G581" s="7">
        <v>42154</v>
      </c>
    </row>
    <row r="582" spans="1:7" ht="18" x14ac:dyDescent="0.2">
      <c r="A582" s="7" t="s">
        <v>37</v>
      </c>
      <c r="B582" s="7" t="s">
        <v>1</v>
      </c>
      <c r="C582" s="7" t="s">
        <v>14</v>
      </c>
      <c r="D582" s="7">
        <f t="shared" si="10"/>
        <v>441</v>
      </c>
      <c r="E582" s="7">
        <v>1906</v>
      </c>
      <c r="F582" s="7">
        <v>117</v>
      </c>
      <c r="G582" s="7">
        <v>42973</v>
      </c>
    </row>
    <row r="583" spans="1:7" ht="18" x14ac:dyDescent="0.2">
      <c r="A583" s="7" t="s">
        <v>37</v>
      </c>
      <c r="B583" s="7" t="s">
        <v>1</v>
      </c>
      <c r="C583" s="7" t="s">
        <v>14</v>
      </c>
      <c r="D583" s="7">
        <f t="shared" si="10"/>
        <v>448</v>
      </c>
      <c r="E583" s="7">
        <v>1908</v>
      </c>
      <c r="F583" s="7">
        <v>117</v>
      </c>
      <c r="G583" s="7">
        <v>43792</v>
      </c>
    </row>
    <row r="584" spans="1:7" ht="18" x14ac:dyDescent="0.2">
      <c r="A584" s="7" t="s">
        <v>37</v>
      </c>
      <c r="B584" s="7" t="s">
        <v>1</v>
      </c>
      <c r="C584" s="7" t="s">
        <v>14</v>
      </c>
      <c r="D584" s="7">
        <f t="shared" si="10"/>
        <v>455</v>
      </c>
      <c r="E584" s="7">
        <v>1910</v>
      </c>
      <c r="F584" s="7">
        <v>117</v>
      </c>
      <c r="G584" s="7">
        <v>44611</v>
      </c>
    </row>
    <row r="585" spans="1:7" ht="18" x14ac:dyDescent="0.2">
      <c r="A585" s="7" t="s">
        <v>37</v>
      </c>
      <c r="B585" s="7" t="s">
        <v>1</v>
      </c>
      <c r="C585" s="7" t="s">
        <v>14</v>
      </c>
      <c r="D585" s="7">
        <f t="shared" si="10"/>
        <v>462</v>
      </c>
      <c r="E585" s="7">
        <v>1912</v>
      </c>
      <c r="F585" s="7">
        <v>117</v>
      </c>
      <c r="G585" s="7">
        <v>45430</v>
      </c>
    </row>
    <row r="586" spans="1:7" ht="18" x14ac:dyDescent="0.2">
      <c r="A586" s="7" t="s">
        <v>37</v>
      </c>
      <c r="B586" s="7" t="s">
        <v>1</v>
      </c>
      <c r="C586" s="7" t="s">
        <v>14</v>
      </c>
      <c r="D586" s="7">
        <f t="shared" si="10"/>
        <v>469</v>
      </c>
      <c r="E586" s="7">
        <v>1914</v>
      </c>
      <c r="F586" s="7">
        <v>117</v>
      </c>
      <c r="G586" s="7">
        <v>46249</v>
      </c>
    </row>
    <row r="587" spans="1:7" ht="18" x14ac:dyDescent="0.2">
      <c r="A587" s="7" t="s">
        <v>37</v>
      </c>
      <c r="B587" s="7" t="s">
        <v>1</v>
      </c>
      <c r="C587" s="7" t="s">
        <v>14</v>
      </c>
      <c r="D587" s="7">
        <f t="shared" si="10"/>
        <v>476</v>
      </c>
      <c r="E587" s="7">
        <v>1916</v>
      </c>
      <c r="F587" s="7">
        <v>117</v>
      </c>
      <c r="G587" s="7">
        <v>47068</v>
      </c>
    </row>
    <row r="588" spans="1:7" ht="18" x14ac:dyDescent="0.2">
      <c r="A588" s="7" t="s">
        <v>37</v>
      </c>
      <c r="B588" s="7" t="s">
        <v>1</v>
      </c>
      <c r="C588" s="7" t="s">
        <v>14</v>
      </c>
      <c r="D588" s="7">
        <f t="shared" ref="D588:D619" si="11">D587+7</f>
        <v>483</v>
      </c>
      <c r="E588" s="7">
        <v>1918</v>
      </c>
      <c r="F588" s="7">
        <v>117</v>
      </c>
      <c r="G588" s="7">
        <v>47887</v>
      </c>
    </row>
    <row r="589" spans="1:7" ht="18" x14ac:dyDescent="0.2">
      <c r="A589" s="7" t="s">
        <v>37</v>
      </c>
      <c r="B589" s="7" t="s">
        <v>1</v>
      </c>
      <c r="C589" s="7" t="s">
        <v>14</v>
      </c>
      <c r="D589" s="7">
        <f t="shared" si="11"/>
        <v>490</v>
      </c>
      <c r="E589" s="7">
        <v>1920</v>
      </c>
      <c r="F589" s="7">
        <v>117</v>
      </c>
      <c r="G589" s="7">
        <v>48706</v>
      </c>
    </row>
    <row r="590" spans="1:7" ht="18" x14ac:dyDescent="0.2">
      <c r="A590" s="7" t="s">
        <v>37</v>
      </c>
      <c r="B590" s="7" t="s">
        <v>1</v>
      </c>
      <c r="C590" s="7" t="s">
        <v>14</v>
      </c>
      <c r="D590" s="7">
        <f t="shared" si="11"/>
        <v>497</v>
      </c>
      <c r="E590" s="7">
        <v>1922</v>
      </c>
      <c r="F590" s="7">
        <v>117</v>
      </c>
      <c r="G590" s="7">
        <v>49525</v>
      </c>
    </row>
    <row r="591" spans="1:7" ht="18" x14ac:dyDescent="0.2">
      <c r="A591" s="7" t="s">
        <v>37</v>
      </c>
      <c r="B591" s="7" t="s">
        <v>1</v>
      </c>
      <c r="C591" s="7" t="s">
        <v>14</v>
      </c>
      <c r="D591" s="7">
        <f t="shared" si="11"/>
        <v>504</v>
      </c>
      <c r="E591" s="7">
        <v>1924</v>
      </c>
      <c r="F591" s="7">
        <v>117</v>
      </c>
      <c r="G591" s="7">
        <v>50344</v>
      </c>
    </row>
    <row r="592" spans="1:7" ht="18" x14ac:dyDescent="0.2">
      <c r="A592" s="7" t="s">
        <v>37</v>
      </c>
      <c r="B592" s="7" t="s">
        <v>1</v>
      </c>
      <c r="C592" s="7" t="s">
        <v>14</v>
      </c>
      <c r="D592" s="7">
        <f t="shared" si="11"/>
        <v>511</v>
      </c>
      <c r="E592" s="7">
        <v>1926</v>
      </c>
      <c r="F592" s="7">
        <v>117</v>
      </c>
      <c r="G592" s="7">
        <v>51163</v>
      </c>
    </row>
    <row r="593" spans="1:7" ht="18" x14ac:dyDescent="0.2">
      <c r="A593" s="7" t="s">
        <v>37</v>
      </c>
      <c r="B593" s="7" t="s">
        <v>1</v>
      </c>
      <c r="C593" s="7" t="s">
        <v>14</v>
      </c>
      <c r="D593" s="7">
        <f t="shared" si="11"/>
        <v>518</v>
      </c>
      <c r="E593" s="7">
        <v>1928</v>
      </c>
      <c r="F593" s="7">
        <v>117</v>
      </c>
      <c r="G593" s="7">
        <v>51982</v>
      </c>
    </row>
    <row r="594" spans="1:7" ht="18" x14ac:dyDescent="0.2">
      <c r="A594" s="7" t="s">
        <v>37</v>
      </c>
      <c r="B594" s="7" t="s">
        <v>1</v>
      </c>
      <c r="C594" s="7" t="s">
        <v>14</v>
      </c>
      <c r="D594" s="7">
        <f t="shared" si="11"/>
        <v>525</v>
      </c>
      <c r="E594" s="7">
        <v>1930</v>
      </c>
      <c r="F594" s="7">
        <v>117</v>
      </c>
      <c r="G594" s="7">
        <v>52801</v>
      </c>
    </row>
    <row r="595" spans="1:7" ht="18" x14ac:dyDescent="0.2">
      <c r="A595" s="7" t="s">
        <v>37</v>
      </c>
      <c r="B595" s="7" t="s">
        <v>1</v>
      </c>
      <c r="C595" s="7" t="s">
        <v>14</v>
      </c>
      <c r="D595" s="7">
        <f t="shared" si="11"/>
        <v>532</v>
      </c>
      <c r="E595" s="7">
        <v>1932</v>
      </c>
      <c r="F595" s="7">
        <v>117</v>
      </c>
      <c r="G595" s="7">
        <v>53620</v>
      </c>
    </row>
    <row r="596" spans="1:7" ht="18" x14ac:dyDescent="0.2">
      <c r="A596" s="7" t="s">
        <v>37</v>
      </c>
      <c r="B596" s="7" t="s">
        <v>1</v>
      </c>
      <c r="C596" s="7" t="s">
        <v>14</v>
      </c>
      <c r="D596" s="7">
        <f t="shared" si="11"/>
        <v>539</v>
      </c>
      <c r="E596" s="7">
        <v>1934</v>
      </c>
      <c r="F596" s="7">
        <v>117</v>
      </c>
      <c r="G596" s="7">
        <v>54439</v>
      </c>
    </row>
    <row r="597" spans="1:7" ht="18" x14ac:dyDescent="0.2">
      <c r="A597" s="7" t="s">
        <v>37</v>
      </c>
      <c r="B597" s="7" t="s">
        <v>1</v>
      </c>
      <c r="C597" s="7" t="s">
        <v>14</v>
      </c>
      <c r="D597" s="7">
        <f t="shared" si="11"/>
        <v>546</v>
      </c>
      <c r="E597" s="7">
        <v>1936</v>
      </c>
      <c r="F597" s="7">
        <v>117</v>
      </c>
      <c r="G597" s="7">
        <v>55258</v>
      </c>
    </row>
    <row r="598" spans="1:7" ht="18" x14ac:dyDescent="0.2">
      <c r="A598" s="7" t="s">
        <v>37</v>
      </c>
      <c r="B598" s="7" t="s">
        <v>1</v>
      </c>
      <c r="C598" s="7" t="s">
        <v>14</v>
      </c>
      <c r="D598" s="7">
        <f t="shared" si="11"/>
        <v>553</v>
      </c>
      <c r="E598" s="7">
        <v>1938</v>
      </c>
      <c r="F598" s="7">
        <v>117</v>
      </c>
      <c r="G598" s="7">
        <v>56077</v>
      </c>
    </row>
    <row r="599" spans="1:7" ht="18" x14ac:dyDescent="0.2">
      <c r="A599" s="7" t="s">
        <v>37</v>
      </c>
      <c r="B599" s="7" t="s">
        <v>1</v>
      </c>
      <c r="C599" s="7" t="s">
        <v>14</v>
      </c>
      <c r="D599" s="7">
        <f t="shared" si="11"/>
        <v>560</v>
      </c>
      <c r="E599" s="7">
        <v>1940</v>
      </c>
      <c r="F599" s="7">
        <v>117</v>
      </c>
      <c r="G599" s="7">
        <v>56896</v>
      </c>
    </row>
    <row r="600" spans="1:7" ht="18" x14ac:dyDescent="0.2">
      <c r="A600" s="7" t="s">
        <v>37</v>
      </c>
      <c r="B600" s="7" t="s">
        <v>1</v>
      </c>
      <c r="C600" s="7" t="s">
        <v>14</v>
      </c>
      <c r="D600" s="7">
        <f t="shared" si="11"/>
        <v>567</v>
      </c>
      <c r="E600" s="7">
        <v>1942</v>
      </c>
      <c r="F600" s="7">
        <v>117</v>
      </c>
      <c r="G600" s="7">
        <v>57715</v>
      </c>
    </row>
    <row r="601" spans="1:7" ht="18" x14ac:dyDescent="0.2">
      <c r="A601" s="7" t="s">
        <v>37</v>
      </c>
      <c r="B601" s="7" t="s">
        <v>1</v>
      </c>
      <c r="C601" s="7" t="s">
        <v>14</v>
      </c>
      <c r="D601" s="7">
        <f t="shared" si="11"/>
        <v>574</v>
      </c>
      <c r="E601" s="7">
        <v>1944</v>
      </c>
      <c r="F601" s="7">
        <v>117</v>
      </c>
      <c r="G601" s="7">
        <v>58534</v>
      </c>
    </row>
    <row r="602" spans="1:7" ht="18" x14ac:dyDescent="0.2">
      <c r="A602" s="7" t="s">
        <v>37</v>
      </c>
      <c r="B602" s="7" t="s">
        <v>1</v>
      </c>
      <c r="C602" s="7" t="s">
        <v>14</v>
      </c>
      <c r="D602" s="7">
        <f t="shared" si="11"/>
        <v>581</v>
      </c>
      <c r="E602" s="7">
        <v>1946</v>
      </c>
      <c r="F602" s="7">
        <v>117</v>
      </c>
      <c r="G602" s="7">
        <v>59353</v>
      </c>
    </row>
    <row r="603" spans="1:7" ht="18" x14ac:dyDescent="0.2">
      <c r="A603" s="7" t="s">
        <v>37</v>
      </c>
      <c r="B603" s="7" t="s">
        <v>1</v>
      </c>
      <c r="C603" s="7" t="s">
        <v>14</v>
      </c>
      <c r="D603" s="7">
        <f t="shared" si="11"/>
        <v>588</v>
      </c>
      <c r="E603" s="7">
        <v>1948</v>
      </c>
      <c r="F603" s="7">
        <v>117</v>
      </c>
      <c r="G603" s="7">
        <v>60172</v>
      </c>
    </row>
    <row r="604" spans="1:7" ht="18" x14ac:dyDescent="0.2">
      <c r="A604" s="7" t="s">
        <v>37</v>
      </c>
      <c r="B604" s="7" t="s">
        <v>1</v>
      </c>
      <c r="C604" s="7" t="s">
        <v>14</v>
      </c>
      <c r="D604" s="7">
        <f t="shared" si="11"/>
        <v>595</v>
      </c>
      <c r="E604" s="7">
        <v>1950</v>
      </c>
      <c r="F604" s="7">
        <v>117</v>
      </c>
      <c r="G604" s="7">
        <v>60991</v>
      </c>
    </row>
    <row r="605" spans="1:7" ht="18" x14ac:dyDescent="0.2">
      <c r="A605" s="7" t="s">
        <v>37</v>
      </c>
      <c r="B605" s="7" t="s">
        <v>1</v>
      </c>
      <c r="C605" s="7" t="s">
        <v>14</v>
      </c>
      <c r="D605" s="7">
        <f t="shared" si="11"/>
        <v>602</v>
      </c>
      <c r="E605" s="7">
        <v>1952</v>
      </c>
      <c r="F605" s="7">
        <v>117</v>
      </c>
      <c r="G605" s="7">
        <v>61810</v>
      </c>
    </row>
    <row r="606" spans="1:7" ht="18" x14ac:dyDescent="0.2">
      <c r="A606" s="7" t="s">
        <v>37</v>
      </c>
      <c r="B606" s="7" t="s">
        <v>1</v>
      </c>
      <c r="C606" s="7" t="s">
        <v>14</v>
      </c>
      <c r="D606" s="7">
        <f t="shared" si="11"/>
        <v>609</v>
      </c>
      <c r="E606" s="7">
        <v>1954</v>
      </c>
      <c r="F606" s="7">
        <v>117</v>
      </c>
      <c r="G606" s="7">
        <v>62629</v>
      </c>
    </row>
    <row r="607" spans="1:7" ht="18" x14ac:dyDescent="0.2">
      <c r="A607" s="7" t="s">
        <v>37</v>
      </c>
      <c r="B607" s="7" t="s">
        <v>1</v>
      </c>
      <c r="C607" s="7" t="s">
        <v>14</v>
      </c>
      <c r="D607" s="7">
        <f t="shared" si="11"/>
        <v>616</v>
      </c>
      <c r="E607" s="7">
        <v>1956</v>
      </c>
      <c r="F607" s="7">
        <v>117</v>
      </c>
      <c r="G607" s="7">
        <v>63448</v>
      </c>
    </row>
    <row r="608" spans="1:7" ht="18" x14ac:dyDescent="0.2">
      <c r="A608" s="7" t="s">
        <v>37</v>
      </c>
      <c r="B608" s="7" t="s">
        <v>1</v>
      </c>
      <c r="C608" s="7" t="s">
        <v>14</v>
      </c>
      <c r="D608" s="7">
        <f t="shared" si="11"/>
        <v>623</v>
      </c>
      <c r="E608" s="7">
        <v>1958</v>
      </c>
      <c r="F608" s="7">
        <v>117</v>
      </c>
      <c r="G608" s="7">
        <v>64267</v>
      </c>
    </row>
    <row r="609" spans="1:7" ht="18" x14ac:dyDescent="0.2">
      <c r="A609" s="7" t="s">
        <v>37</v>
      </c>
      <c r="B609" s="7" t="s">
        <v>1</v>
      </c>
      <c r="C609" s="7" t="s">
        <v>14</v>
      </c>
      <c r="D609" s="7">
        <f t="shared" si="11"/>
        <v>630</v>
      </c>
      <c r="E609" s="7">
        <v>1960</v>
      </c>
      <c r="F609" s="7">
        <v>117</v>
      </c>
      <c r="G609" s="7">
        <v>65086</v>
      </c>
    </row>
    <row r="610" spans="1:7" ht="18" x14ac:dyDescent="0.2">
      <c r="A610" s="7" t="s">
        <v>37</v>
      </c>
      <c r="B610" s="7" t="s">
        <v>1</v>
      </c>
      <c r="C610" s="7" t="s">
        <v>14</v>
      </c>
      <c r="D610" s="7">
        <f t="shared" si="11"/>
        <v>637</v>
      </c>
      <c r="E610" s="7">
        <v>1962</v>
      </c>
      <c r="F610" s="7">
        <v>117</v>
      </c>
      <c r="G610" s="7">
        <v>65905</v>
      </c>
    </row>
    <row r="611" spans="1:7" ht="18" x14ac:dyDescent="0.2">
      <c r="A611" s="7" t="s">
        <v>37</v>
      </c>
      <c r="B611" s="7" t="s">
        <v>1</v>
      </c>
      <c r="C611" s="7" t="s">
        <v>14</v>
      </c>
      <c r="D611" s="7">
        <f t="shared" si="11"/>
        <v>644</v>
      </c>
      <c r="E611" s="7">
        <v>1964</v>
      </c>
      <c r="F611" s="7">
        <v>117</v>
      </c>
      <c r="G611" s="7">
        <v>66724</v>
      </c>
    </row>
    <row r="612" spans="1:7" ht="18" x14ac:dyDescent="0.2">
      <c r="A612" s="7" t="s">
        <v>37</v>
      </c>
      <c r="B612" s="7" t="s">
        <v>1</v>
      </c>
      <c r="C612" s="7" t="s">
        <v>14</v>
      </c>
      <c r="D612" s="7">
        <f t="shared" si="11"/>
        <v>651</v>
      </c>
      <c r="E612" s="7">
        <v>1966</v>
      </c>
      <c r="F612" s="7">
        <v>117</v>
      </c>
      <c r="G612" s="7">
        <v>67543</v>
      </c>
    </row>
    <row r="613" spans="1:7" ht="18" x14ac:dyDescent="0.2">
      <c r="A613" s="7" t="s">
        <v>37</v>
      </c>
      <c r="B613" s="7" t="s">
        <v>1</v>
      </c>
      <c r="C613" s="7" t="s">
        <v>14</v>
      </c>
      <c r="D613" s="7">
        <f t="shared" si="11"/>
        <v>658</v>
      </c>
      <c r="E613" s="7">
        <v>1968</v>
      </c>
      <c r="F613" s="7">
        <v>117</v>
      </c>
      <c r="G613" s="7">
        <v>68362</v>
      </c>
    </row>
    <row r="614" spans="1:7" ht="18" x14ac:dyDescent="0.2">
      <c r="A614" s="7" t="s">
        <v>37</v>
      </c>
      <c r="B614" s="7" t="s">
        <v>1</v>
      </c>
      <c r="C614" s="7" t="s">
        <v>14</v>
      </c>
      <c r="D614" s="7">
        <f t="shared" si="11"/>
        <v>665</v>
      </c>
      <c r="E614" s="7">
        <v>1970</v>
      </c>
      <c r="F614" s="7">
        <v>117</v>
      </c>
      <c r="G614" s="7">
        <v>69181</v>
      </c>
    </row>
    <row r="615" spans="1:7" ht="18" x14ac:dyDescent="0.2">
      <c r="A615" s="7" t="s">
        <v>37</v>
      </c>
      <c r="B615" s="7" t="s">
        <v>1</v>
      </c>
      <c r="C615" s="7" t="s">
        <v>14</v>
      </c>
      <c r="D615" s="7">
        <f t="shared" si="11"/>
        <v>672</v>
      </c>
      <c r="E615" s="7">
        <v>1971</v>
      </c>
      <c r="F615" s="7">
        <v>117</v>
      </c>
      <c r="G615" s="7">
        <v>70000</v>
      </c>
    </row>
    <row r="616" spans="1:7" ht="18" x14ac:dyDescent="0.2">
      <c r="A616" s="7" t="s">
        <v>37</v>
      </c>
      <c r="B616" s="7" t="s">
        <v>1</v>
      </c>
      <c r="C616" s="7" t="s">
        <v>14</v>
      </c>
      <c r="D616" s="7">
        <f t="shared" si="11"/>
        <v>679</v>
      </c>
      <c r="E616" s="7">
        <v>1972</v>
      </c>
      <c r="F616" s="7">
        <v>117</v>
      </c>
      <c r="G616" s="7">
        <v>70819</v>
      </c>
    </row>
    <row r="617" spans="1:7" ht="18" x14ac:dyDescent="0.2">
      <c r="A617" s="7" t="s">
        <v>37</v>
      </c>
      <c r="B617" s="7" t="s">
        <v>1</v>
      </c>
      <c r="C617" s="7" t="s">
        <v>14</v>
      </c>
      <c r="D617" s="7">
        <f t="shared" si="11"/>
        <v>686</v>
      </c>
      <c r="E617" s="7">
        <v>1973</v>
      </c>
      <c r="F617" s="7">
        <v>117</v>
      </c>
      <c r="G617" s="7">
        <v>71638</v>
      </c>
    </row>
    <row r="618" spans="1:7" ht="18" x14ac:dyDescent="0.2">
      <c r="A618" s="7" t="s">
        <v>37</v>
      </c>
      <c r="B618" s="7" t="s">
        <v>1</v>
      </c>
      <c r="C618" s="7" t="s">
        <v>14</v>
      </c>
      <c r="D618" s="7">
        <f t="shared" si="11"/>
        <v>693</v>
      </c>
      <c r="E618" s="7">
        <v>1974</v>
      </c>
      <c r="F618" s="7">
        <v>117</v>
      </c>
      <c r="G618" s="7">
        <v>72457</v>
      </c>
    </row>
    <row r="619" spans="1:7" ht="18" x14ac:dyDescent="0.2">
      <c r="A619" s="7" t="s">
        <v>37</v>
      </c>
      <c r="B619" s="7" t="s">
        <v>1</v>
      </c>
      <c r="C619" s="7" t="s">
        <v>14</v>
      </c>
      <c r="D619" s="7">
        <f t="shared" si="11"/>
        <v>700</v>
      </c>
      <c r="E619" s="7">
        <v>1975</v>
      </c>
      <c r="F619" s="7">
        <v>117</v>
      </c>
      <c r="G619" s="7">
        <v>73276</v>
      </c>
    </row>
    <row r="620" spans="1:7" ht="18" x14ac:dyDescent="0.2">
      <c r="A620" s="7" t="s">
        <v>37</v>
      </c>
      <c r="B620" s="7" t="s">
        <v>0</v>
      </c>
      <c r="C620" s="7" t="s">
        <v>5</v>
      </c>
      <c r="D620" s="7">
        <v>7</v>
      </c>
      <c r="E620" s="7">
        <v>70</v>
      </c>
      <c r="F620" s="7">
        <v>10</v>
      </c>
      <c r="G620" s="7">
        <v>70</v>
      </c>
    </row>
    <row r="621" spans="1:7" ht="18" x14ac:dyDescent="0.2">
      <c r="A621" s="7" t="s">
        <v>37</v>
      </c>
      <c r="B621" s="7" t="s">
        <v>0</v>
      </c>
      <c r="C621" s="7" t="s">
        <v>5</v>
      </c>
      <c r="D621" s="7">
        <v>14</v>
      </c>
      <c r="E621" s="7">
        <v>120</v>
      </c>
      <c r="F621" s="7">
        <v>15</v>
      </c>
      <c r="G621" s="7">
        <v>175</v>
      </c>
    </row>
    <row r="622" spans="1:7" ht="18" x14ac:dyDescent="0.2">
      <c r="A622" s="7" t="s">
        <v>37</v>
      </c>
      <c r="B622" s="7" t="s">
        <v>0</v>
      </c>
      <c r="C622" s="7" t="s">
        <v>5</v>
      </c>
      <c r="D622" s="7">
        <f>D621+7</f>
        <v>21</v>
      </c>
      <c r="E622" s="7">
        <v>185</v>
      </c>
      <c r="F622" s="7">
        <v>21</v>
      </c>
      <c r="G622" s="7">
        <v>322</v>
      </c>
    </row>
    <row r="623" spans="1:7" ht="18" x14ac:dyDescent="0.2">
      <c r="A623" s="7" t="s">
        <v>37</v>
      </c>
      <c r="B623" s="7" t="s">
        <v>0</v>
      </c>
      <c r="C623" s="7" t="s">
        <v>5</v>
      </c>
      <c r="D623" s="7">
        <f>D622+7</f>
        <v>28</v>
      </c>
      <c r="E623" s="7">
        <v>255</v>
      </c>
      <c r="F623" s="7">
        <v>27</v>
      </c>
      <c r="G623" s="7">
        <v>511</v>
      </c>
    </row>
    <row r="624" spans="1:7" ht="18" x14ac:dyDescent="0.2">
      <c r="A624" s="7" t="s">
        <v>37</v>
      </c>
      <c r="B624" s="7" t="s">
        <v>0</v>
      </c>
      <c r="C624" s="7" t="s">
        <v>5</v>
      </c>
      <c r="D624" s="7">
        <f t="shared" ref="D624:D687" si="12">D623+7</f>
        <v>35</v>
      </c>
      <c r="E624" s="7">
        <v>334</v>
      </c>
      <c r="F624" s="7">
        <v>33</v>
      </c>
      <c r="G624" s="7">
        <v>742</v>
      </c>
    </row>
    <row r="625" spans="1:7" ht="18" x14ac:dyDescent="0.2">
      <c r="A625" s="7" t="s">
        <v>37</v>
      </c>
      <c r="B625" s="7" t="s">
        <v>0</v>
      </c>
      <c r="C625" s="7" t="s">
        <v>5</v>
      </c>
      <c r="D625" s="7">
        <f t="shared" si="12"/>
        <v>42</v>
      </c>
      <c r="E625" s="7">
        <v>425</v>
      </c>
      <c r="F625" s="7">
        <v>38</v>
      </c>
      <c r="G625" s="7">
        <v>1008</v>
      </c>
    </row>
    <row r="626" spans="1:7" ht="18" x14ac:dyDescent="0.2">
      <c r="A626" s="7" t="s">
        <v>37</v>
      </c>
      <c r="B626" s="7" t="s">
        <v>0</v>
      </c>
      <c r="C626" s="7" t="s">
        <v>5</v>
      </c>
      <c r="D626" s="7">
        <f t="shared" si="12"/>
        <v>49</v>
      </c>
      <c r="E626" s="7">
        <v>524</v>
      </c>
      <c r="F626" s="7">
        <v>44</v>
      </c>
      <c r="G626" s="7">
        <v>1316</v>
      </c>
    </row>
    <row r="627" spans="1:7" ht="18" x14ac:dyDescent="0.2">
      <c r="A627" s="7" t="s">
        <v>37</v>
      </c>
      <c r="B627" s="7" t="s">
        <v>0</v>
      </c>
      <c r="C627" s="7" t="s">
        <v>5</v>
      </c>
      <c r="D627" s="7">
        <f t="shared" si="12"/>
        <v>56</v>
      </c>
      <c r="E627" s="7">
        <v>635</v>
      </c>
      <c r="F627" s="7">
        <v>49</v>
      </c>
      <c r="G627" s="7">
        <v>1659</v>
      </c>
    </row>
    <row r="628" spans="1:7" ht="18" x14ac:dyDescent="0.2">
      <c r="A628" s="7" t="s">
        <v>37</v>
      </c>
      <c r="B628" s="7" t="s">
        <v>0</v>
      </c>
      <c r="C628" s="7" t="s">
        <v>5</v>
      </c>
      <c r="D628" s="7">
        <f t="shared" si="12"/>
        <v>63</v>
      </c>
      <c r="E628" s="7">
        <v>735</v>
      </c>
      <c r="F628" s="7">
        <v>53</v>
      </c>
      <c r="G628" s="7">
        <v>2030</v>
      </c>
    </row>
    <row r="629" spans="1:7" ht="18" x14ac:dyDescent="0.2">
      <c r="A629" s="7" t="s">
        <v>37</v>
      </c>
      <c r="B629" s="7" t="s">
        <v>0</v>
      </c>
      <c r="C629" s="7" t="s">
        <v>5</v>
      </c>
      <c r="D629" s="7">
        <f t="shared" si="12"/>
        <v>70</v>
      </c>
      <c r="E629" s="7">
        <v>825</v>
      </c>
      <c r="F629" s="7">
        <v>57</v>
      </c>
      <c r="G629" s="7">
        <v>2429</v>
      </c>
    </row>
    <row r="630" spans="1:7" ht="18" x14ac:dyDescent="0.2">
      <c r="A630" s="7" t="s">
        <v>37</v>
      </c>
      <c r="B630" s="7" t="s">
        <v>0</v>
      </c>
      <c r="C630" s="7" t="s">
        <v>5</v>
      </c>
      <c r="D630" s="7">
        <f t="shared" si="12"/>
        <v>77</v>
      </c>
      <c r="E630" s="7">
        <v>894</v>
      </c>
      <c r="F630" s="7">
        <v>61</v>
      </c>
      <c r="G630" s="7">
        <v>2856</v>
      </c>
    </row>
    <row r="631" spans="1:7" ht="18" x14ac:dyDescent="0.2">
      <c r="A631" s="7" t="s">
        <v>37</v>
      </c>
      <c r="B631" s="7" t="s">
        <v>0</v>
      </c>
      <c r="C631" s="7" t="s">
        <v>5</v>
      </c>
      <c r="D631" s="7">
        <f t="shared" si="12"/>
        <v>84</v>
      </c>
      <c r="E631" s="7">
        <v>959</v>
      </c>
      <c r="F631" s="7">
        <v>64</v>
      </c>
      <c r="G631" s="7">
        <v>3304</v>
      </c>
    </row>
    <row r="632" spans="1:7" ht="18" x14ac:dyDescent="0.2">
      <c r="A632" s="7" t="s">
        <v>37</v>
      </c>
      <c r="B632" s="7" t="s">
        <v>0</v>
      </c>
      <c r="C632" s="7" t="s">
        <v>5</v>
      </c>
      <c r="D632" s="7">
        <f t="shared" si="12"/>
        <v>91</v>
      </c>
      <c r="E632" s="7">
        <v>1023</v>
      </c>
      <c r="F632" s="7">
        <v>67</v>
      </c>
      <c r="G632" s="7">
        <v>3773</v>
      </c>
    </row>
    <row r="633" spans="1:7" ht="18" x14ac:dyDescent="0.2">
      <c r="A633" s="7" t="s">
        <v>37</v>
      </c>
      <c r="B633" s="7" t="s">
        <v>0</v>
      </c>
      <c r="C633" s="7" t="s">
        <v>5</v>
      </c>
      <c r="D633" s="7">
        <f t="shared" si="12"/>
        <v>98</v>
      </c>
      <c r="E633" s="7">
        <v>1084</v>
      </c>
      <c r="F633" s="7">
        <v>70</v>
      </c>
      <c r="G633" s="7">
        <v>4263</v>
      </c>
    </row>
    <row r="634" spans="1:7" ht="18" x14ac:dyDescent="0.2">
      <c r="A634" s="7" t="s">
        <v>37</v>
      </c>
      <c r="B634" s="7" t="s">
        <v>0</v>
      </c>
      <c r="C634" s="7" t="s">
        <v>5</v>
      </c>
      <c r="D634" s="7">
        <f t="shared" si="12"/>
        <v>105</v>
      </c>
      <c r="E634" s="7">
        <v>1143</v>
      </c>
      <c r="F634" s="7">
        <v>73</v>
      </c>
      <c r="G634" s="7">
        <v>4774</v>
      </c>
    </row>
    <row r="635" spans="1:7" ht="18" x14ac:dyDescent="0.2">
      <c r="A635" s="7" t="s">
        <v>37</v>
      </c>
      <c r="B635" s="7" t="s">
        <v>0</v>
      </c>
      <c r="C635" s="7" t="s">
        <v>5</v>
      </c>
      <c r="D635" s="7">
        <f t="shared" si="12"/>
        <v>112</v>
      </c>
      <c r="E635" s="7">
        <v>1200</v>
      </c>
      <c r="F635" s="7">
        <v>77</v>
      </c>
      <c r="G635" s="7">
        <v>5313</v>
      </c>
    </row>
    <row r="636" spans="1:7" ht="18" x14ac:dyDescent="0.2">
      <c r="A636" s="7" t="s">
        <v>37</v>
      </c>
      <c r="B636" s="7" t="s">
        <v>0</v>
      </c>
      <c r="C636" s="7" t="s">
        <v>5</v>
      </c>
      <c r="D636" s="7">
        <f t="shared" si="12"/>
        <v>119</v>
      </c>
      <c r="E636" s="7">
        <v>1255</v>
      </c>
      <c r="F636" s="7">
        <v>81</v>
      </c>
      <c r="G636" s="7">
        <v>5880</v>
      </c>
    </row>
    <row r="637" spans="1:7" ht="18" x14ac:dyDescent="0.2">
      <c r="A637" s="7" t="s">
        <v>37</v>
      </c>
      <c r="B637" s="7" t="s">
        <v>0</v>
      </c>
      <c r="C637" s="7" t="s">
        <v>5</v>
      </c>
      <c r="D637" s="7">
        <f t="shared" si="12"/>
        <v>126</v>
      </c>
      <c r="E637" s="7">
        <v>1306</v>
      </c>
      <c r="F637" s="7">
        <v>86</v>
      </c>
      <c r="G637" s="7">
        <v>6482</v>
      </c>
    </row>
    <row r="638" spans="1:7" ht="18" x14ac:dyDescent="0.2">
      <c r="A638" s="7" t="s">
        <v>37</v>
      </c>
      <c r="B638" s="7" t="s">
        <v>0</v>
      </c>
      <c r="C638" s="7" t="s">
        <v>5</v>
      </c>
      <c r="D638" s="7">
        <f t="shared" si="12"/>
        <v>133</v>
      </c>
      <c r="E638" s="7">
        <v>1356</v>
      </c>
      <c r="F638" s="7">
        <v>92</v>
      </c>
      <c r="G638" s="7">
        <v>7126</v>
      </c>
    </row>
    <row r="639" spans="1:7" ht="18" x14ac:dyDescent="0.2">
      <c r="A639" s="7" t="s">
        <v>37</v>
      </c>
      <c r="B639" s="7" t="s">
        <v>0</v>
      </c>
      <c r="C639" s="7" t="s">
        <v>5</v>
      </c>
      <c r="D639" s="7">
        <f t="shared" si="12"/>
        <v>140</v>
      </c>
      <c r="E639" s="7">
        <v>1405</v>
      </c>
      <c r="F639" s="7">
        <v>98</v>
      </c>
      <c r="G639" s="7">
        <v>7812</v>
      </c>
    </row>
    <row r="640" spans="1:7" ht="18" x14ac:dyDescent="0.2">
      <c r="A640" s="7" t="s">
        <v>37</v>
      </c>
      <c r="B640" s="7" t="s">
        <v>0</v>
      </c>
      <c r="C640" s="7" t="s">
        <v>5</v>
      </c>
      <c r="D640" s="7">
        <f t="shared" si="12"/>
        <v>147</v>
      </c>
      <c r="E640" s="7">
        <v>1452</v>
      </c>
      <c r="F640" s="7">
        <v>103</v>
      </c>
      <c r="G640" s="7">
        <v>8533</v>
      </c>
    </row>
    <row r="641" spans="1:7" ht="18" x14ac:dyDescent="0.2">
      <c r="A641" s="7" t="s">
        <v>37</v>
      </c>
      <c r="B641" s="7" t="s">
        <v>0</v>
      </c>
      <c r="C641" s="7" t="s">
        <v>5</v>
      </c>
      <c r="D641" s="7">
        <f t="shared" si="12"/>
        <v>154</v>
      </c>
      <c r="E641" s="7">
        <v>1497</v>
      </c>
      <c r="F641" s="7">
        <v>107</v>
      </c>
      <c r="G641" s="7">
        <v>9282</v>
      </c>
    </row>
    <row r="642" spans="1:7" ht="18" x14ac:dyDescent="0.2">
      <c r="A642" s="7" t="s">
        <v>37</v>
      </c>
      <c r="B642" s="7" t="s">
        <v>0</v>
      </c>
      <c r="C642" s="7" t="s">
        <v>5</v>
      </c>
      <c r="D642" s="7">
        <f t="shared" si="12"/>
        <v>161</v>
      </c>
      <c r="E642" s="7">
        <v>1538</v>
      </c>
      <c r="F642" s="7">
        <v>110</v>
      </c>
      <c r="G642" s="7">
        <v>10052</v>
      </c>
    </row>
    <row r="643" spans="1:7" ht="18" x14ac:dyDescent="0.2">
      <c r="A643" s="7" t="s">
        <v>37</v>
      </c>
      <c r="B643" s="7" t="s">
        <v>0</v>
      </c>
      <c r="C643" s="7" t="s">
        <v>5</v>
      </c>
      <c r="D643" s="7">
        <f t="shared" si="12"/>
        <v>168</v>
      </c>
      <c r="E643" s="7">
        <v>1575</v>
      </c>
      <c r="F643" s="7">
        <v>110</v>
      </c>
      <c r="G643" s="7">
        <v>10822</v>
      </c>
    </row>
    <row r="644" spans="1:7" ht="18" x14ac:dyDescent="0.2">
      <c r="A644" s="7" t="s">
        <v>37</v>
      </c>
      <c r="B644" s="7" t="s">
        <v>0</v>
      </c>
      <c r="C644" s="7" t="s">
        <v>5</v>
      </c>
      <c r="D644" s="7">
        <f t="shared" si="12"/>
        <v>175</v>
      </c>
      <c r="E644" s="7">
        <v>1608</v>
      </c>
      <c r="F644" s="7">
        <v>110</v>
      </c>
      <c r="G644" s="7">
        <v>11592</v>
      </c>
    </row>
    <row r="645" spans="1:7" ht="18" x14ac:dyDescent="0.2">
      <c r="A645" s="7" t="s">
        <v>37</v>
      </c>
      <c r="B645" s="7" t="s">
        <v>0</v>
      </c>
      <c r="C645" s="7" t="s">
        <v>5</v>
      </c>
      <c r="D645" s="7">
        <f t="shared" si="12"/>
        <v>182</v>
      </c>
      <c r="E645" s="7">
        <v>1628</v>
      </c>
      <c r="F645" s="7">
        <v>110</v>
      </c>
      <c r="G645" s="7">
        <v>12362</v>
      </c>
    </row>
    <row r="646" spans="1:7" ht="18" x14ac:dyDescent="0.2">
      <c r="A646" s="7" t="s">
        <v>37</v>
      </c>
      <c r="B646" s="7" t="s">
        <v>0</v>
      </c>
      <c r="C646" s="7" t="s">
        <v>5</v>
      </c>
      <c r="D646" s="7">
        <f t="shared" si="12"/>
        <v>189</v>
      </c>
      <c r="E646" s="7">
        <v>1639</v>
      </c>
      <c r="F646" s="7">
        <v>110</v>
      </c>
      <c r="G646" s="7">
        <v>13132</v>
      </c>
    </row>
    <row r="647" spans="1:7" ht="18" x14ac:dyDescent="0.2">
      <c r="A647" s="7" t="s">
        <v>37</v>
      </c>
      <c r="B647" s="7" t="s">
        <v>0</v>
      </c>
      <c r="C647" s="7" t="s">
        <v>5</v>
      </c>
      <c r="D647" s="7">
        <f t="shared" si="12"/>
        <v>196</v>
      </c>
      <c r="E647" s="7">
        <v>1645</v>
      </c>
      <c r="F647" s="7">
        <v>110</v>
      </c>
      <c r="G647" s="7">
        <v>13902</v>
      </c>
    </row>
    <row r="648" spans="1:7" ht="18" x14ac:dyDescent="0.2">
      <c r="A648" s="7" t="s">
        <v>37</v>
      </c>
      <c r="B648" s="7" t="s">
        <v>0</v>
      </c>
      <c r="C648" s="7" t="s">
        <v>5</v>
      </c>
      <c r="D648" s="7">
        <f t="shared" si="12"/>
        <v>203</v>
      </c>
      <c r="E648" s="7">
        <v>1649</v>
      </c>
      <c r="F648" s="7">
        <v>110</v>
      </c>
      <c r="G648" s="7">
        <v>14672</v>
      </c>
    </row>
    <row r="649" spans="1:7" ht="18" x14ac:dyDescent="0.2">
      <c r="A649" s="7" t="s">
        <v>37</v>
      </c>
      <c r="B649" s="7" t="s">
        <v>0</v>
      </c>
      <c r="C649" s="7" t="s">
        <v>5</v>
      </c>
      <c r="D649" s="7">
        <f t="shared" si="12"/>
        <v>210</v>
      </c>
      <c r="E649" s="7">
        <v>1651</v>
      </c>
      <c r="F649" s="7">
        <v>110</v>
      </c>
      <c r="G649" s="7">
        <v>15442</v>
      </c>
    </row>
    <row r="650" spans="1:7" ht="18" x14ac:dyDescent="0.2">
      <c r="A650" s="7" t="s">
        <v>37</v>
      </c>
      <c r="B650" s="7" t="s">
        <v>0</v>
      </c>
      <c r="C650" s="7" t="s">
        <v>5</v>
      </c>
      <c r="D650" s="7">
        <f t="shared" si="12"/>
        <v>217</v>
      </c>
      <c r="E650" s="7">
        <v>1653</v>
      </c>
      <c r="F650" s="7">
        <v>110</v>
      </c>
      <c r="G650" s="7">
        <v>16212</v>
      </c>
    </row>
    <row r="651" spans="1:7" ht="18" x14ac:dyDescent="0.2">
      <c r="A651" s="7" t="s">
        <v>37</v>
      </c>
      <c r="B651" s="7" t="s">
        <v>0</v>
      </c>
      <c r="C651" s="7" t="s">
        <v>5</v>
      </c>
      <c r="D651" s="7">
        <f t="shared" si="12"/>
        <v>224</v>
      </c>
      <c r="E651" s="7">
        <v>1655</v>
      </c>
      <c r="F651" s="7">
        <v>110</v>
      </c>
      <c r="G651" s="7">
        <v>16982</v>
      </c>
    </row>
    <row r="652" spans="1:7" ht="18" x14ac:dyDescent="0.2">
      <c r="A652" s="7" t="s">
        <v>37</v>
      </c>
      <c r="B652" s="7" t="s">
        <v>0</v>
      </c>
      <c r="C652" s="7" t="s">
        <v>5</v>
      </c>
      <c r="D652" s="7">
        <f t="shared" si="12"/>
        <v>231</v>
      </c>
      <c r="E652" s="7">
        <v>1657</v>
      </c>
      <c r="F652" s="7">
        <v>110</v>
      </c>
      <c r="G652" s="7">
        <v>17752</v>
      </c>
    </row>
    <row r="653" spans="1:7" ht="18" x14ac:dyDescent="0.2">
      <c r="A653" s="7" t="s">
        <v>37</v>
      </c>
      <c r="B653" s="7" t="s">
        <v>0</v>
      </c>
      <c r="C653" s="7" t="s">
        <v>5</v>
      </c>
      <c r="D653" s="7">
        <f t="shared" si="12"/>
        <v>238</v>
      </c>
      <c r="E653" s="7">
        <v>1658</v>
      </c>
      <c r="F653" s="7">
        <v>110</v>
      </c>
      <c r="G653" s="7">
        <v>18522</v>
      </c>
    </row>
    <row r="654" spans="1:7" ht="18" x14ac:dyDescent="0.2">
      <c r="A654" s="7" t="s">
        <v>37</v>
      </c>
      <c r="B654" s="7" t="s">
        <v>0</v>
      </c>
      <c r="C654" s="7" t="s">
        <v>5</v>
      </c>
      <c r="D654" s="7">
        <f t="shared" si="12"/>
        <v>245</v>
      </c>
      <c r="E654" s="7">
        <v>1660</v>
      </c>
      <c r="F654" s="7">
        <v>110</v>
      </c>
      <c r="G654" s="7">
        <v>19292</v>
      </c>
    </row>
    <row r="655" spans="1:7" ht="18" x14ac:dyDescent="0.2">
      <c r="A655" s="7" t="s">
        <v>37</v>
      </c>
      <c r="B655" s="7" t="s">
        <v>0</v>
      </c>
      <c r="C655" s="7" t="s">
        <v>5</v>
      </c>
      <c r="D655" s="7">
        <f t="shared" si="12"/>
        <v>252</v>
      </c>
      <c r="E655" s="7">
        <v>1662</v>
      </c>
      <c r="F655" s="7">
        <v>110</v>
      </c>
      <c r="G655" s="7">
        <v>20062</v>
      </c>
    </row>
    <row r="656" spans="1:7" ht="18" x14ac:dyDescent="0.2">
      <c r="A656" s="7" t="s">
        <v>37</v>
      </c>
      <c r="B656" s="7" t="s">
        <v>0</v>
      </c>
      <c r="C656" s="7" t="s">
        <v>5</v>
      </c>
      <c r="D656" s="7">
        <f t="shared" si="12"/>
        <v>259</v>
      </c>
      <c r="E656" s="7">
        <v>1664</v>
      </c>
      <c r="F656" s="7">
        <v>110</v>
      </c>
      <c r="G656" s="7">
        <v>20832</v>
      </c>
    </row>
    <row r="657" spans="1:7" ht="18" x14ac:dyDescent="0.2">
      <c r="A657" s="7" t="s">
        <v>37</v>
      </c>
      <c r="B657" s="7" t="s">
        <v>0</v>
      </c>
      <c r="C657" s="7" t="s">
        <v>5</v>
      </c>
      <c r="D657" s="7">
        <f t="shared" si="12"/>
        <v>266</v>
      </c>
      <c r="E657" s="7">
        <v>1666</v>
      </c>
      <c r="F657" s="7">
        <v>110</v>
      </c>
      <c r="G657" s="7">
        <v>21602</v>
      </c>
    </row>
    <row r="658" spans="1:7" ht="18" x14ac:dyDescent="0.2">
      <c r="A658" s="7" t="s">
        <v>37</v>
      </c>
      <c r="B658" s="7" t="s">
        <v>0</v>
      </c>
      <c r="C658" s="7" t="s">
        <v>5</v>
      </c>
      <c r="D658" s="7">
        <f t="shared" si="12"/>
        <v>273</v>
      </c>
      <c r="E658" s="7">
        <v>1667</v>
      </c>
      <c r="F658" s="7">
        <v>110</v>
      </c>
      <c r="G658" s="7">
        <v>22372</v>
      </c>
    </row>
    <row r="659" spans="1:7" ht="18" x14ac:dyDescent="0.2">
      <c r="A659" s="7" t="s">
        <v>37</v>
      </c>
      <c r="B659" s="7" t="s">
        <v>0</v>
      </c>
      <c r="C659" s="7" t="s">
        <v>5</v>
      </c>
      <c r="D659" s="7">
        <f t="shared" si="12"/>
        <v>280</v>
      </c>
      <c r="E659" s="7">
        <v>1669</v>
      </c>
      <c r="F659" s="7">
        <v>110</v>
      </c>
      <c r="G659" s="7">
        <v>23142</v>
      </c>
    </row>
    <row r="660" spans="1:7" ht="18" x14ac:dyDescent="0.2">
      <c r="A660" s="7" t="s">
        <v>37</v>
      </c>
      <c r="B660" s="7" t="s">
        <v>0</v>
      </c>
      <c r="C660" s="7" t="s">
        <v>5</v>
      </c>
      <c r="D660" s="7">
        <f t="shared" si="12"/>
        <v>287</v>
      </c>
      <c r="E660" s="7">
        <v>1671</v>
      </c>
      <c r="F660" s="7">
        <v>110</v>
      </c>
      <c r="G660" s="7">
        <v>23912</v>
      </c>
    </row>
    <row r="661" spans="1:7" ht="18" x14ac:dyDescent="0.2">
      <c r="A661" s="7" t="s">
        <v>37</v>
      </c>
      <c r="B661" s="7" t="s">
        <v>0</v>
      </c>
      <c r="C661" s="7" t="s">
        <v>5</v>
      </c>
      <c r="D661" s="7">
        <f t="shared" si="12"/>
        <v>294</v>
      </c>
      <c r="E661" s="7">
        <v>1673</v>
      </c>
      <c r="F661" s="7">
        <v>110</v>
      </c>
      <c r="G661" s="7">
        <v>24682</v>
      </c>
    </row>
    <row r="662" spans="1:7" ht="18" x14ac:dyDescent="0.2">
      <c r="A662" s="7" t="s">
        <v>37</v>
      </c>
      <c r="B662" s="7" t="s">
        <v>0</v>
      </c>
      <c r="C662" s="7" t="s">
        <v>5</v>
      </c>
      <c r="D662" s="7">
        <f t="shared" si="12"/>
        <v>301</v>
      </c>
      <c r="E662" s="7">
        <v>1674</v>
      </c>
      <c r="F662" s="7">
        <v>110</v>
      </c>
      <c r="G662" s="7">
        <v>25452</v>
      </c>
    </row>
    <row r="663" spans="1:7" ht="18" x14ac:dyDescent="0.2">
      <c r="A663" s="7" t="s">
        <v>37</v>
      </c>
      <c r="B663" s="7" t="s">
        <v>0</v>
      </c>
      <c r="C663" s="7" t="s">
        <v>5</v>
      </c>
      <c r="D663" s="7">
        <f t="shared" si="12"/>
        <v>308</v>
      </c>
      <c r="E663" s="7">
        <v>1676</v>
      </c>
      <c r="F663" s="7">
        <v>110</v>
      </c>
      <c r="G663" s="7">
        <v>26222</v>
      </c>
    </row>
    <row r="664" spans="1:7" ht="18" x14ac:dyDescent="0.2">
      <c r="A664" s="7" t="s">
        <v>37</v>
      </c>
      <c r="B664" s="7" t="s">
        <v>0</v>
      </c>
      <c r="C664" s="7" t="s">
        <v>5</v>
      </c>
      <c r="D664" s="7">
        <f t="shared" si="12"/>
        <v>315</v>
      </c>
      <c r="E664" s="7">
        <v>1677</v>
      </c>
      <c r="F664" s="7">
        <v>110</v>
      </c>
      <c r="G664" s="7">
        <v>26992</v>
      </c>
    </row>
    <row r="665" spans="1:7" ht="18" x14ac:dyDescent="0.2">
      <c r="A665" s="7" t="s">
        <v>37</v>
      </c>
      <c r="B665" s="7" t="s">
        <v>0</v>
      </c>
      <c r="C665" s="7" t="s">
        <v>5</v>
      </c>
      <c r="D665" s="7">
        <f t="shared" si="12"/>
        <v>322</v>
      </c>
      <c r="E665" s="7">
        <v>1679</v>
      </c>
      <c r="F665" s="7">
        <v>110</v>
      </c>
      <c r="G665" s="7">
        <v>27762</v>
      </c>
    </row>
    <row r="666" spans="1:7" ht="18" x14ac:dyDescent="0.2">
      <c r="A666" s="7" t="s">
        <v>37</v>
      </c>
      <c r="B666" s="7" t="s">
        <v>0</v>
      </c>
      <c r="C666" s="7" t="s">
        <v>5</v>
      </c>
      <c r="D666" s="7">
        <f t="shared" si="12"/>
        <v>329</v>
      </c>
      <c r="E666" s="7">
        <v>1681</v>
      </c>
      <c r="F666" s="7">
        <v>110</v>
      </c>
      <c r="G666" s="7">
        <v>28532</v>
      </c>
    </row>
    <row r="667" spans="1:7" ht="18" x14ac:dyDescent="0.2">
      <c r="A667" s="7" t="s">
        <v>37</v>
      </c>
      <c r="B667" s="7" t="s">
        <v>0</v>
      </c>
      <c r="C667" s="7" t="s">
        <v>5</v>
      </c>
      <c r="D667" s="7">
        <f t="shared" si="12"/>
        <v>336</v>
      </c>
      <c r="E667" s="7">
        <v>1682</v>
      </c>
      <c r="F667" s="7">
        <v>110</v>
      </c>
      <c r="G667" s="7">
        <v>29302</v>
      </c>
    </row>
    <row r="668" spans="1:7" ht="18" x14ac:dyDescent="0.2">
      <c r="A668" s="7" t="s">
        <v>37</v>
      </c>
      <c r="B668" s="7" t="s">
        <v>0</v>
      </c>
      <c r="C668" s="7" t="s">
        <v>5</v>
      </c>
      <c r="D668" s="7">
        <f t="shared" si="12"/>
        <v>343</v>
      </c>
      <c r="E668" s="7">
        <v>1684</v>
      </c>
      <c r="F668" s="7">
        <v>110</v>
      </c>
      <c r="G668" s="7">
        <v>30072</v>
      </c>
    </row>
    <row r="669" spans="1:7" ht="18" x14ac:dyDescent="0.2">
      <c r="A669" s="7" t="s">
        <v>37</v>
      </c>
      <c r="B669" s="7" t="s">
        <v>0</v>
      </c>
      <c r="C669" s="7" t="s">
        <v>5</v>
      </c>
      <c r="D669" s="7">
        <f t="shared" si="12"/>
        <v>350</v>
      </c>
      <c r="E669" s="7">
        <v>1685</v>
      </c>
      <c r="F669" s="7">
        <v>110</v>
      </c>
      <c r="G669" s="7">
        <v>30842</v>
      </c>
    </row>
    <row r="670" spans="1:7" ht="18" x14ac:dyDescent="0.2">
      <c r="A670" s="7" t="s">
        <v>37</v>
      </c>
      <c r="B670" s="7" t="s">
        <v>0</v>
      </c>
      <c r="C670" s="7" t="s">
        <v>5</v>
      </c>
      <c r="D670" s="7">
        <f t="shared" si="12"/>
        <v>357</v>
      </c>
      <c r="E670" s="7">
        <v>1686</v>
      </c>
      <c r="F670" s="7">
        <v>110</v>
      </c>
      <c r="G670" s="7">
        <v>31612</v>
      </c>
    </row>
    <row r="671" spans="1:7" ht="18" x14ac:dyDescent="0.2">
      <c r="A671" s="7" t="s">
        <v>37</v>
      </c>
      <c r="B671" s="7" t="s">
        <v>0</v>
      </c>
      <c r="C671" s="7" t="s">
        <v>5</v>
      </c>
      <c r="D671" s="7">
        <f t="shared" si="12"/>
        <v>364</v>
      </c>
      <c r="E671" s="7">
        <v>1688</v>
      </c>
      <c r="F671" s="7">
        <v>110</v>
      </c>
      <c r="G671" s="7">
        <v>32382</v>
      </c>
    </row>
    <row r="672" spans="1:7" ht="18" x14ac:dyDescent="0.2">
      <c r="A672" s="7" t="s">
        <v>37</v>
      </c>
      <c r="B672" s="7" t="s">
        <v>0</v>
      </c>
      <c r="C672" s="7" t="s">
        <v>5</v>
      </c>
      <c r="D672" s="7">
        <f t="shared" si="12"/>
        <v>371</v>
      </c>
      <c r="E672" s="7">
        <v>1689</v>
      </c>
      <c r="F672" s="7">
        <v>110</v>
      </c>
      <c r="G672" s="7">
        <v>33152</v>
      </c>
    </row>
    <row r="673" spans="1:7" ht="18" x14ac:dyDescent="0.2">
      <c r="A673" s="7" t="s">
        <v>37</v>
      </c>
      <c r="B673" s="7" t="s">
        <v>0</v>
      </c>
      <c r="C673" s="7" t="s">
        <v>5</v>
      </c>
      <c r="D673" s="7">
        <f t="shared" si="12"/>
        <v>378</v>
      </c>
      <c r="E673" s="7">
        <v>1691</v>
      </c>
      <c r="F673" s="7">
        <v>110</v>
      </c>
      <c r="G673" s="7">
        <v>33922</v>
      </c>
    </row>
    <row r="674" spans="1:7" ht="18" x14ac:dyDescent="0.2">
      <c r="A674" s="7" t="s">
        <v>37</v>
      </c>
      <c r="B674" s="7" t="s">
        <v>0</v>
      </c>
      <c r="C674" s="7" t="s">
        <v>5</v>
      </c>
      <c r="D674" s="7">
        <f t="shared" si="12"/>
        <v>385</v>
      </c>
      <c r="E674" s="7">
        <v>1692</v>
      </c>
      <c r="F674" s="7">
        <v>110</v>
      </c>
      <c r="G674" s="7">
        <v>34692</v>
      </c>
    </row>
    <row r="675" spans="1:7" ht="18" x14ac:dyDescent="0.2">
      <c r="A675" s="7" t="s">
        <v>37</v>
      </c>
      <c r="B675" s="7" t="s">
        <v>0</v>
      </c>
      <c r="C675" s="7" t="s">
        <v>5</v>
      </c>
      <c r="D675" s="7">
        <f t="shared" si="12"/>
        <v>392</v>
      </c>
      <c r="E675" s="7">
        <v>1693</v>
      </c>
      <c r="F675" s="7">
        <v>110</v>
      </c>
      <c r="G675" s="7">
        <v>35462</v>
      </c>
    </row>
    <row r="676" spans="1:7" ht="18" x14ac:dyDescent="0.2">
      <c r="A676" s="7" t="s">
        <v>37</v>
      </c>
      <c r="B676" s="7" t="s">
        <v>0</v>
      </c>
      <c r="C676" s="7" t="s">
        <v>5</v>
      </c>
      <c r="D676" s="7">
        <f t="shared" si="12"/>
        <v>399</v>
      </c>
      <c r="E676" s="7">
        <v>1694</v>
      </c>
      <c r="F676" s="7">
        <v>110</v>
      </c>
      <c r="G676" s="7">
        <v>36232</v>
      </c>
    </row>
    <row r="677" spans="1:7" ht="18" x14ac:dyDescent="0.2">
      <c r="A677" s="7" t="s">
        <v>37</v>
      </c>
      <c r="B677" s="7" t="s">
        <v>0</v>
      </c>
      <c r="C677" s="7" t="s">
        <v>5</v>
      </c>
      <c r="D677" s="7">
        <f t="shared" si="12"/>
        <v>406</v>
      </c>
      <c r="E677" s="7">
        <v>1696</v>
      </c>
      <c r="F677" s="7">
        <v>110</v>
      </c>
      <c r="G677" s="7">
        <v>37002</v>
      </c>
    </row>
    <row r="678" spans="1:7" ht="18" x14ac:dyDescent="0.2">
      <c r="A678" s="7" t="s">
        <v>37</v>
      </c>
      <c r="B678" s="7" t="s">
        <v>0</v>
      </c>
      <c r="C678" s="7" t="s">
        <v>5</v>
      </c>
      <c r="D678" s="7">
        <f t="shared" si="12"/>
        <v>413</v>
      </c>
      <c r="E678" s="7">
        <v>1697</v>
      </c>
      <c r="F678" s="7">
        <v>110</v>
      </c>
      <c r="G678" s="7">
        <v>37772</v>
      </c>
    </row>
    <row r="679" spans="1:7" ht="18" x14ac:dyDescent="0.2">
      <c r="A679" s="7" t="s">
        <v>37</v>
      </c>
      <c r="B679" s="7" t="s">
        <v>0</v>
      </c>
      <c r="C679" s="7" t="s">
        <v>5</v>
      </c>
      <c r="D679" s="7">
        <f t="shared" si="12"/>
        <v>420</v>
      </c>
      <c r="E679" s="7">
        <v>1698</v>
      </c>
      <c r="F679" s="7">
        <v>110</v>
      </c>
      <c r="G679" s="7">
        <v>38542</v>
      </c>
    </row>
    <row r="680" spans="1:7" ht="18" x14ac:dyDescent="0.2">
      <c r="A680" s="7" t="s">
        <v>37</v>
      </c>
      <c r="B680" s="7" t="s">
        <v>0</v>
      </c>
      <c r="C680" s="7" t="s">
        <v>5</v>
      </c>
      <c r="D680" s="7">
        <f t="shared" si="12"/>
        <v>427</v>
      </c>
      <c r="E680" s="7">
        <v>1699</v>
      </c>
      <c r="F680" s="7">
        <v>110</v>
      </c>
      <c r="G680" s="7">
        <v>39312</v>
      </c>
    </row>
    <row r="681" spans="1:7" ht="18" x14ac:dyDescent="0.2">
      <c r="A681" s="7" t="s">
        <v>37</v>
      </c>
      <c r="B681" s="7" t="s">
        <v>0</v>
      </c>
      <c r="C681" s="7" t="s">
        <v>5</v>
      </c>
      <c r="D681" s="7">
        <f t="shared" si="12"/>
        <v>434</v>
      </c>
      <c r="E681" s="7">
        <v>1700</v>
      </c>
      <c r="F681" s="7">
        <v>110</v>
      </c>
      <c r="G681" s="7">
        <v>40082</v>
      </c>
    </row>
    <row r="682" spans="1:7" ht="18" x14ac:dyDescent="0.2">
      <c r="A682" s="7" t="s">
        <v>37</v>
      </c>
      <c r="B682" s="7" t="s">
        <v>0</v>
      </c>
      <c r="C682" s="7" t="s">
        <v>5</v>
      </c>
      <c r="D682" s="7">
        <f t="shared" si="12"/>
        <v>441</v>
      </c>
      <c r="E682" s="7">
        <v>1702</v>
      </c>
      <c r="F682" s="7">
        <v>110</v>
      </c>
      <c r="G682" s="7">
        <v>40852</v>
      </c>
    </row>
    <row r="683" spans="1:7" ht="18" x14ac:dyDescent="0.2">
      <c r="A683" s="7" t="s">
        <v>37</v>
      </c>
      <c r="B683" s="7" t="s">
        <v>0</v>
      </c>
      <c r="C683" s="7" t="s">
        <v>5</v>
      </c>
      <c r="D683" s="7">
        <f t="shared" si="12"/>
        <v>448</v>
      </c>
      <c r="E683" s="7">
        <v>1703</v>
      </c>
      <c r="F683" s="7">
        <v>110</v>
      </c>
      <c r="G683" s="7">
        <v>41622</v>
      </c>
    </row>
    <row r="684" spans="1:7" ht="18" x14ac:dyDescent="0.2">
      <c r="A684" s="7" t="s">
        <v>37</v>
      </c>
      <c r="B684" s="7" t="s">
        <v>0</v>
      </c>
      <c r="C684" s="7" t="s">
        <v>5</v>
      </c>
      <c r="D684" s="7">
        <f t="shared" si="12"/>
        <v>455</v>
      </c>
      <c r="E684" s="7">
        <v>1704</v>
      </c>
      <c r="F684" s="7">
        <v>110</v>
      </c>
      <c r="G684" s="7">
        <v>42392</v>
      </c>
    </row>
    <row r="685" spans="1:7" ht="18" x14ac:dyDescent="0.2">
      <c r="A685" s="7" t="s">
        <v>37</v>
      </c>
      <c r="B685" s="7" t="s">
        <v>0</v>
      </c>
      <c r="C685" s="7" t="s">
        <v>5</v>
      </c>
      <c r="D685" s="7">
        <f t="shared" si="12"/>
        <v>462</v>
      </c>
      <c r="E685" s="7">
        <v>1705</v>
      </c>
      <c r="F685" s="7">
        <v>110</v>
      </c>
      <c r="G685" s="7">
        <v>43162</v>
      </c>
    </row>
    <row r="686" spans="1:7" ht="18" x14ac:dyDescent="0.2">
      <c r="A686" s="7" t="s">
        <v>37</v>
      </c>
      <c r="B686" s="7" t="s">
        <v>0</v>
      </c>
      <c r="C686" s="7" t="s">
        <v>5</v>
      </c>
      <c r="D686" s="7">
        <f t="shared" si="12"/>
        <v>469</v>
      </c>
      <c r="E686" s="7">
        <v>1706</v>
      </c>
      <c r="F686" s="7">
        <v>110</v>
      </c>
      <c r="G686" s="7">
        <v>43932</v>
      </c>
    </row>
    <row r="687" spans="1:7" ht="18" x14ac:dyDescent="0.2">
      <c r="A687" s="7" t="s">
        <v>37</v>
      </c>
      <c r="B687" s="7" t="s">
        <v>0</v>
      </c>
      <c r="C687" s="7" t="s">
        <v>5</v>
      </c>
      <c r="D687" s="7">
        <f t="shared" si="12"/>
        <v>476</v>
      </c>
      <c r="E687" s="7">
        <v>1707</v>
      </c>
      <c r="F687" s="7">
        <v>110</v>
      </c>
      <c r="G687" s="7">
        <v>44702</v>
      </c>
    </row>
    <row r="688" spans="1:7" ht="18" x14ac:dyDescent="0.2">
      <c r="A688" s="7" t="s">
        <v>37</v>
      </c>
      <c r="B688" s="7" t="s">
        <v>0</v>
      </c>
      <c r="C688" s="7" t="s">
        <v>5</v>
      </c>
      <c r="D688" s="7">
        <f t="shared" ref="D688:D719" si="13">D687+7</f>
        <v>483</v>
      </c>
      <c r="E688" s="7">
        <v>1708</v>
      </c>
      <c r="F688" s="7">
        <v>110</v>
      </c>
      <c r="G688" s="7">
        <v>45472</v>
      </c>
    </row>
    <row r="689" spans="1:7" ht="18" x14ac:dyDescent="0.2">
      <c r="A689" s="7" t="s">
        <v>37</v>
      </c>
      <c r="B689" s="7" t="s">
        <v>0</v>
      </c>
      <c r="C689" s="7" t="s">
        <v>5</v>
      </c>
      <c r="D689" s="7">
        <f t="shared" si="13"/>
        <v>490</v>
      </c>
      <c r="E689" s="7">
        <v>1709</v>
      </c>
      <c r="F689" s="7">
        <v>110</v>
      </c>
      <c r="G689" s="7">
        <v>46242</v>
      </c>
    </row>
    <row r="690" spans="1:7" ht="18" x14ac:dyDescent="0.2">
      <c r="A690" s="7" t="s">
        <v>37</v>
      </c>
      <c r="B690" s="7" t="s">
        <v>0</v>
      </c>
      <c r="C690" s="7" t="s">
        <v>5</v>
      </c>
      <c r="D690" s="7">
        <f t="shared" si="13"/>
        <v>497</v>
      </c>
      <c r="E690" s="7">
        <v>1709</v>
      </c>
      <c r="F690" s="7">
        <v>110</v>
      </c>
      <c r="G690" s="7">
        <v>47012</v>
      </c>
    </row>
    <row r="691" spans="1:7" ht="18" x14ac:dyDescent="0.2">
      <c r="A691" s="7" t="s">
        <v>37</v>
      </c>
      <c r="B691" s="7" t="s">
        <v>0</v>
      </c>
      <c r="C691" s="7" t="s">
        <v>5</v>
      </c>
      <c r="D691" s="7">
        <f t="shared" si="13"/>
        <v>504</v>
      </c>
      <c r="E691" s="7">
        <v>1710</v>
      </c>
      <c r="F691" s="7">
        <v>110</v>
      </c>
      <c r="G691" s="7">
        <v>47782</v>
      </c>
    </row>
    <row r="692" spans="1:7" ht="18" x14ac:dyDescent="0.2">
      <c r="A692" s="7" t="s">
        <v>37</v>
      </c>
      <c r="B692" s="7" t="s">
        <v>0</v>
      </c>
      <c r="C692" s="7" t="s">
        <v>5</v>
      </c>
      <c r="D692" s="7">
        <f t="shared" si="13"/>
        <v>511</v>
      </c>
      <c r="E692" s="7">
        <v>1711</v>
      </c>
      <c r="F692" s="7">
        <v>110</v>
      </c>
      <c r="G692" s="7">
        <v>48552</v>
      </c>
    </row>
    <row r="693" spans="1:7" ht="18" x14ac:dyDescent="0.2">
      <c r="A693" s="7" t="s">
        <v>37</v>
      </c>
      <c r="B693" s="7" t="s">
        <v>0</v>
      </c>
      <c r="C693" s="7" t="s">
        <v>5</v>
      </c>
      <c r="D693" s="7">
        <f t="shared" si="13"/>
        <v>518</v>
      </c>
      <c r="E693" s="7">
        <v>1712</v>
      </c>
      <c r="F693" s="7">
        <v>110</v>
      </c>
      <c r="G693" s="7">
        <v>49322</v>
      </c>
    </row>
    <row r="694" spans="1:7" ht="18" x14ac:dyDescent="0.2">
      <c r="A694" s="7" t="s">
        <v>37</v>
      </c>
      <c r="B694" s="7" t="s">
        <v>0</v>
      </c>
      <c r="C694" s="7" t="s">
        <v>5</v>
      </c>
      <c r="D694" s="7">
        <f t="shared" si="13"/>
        <v>525</v>
      </c>
      <c r="E694" s="7">
        <v>1713</v>
      </c>
      <c r="F694" s="7">
        <v>110</v>
      </c>
      <c r="G694" s="7">
        <v>50092</v>
      </c>
    </row>
    <row r="695" spans="1:7" ht="18" x14ac:dyDescent="0.2">
      <c r="A695" s="7" t="s">
        <v>37</v>
      </c>
      <c r="B695" s="7" t="s">
        <v>0</v>
      </c>
      <c r="C695" s="7" t="s">
        <v>5</v>
      </c>
      <c r="D695" s="7">
        <f t="shared" si="13"/>
        <v>532</v>
      </c>
      <c r="E695" s="7">
        <v>1714</v>
      </c>
      <c r="F695" s="7">
        <v>110</v>
      </c>
      <c r="G695" s="7">
        <v>50862</v>
      </c>
    </row>
    <row r="696" spans="1:7" ht="18" x14ac:dyDescent="0.2">
      <c r="A696" s="7" t="s">
        <v>37</v>
      </c>
      <c r="B696" s="7" t="s">
        <v>0</v>
      </c>
      <c r="C696" s="7" t="s">
        <v>5</v>
      </c>
      <c r="D696" s="7">
        <f t="shared" si="13"/>
        <v>539</v>
      </c>
      <c r="E696" s="7">
        <v>1714</v>
      </c>
      <c r="F696" s="7">
        <v>110</v>
      </c>
      <c r="G696" s="7">
        <v>51632</v>
      </c>
    </row>
    <row r="697" spans="1:7" ht="18" x14ac:dyDescent="0.2">
      <c r="A697" s="7" t="s">
        <v>37</v>
      </c>
      <c r="B697" s="7" t="s">
        <v>0</v>
      </c>
      <c r="C697" s="7" t="s">
        <v>5</v>
      </c>
      <c r="D697" s="7">
        <f t="shared" si="13"/>
        <v>546</v>
      </c>
      <c r="E697" s="7">
        <v>1715</v>
      </c>
      <c r="F697" s="7">
        <v>110</v>
      </c>
      <c r="G697" s="7">
        <v>52402</v>
      </c>
    </row>
    <row r="698" spans="1:7" ht="18" x14ac:dyDescent="0.2">
      <c r="A698" s="7" t="s">
        <v>37</v>
      </c>
      <c r="B698" s="7" t="s">
        <v>0</v>
      </c>
      <c r="C698" s="7" t="s">
        <v>5</v>
      </c>
      <c r="D698" s="7">
        <f t="shared" si="13"/>
        <v>553</v>
      </c>
      <c r="E698" s="7">
        <v>1716</v>
      </c>
      <c r="F698" s="7">
        <v>110</v>
      </c>
      <c r="G698" s="7">
        <v>53172</v>
      </c>
    </row>
    <row r="699" spans="1:7" ht="18" x14ac:dyDescent="0.2">
      <c r="A699" s="7" t="s">
        <v>37</v>
      </c>
      <c r="B699" s="7" t="s">
        <v>0</v>
      </c>
      <c r="C699" s="7" t="s">
        <v>5</v>
      </c>
      <c r="D699" s="7">
        <f t="shared" si="13"/>
        <v>560</v>
      </c>
      <c r="E699" s="7">
        <v>1716</v>
      </c>
      <c r="F699" s="7">
        <v>110</v>
      </c>
      <c r="G699" s="7">
        <v>53942</v>
      </c>
    </row>
    <row r="700" spans="1:7" ht="18" x14ac:dyDescent="0.2">
      <c r="A700" s="7" t="s">
        <v>37</v>
      </c>
      <c r="B700" s="7" t="s">
        <v>0</v>
      </c>
      <c r="C700" s="7" t="s">
        <v>5</v>
      </c>
      <c r="D700" s="7">
        <f t="shared" si="13"/>
        <v>567</v>
      </c>
      <c r="E700" s="7">
        <v>1717</v>
      </c>
      <c r="F700" s="7">
        <v>110</v>
      </c>
      <c r="G700" s="7">
        <v>54712</v>
      </c>
    </row>
    <row r="701" spans="1:7" ht="18" x14ac:dyDescent="0.2">
      <c r="A701" s="7" t="s">
        <v>37</v>
      </c>
      <c r="B701" s="7" t="s">
        <v>0</v>
      </c>
      <c r="C701" s="7" t="s">
        <v>5</v>
      </c>
      <c r="D701" s="7">
        <f t="shared" si="13"/>
        <v>574</v>
      </c>
      <c r="E701" s="7">
        <v>1718</v>
      </c>
      <c r="F701" s="7">
        <v>110</v>
      </c>
      <c r="G701" s="7">
        <v>55482</v>
      </c>
    </row>
    <row r="702" spans="1:7" ht="18" x14ac:dyDescent="0.2">
      <c r="A702" s="7" t="s">
        <v>37</v>
      </c>
      <c r="B702" s="7" t="s">
        <v>0</v>
      </c>
      <c r="C702" s="7" t="s">
        <v>5</v>
      </c>
      <c r="D702" s="7">
        <f t="shared" si="13"/>
        <v>581</v>
      </c>
      <c r="E702" s="7">
        <v>1718</v>
      </c>
      <c r="F702" s="7">
        <v>110</v>
      </c>
      <c r="G702" s="7">
        <v>56252</v>
      </c>
    </row>
    <row r="703" spans="1:7" ht="18" x14ac:dyDescent="0.2">
      <c r="A703" s="7" t="s">
        <v>37</v>
      </c>
      <c r="B703" s="7" t="s">
        <v>0</v>
      </c>
      <c r="C703" s="7" t="s">
        <v>5</v>
      </c>
      <c r="D703" s="7">
        <f t="shared" si="13"/>
        <v>588</v>
      </c>
      <c r="E703" s="7">
        <v>1719</v>
      </c>
      <c r="F703" s="7">
        <v>110</v>
      </c>
      <c r="G703" s="7">
        <v>57022</v>
      </c>
    </row>
    <row r="704" spans="1:7" ht="18" x14ac:dyDescent="0.2">
      <c r="A704" s="7" t="s">
        <v>37</v>
      </c>
      <c r="B704" s="7" t="s">
        <v>0</v>
      </c>
      <c r="C704" s="7" t="s">
        <v>5</v>
      </c>
      <c r="D704" s="7">
        <f t="shared" si="13"/>
        <v>595</v>
      </c>
      <c r="E704" s="7">
        <v>1719</v>
      </c>
      <c r="F704" s="7">
        <v>110</v>
      </c>
      <c r="G704" s="7">
        <v>57792</v>
      </c>
    </row>
    <row r="705" spans="1:7" ht="18" x14ac:dyDescent="0.2">
      <c r="A705" s="7" t="s">
        <v>37</v>
      </c>
      <c r="B705" s="7" t="s">
        <v>0</v>
      </c>
      <c r="C705" s="7" t="s">
        <v>5</v>
      </c>
      <c r="D705" s="7">
        <f t="shared" si="13"/>
        <v>602</v>
      </c>
      <c r="E705" s="7">
        <v>1720</v>
      </c>
      <c r="F705" s="7">
        <v>110</v>
      </c>
      <c r="G705" s="7">
        <v>58562</v>
      </c>
    </row>
    <row r="706" spans="1:7" ht="18" x14ac:dyDescent="0.2">
      <c r="A706" s="7" t="s">
        <v>37</v>
      </c>
      <c r="B706" s="7" t="s">
        <v>0</v>
      </c>
      <c r="C706" s="7" t="s">
        <v>5</v>
      </c>
      <c r="D706" s="7">
        <f t="shared" si="13"/>
        <v>609</v>
      </c>
      <c r="E706" s="7">
        <v>1720</v>
      </c>
      <c r="F706" s="7">
        <v>110</v>
      </c>
      <c r="G706" s="7">
        <v>59332</v>
      </c>
    </row>
    <row r="707" spans="1:7" ht="18" x14ac:dyDescent="0.2">
      <c r="A707" s="7" t="s">
        <v>37</v>
      </c>
      <c r="B707" s="7" t="s">
        <v>0</v>
      </c>
      <c r="C707" s="7" t="s">
        <v>5</v>
      </c>
      <c r="D707" s="7">
        <f t="shared" si="13"/>
        <v>616</v>
      </c>
      <c r="E707" s="7">
        <v>1721</v>
      </c>
      <c r="F707" s="7">
        <v>110</v>
      </c>
      <c r="G707" s="7">
        <v>60102</v>
      </c>
    </row>
    <row r="708" spans="1:7" ht="18" x14ac:dyDescent="0.2">
      <c r="A708" s="7" t="s">
        <v>37</v>
      </c>
      <c r="B708" s="7" t="s">
        <v>0</v>
      </c>
      <c r="C708" s="7" t="s">
        <v>5</v>
      </c>
      <c r="D708" s="7">
        <f t="shared" si="13"/>
        <v>623</v>
      </c>
      <c r="E708" s="7">
        <v>1721</v>
      </c>
      <c r="F708" s="7">
        <v>110</v>
      </c>
      <c r="G708" s="7">
        <v>60872</v>
      </c>
    </row>
    <row r="709" spans="1:7" ht="18" x14ac:dyDescent="0.2">
      <c r="A709" s="7" t="s">
        <v>37</v>
      </c>
      <c r="B709" s="7" t="s">
        <v>0</v>
      </c>
      <c r="C709" s="7" t="s">
        <v>5</v>
      </c>
      <c r="D709" s="7">
        <f t="shared" si="13"/>
        <v>630</v>
      </c>
      <c r="E709" s="7">
        <v>1722</v>
      </c>
      <c r="F709" s="7">
        <v>110</v>
      </c>
      <c r="G709" s="7">
        <v>61642</v>
      </c>
    </row>
    <row r="710" spans="1:7" ht="18" x14ac:dyDescent="0.2">
      <c r="A710" s="7" t="s">
        <v>37</v>
      </c>
      <c r="B710" s="7" t="s">
        <v>0</v>
      </c>
      <c r="C710" s="7" t="s">
        <v>5</v>
      </c>
      <c r="D710" s="7">
        <f t="shared" si="13"/>
        <v>637</v>
      </c>
      <c r="E710" s="7">
        <v>1722</v>
      </c>
      <c r="F710" s="7">
        <v>110</v>
      </c>
      <c r="G710" s="7">
        <v>62412</v>
      </c>
    </row>
    <row r="711" spans="1:7" ht="18" x14ac:dyDescent="0.2">
      <c r="A711" s="7" t="s">
        <v>37</v>
      </c>
      <c r="B711" s="7" t="s">
        <v>0</v>
      </c>
      <c r="C711" s="7" t="s">
        <v>5</v>
      </c>
      <c r="D711" s="7">
        <f t="shared" si="13"/>
        <v>644</v>
      </c>
      <c r="E711" s="7">
        <v>1723</v>
      </c>
      <c r="F711" s="7">
        <v>110</v>
      </c>
      <c r="G711" s="7">
        <v>63182</v>
      </c>
    </row>
    <row r="712" spans="1:7" ht="18" x14ac:dyDescent="0.2">
      <c r="A712" s="7" t="s">
        <v>37</v>
      </c>
      <c r="B712" s="7" t="s">
        <v>0</v>
      </c>
      <c r="C712" s="7" t="s">
        <v>5</v>
      </c>
      <c r="D712" s="7">
        <f t="shared" si="13"/>
        <v>651</v>
      </c>
      <c r="E712" s="7">
        <v>1723</v>
      </c>
      <c r="F712" s="7">
        <v>110</v>
      </c>
      <c r="G712" s="7">
        <v>63952</v>
      </c>
    </row>
    <row r="713" spans="1:7" ht="18" x14ac:dyDescent="0.2">
      <c r="A713" s="7" t="s">
        <v>37</v>
      </c>
      <c r="B713" s="7" t="s">
        <v>0</v>
      </c>
      <c r="C713" s="7" t="s">
        <v>5</v>
      </c>
      <c r="D713" s="7">
        <f t="shared" si="13"/>
        <v>658</v>
      </c>
      <c r="E713" s="7">
        <v>1724</v>
      </c>
      <c r="F713" s="7">
        <v>110</v>
      </c>
      <c r="G713" s="7">
        <v>64722</v>
      </c>
    </row>
    <row r="714" spans="1:7" ht="18" x14ac:dyDescent="0.2">
      <c r="A714" s="7" t="s">
        <v>37</v>
      </c>
      <c r="B714" s="7" t="s">
        <v>0</v>
      </c>
      <c r="C714" s="7" t="s">
        <v>5</v>
      </c>
      <c r="D714" s="7">
        <f t="shared" si="13"/>
        <v>665</v>
      </c>
      <c r="E714" s="7">
        <v>1724</v>
      </c>
      <c r="F714" s="7">
        <v>110</v>
      </c>
      <c r="G714" s="7">
        <v>65492</v>
      </c>
    </row>
    <row r="715" spans="1:7" ht="18" x14ac:dyDescent="0.2">
      <c r="A715" s="7" t="s">
        <v>37</v>
      </c>
      <c r="B715" s="7" t="s">
        <v>0</v>
      </c>
      <c r="C715" s="7" t="s">
        <v>5</v>
      </c>
      <c r="D715" s="7">
        <f t="shared" si="13"/>
        <v>672</v>
      </c>
      <c r="E715" s="7">
        <v>1725</v>
      </c>
      <c r="F715" s="7">
        <v>110</v>
      </c>
      <c r="G715" s="7">
        <v>66262</v>
      </c>
    </row>
    <row r="716" spans="1:7" ht="18" x14ac:dyDescent="0.2">
      <c r="A716" s="7" t="s">
        <v>37</v>
      </c>
      <c r="B716" s="7" t="s">
        <v>0</v>
      </c>
      <c r="C716" s="7" t="s">
        <v>5</v>
      </c>
      <c r="D716" s="7">
        <f t="shared" si="13"/>
        <v>679</v>
      </c>
      <c r="E716" s="7">
        <v>1725</v>
      </c>
      <c r="F716" s="7">
        <v>110</v>
      </c>
      <c r="G716" s="7">
        <v>67032</v>
      </c>
    </row>
    <row r="717" spans="1:7" ht="18" x14ac:dyDescent="0.2">
      <c r="A717" s="7" t="s">
        <v>37</v>
      </c>
      <c r="B717" s="7" t="s">
        <v>0</v>
      </c>
      <c r="C717" s="7" t="s">
        <v>5</v>
      </c>
      <c r="D717" s="7">
        <f t="shared" si="13"/>
        <v>686</v>
      </c>
      <c r="E717" s="7">
        <v>1726</v>
      </c>
      <c r="F717" s="7">
        <v>110</v>
      </c>
      <c r="G717" s="7">
        <v>67802</v>
      </c>
    </row>
    <row r="718" spans="1:7" ht="18" x14ac:dyDescent="0.2">
      <c r="A718" s="7" t="s">
        <v>37</v>
      </c>
      <c r="B718" s="7" t="s">
        <v>0</v>
      </c>
      <c r="C718" s="7" t="s">
        <v>5</v>
      </c>
      <c r="D718" s="7">
        <f t="shared" si="13"/>
        <v>693</v>
      </c>
      <c r="E718" s="7">
        <v>1726</v>
      </c>
      <c r="F718" s="7">
        <v>110</v>
      </c>
      <c r="G718" s="7">
        <v>68572</v>
      </c>
    </row>
    <row r="719" spans="1:7" ht="18" x14ac:dyDescent="0.2">
      <c r="A719" s="7" t="s">
        <v>37</v>
      </c>
      <c r="B719" s="7" t="s">
        <v>0</v>
      </c>
      <c r="C719" s="7" t="s">
        <v>5</v>
      </c>
      <c r="D719" s="7">
        <f t="shared" si="13"/>
        <v>700</v>
      </c>
      <c r="E719" s="7">
        <v>1727</v>
      </c>
      <c r="F719" s="7">
        <v>110</v>
      </c>
      <c r="G719" s="7">
        <v>69342</v>
      </c>
    </row>
    <row r="720" spans="1:7" ht="18" x14ac:dyDescent="0.2">
      <c r="A720" s="7" t="s">
        <v>37</v>
      </c>
      <c r="B720" s="7" t="s">
        <v>0</v>
      </c>
      <c r="C720" s="7" t="s">
        <v>7</v>
      </c>
      <c r="D720" s="7">
        <v>7</v>
      </c>
      <c r="E720" s="7">
        <v>75</v>
      </c>
      <c r="F720" s="7">
        <v>10</v>
      </c>
      <c r="G720" s="7">
        <v>70</v>
      </c>
    </row>
    <row r="721" spans="1:7" ht="18" x14ac:dyDescent="0.2">
      <c r="A721" s="7" t="s">
        <v>37</v>
      </c>
      <c r="B721" s="7" t="s">
        <v>0</v>
      </c>
      <c r="C721" s="7" t="s">
        <v>7</v>
      </c>
      <c r="D721" s="7">
        <v>14</v>
      </c>
      <c r="E721" s="7">
        <v>125</v>
      </c>
      <c r="F721" s="7">
        <v>15</v>
      </c>
      <c r="G721" s="7">
        <v>175</v>
      </c>
    </row>
    <row r="722" spans="1:7" ht="18" x14ac:dyDescent="0.2">
      <c r="A722" s="7" t="s">
        <v>37</v>
      </c>
      <c r="B722" s="7" t="s">
        <v>0</v>
      </c>
      <c r="C722" s="7" t="s">
        <v>7</v>
      </c>
      <c r="D722" s="7">
        <f>D721+7</f>
        <v>21</v>
      </c>
      <c r="E722" s="7">
        <v>191</v>
      </c>
      <c r="F722" s="7">
        <v>21</v>
      </c>
      <c r="G722" s="7">
        <v>322</v>
      </c>
    </row>
    <row r="723" spans="1:7" ht="18" x14ac:dyDescent="0.2">
      <c r="A723" s="7" t="s">
        <v>37</v>
      </c>
      <c r="B723" s="7" t="s">
        <v>0</v>
      </c>
      <c r="C723" s="7" t="s">
        <v>7</v>
      </c>
      <c r="D723" s="7">
        <f>D722+7</f>
        <v>28</v>
      </c>
      <c r="E723" s="7">
        <v>269</v>
      </c>
      <c r="F723" s="7">
        <v>27</v>
      </c>
      <c r="G723" s="7">
        <v>511</v>
      </c>
    </row>
    <row r="724" spans="1:7" ht="18" x14ac:dyDescent="0.2">
      <c r="A724" s="7" t="s">
        <v>37</v>
      </c>
      <c r="B724" s="7" t="s">
        <v>0</v>
      </c>
      <c r="C724" s="7" t="s">
        <v>7</v>
      </c>
      <c r="D724" s="7">
        <f t="shared" ref="D724:D787" si="14">D723+7</f>
        <v>35</v>
      </c>
      <c r="E724" s="7">
        <v>362</v>
      </c>
      <c r="F724" s="7">
        <v>33</v>
      </c>
      <c r="G724" s="7">
        <v>742</v>
      </c>
    </row>
    <row r="725" spans="1:7" ht="18" x14ac:dyDescent="0.2">
      <c r="A725" s="7" t="s">
        <v>37</v>
      </c>
      <c r="B725" s="7" t="s">
        <v>0</v>
      </c>
      <c r="C725" s="7" t="s">
        <v>7</v>
      </c>
      <c r="D725" s="7">
        <f t="shared" si="14"/>
        <v>42</v>
      </c>
      <c r="E725" s="7">
        <v>461</v>
      </c>
      <c r="F725" s="7">
        <v>38</v>
      </c>
      <c r="G725" s="7">
        <v>1008</v>
      </c>
    </row>
    <row r="726" spans="1:7" ht="18" x14ac:dyDescent="0.2">
      <c r="A726" s="7" t="s">
        <v>37</v>
      </c>
      <c r="B726" s="7" t="s">
        <v>0</v>
      </c>
      <c r="C726" s="7" t="s">
        <v>7</v>
      </c>
      <c r="D726" s="7">
        <f t="shared" si="14"/>
        <v>49</v>
      </c>
      <c r="E726" s="7">
        <v>560</v>
      </c>
      <c r="F726" s="7">
        <v>44</v>
      </c>
      <c r="G726" s="7">
        <v>1316</v>
      </c>
    </row>
    <row r="727" spans="1:7" ht="18" x14ac:dyDescent="0.2">
      <c r="A727" s="7" t="s">
        <v>37</v>
      </c>
      <c r="B727" s="7" t="s">
        <v>0</v>
      </c>
      <c r="C727" s="7" t="s">
        <v>7</v>
      </c>
      <c r="D727" s="7">
        <f t="shared" si="14"/>
        <v>56</v>
      </c>
      <c r="E727" s="7">
        <v>659</v>
      </c>
      <c r="F727" s="7">
        <v>49</v>
      </c>
      <c r="G727" s="7">
        <v>1659</v>
      </c>
    </row>
    <row r="728" spans="1:7" ht="18" x14ac:dyDescent="0.2">
      <c r="A728" s="7" t="s">
        <v>37</v>
      </c>
      <c r="B728" s="7" t="s">
        <v>0</v>
      </c>
      <c r="C728" s="7" t="s">
        <v>7</v>
      </c>
      <c r="D728" s="7">
        <f t="shared" si="14"/>
        <v>63</v>
      </c>
      <c r="E728" s="7">
        <v>754</v>
      </c>
      <c r="F728" s="7">
        <v>53</v>
      </c>
      <c r="G728" s="7">
        <v>2030</v>
      </c>
    </row>
    <row r="729" spans="1:7" ht="18" x14ac:dyDescent="0.2">
      <c r="A729" s="7" t="s">
        <v>37</v>
      </c>
      <c r="B729" s="7" t="s">
        <v>0</v>
      </c>
      <c r="C729" s="7" t="s">
        <v>7</v>
      </c>
      <c r="D729" s="7">
        <f t="shared" si="14"/>
        <v>70</v>
      </c>
      <c r="E729" s="7">
        <v>840</v>
      </c>
      <c r="F729" s="7">
        <v>57</v>
      </c>
      <c r="G729" s="7">
        <v>2429</v>
      </c>
    </row>
    <row r="730" spans="1:7" ht="18" x14ac:dyDescent="0.2">
      <c r="A730" s="7" t="s">
        <v>37</v>
      </c>
      <c r="B730" s="7" t="s">
        <v>0</v>
      </c>
      <c r="C730" s="7" t="s">
        <v>7</v>
      </c>
      <c r="D730" s="7">
        <f t="shared" si="14"/>
        <v>77</v>
      </c>
      <c r="E730" s="7">
        <v>913</v>
      </c>
      <c r="F730" s="7">
        <v>61</v>
      </c>
      <c r="G730" s="7">
        <v>2856</v>
      </c>
    </row>
    <row r="731" spans="1:7" ht="18" x14ac:dyDescent="0.2">
      <c r="A731" s="7" t="s">
        <v>37</v>
      </c>
      <c r="B731" s="7" t="s">
        <v>0</v>
      </c>
      <c r="C731" s="7" t="s">
        <v>7</v>
      </c>
      <c r="D731" s="7">
        <f t="shared" si="14"/>
        <v>84</v>
      </c>
      <c r="E731" s="7">
        <v>982</v>
      </c>
      <c r="F731" s="7">
        <v>64</v>
      </c>
      <c r="G731" s="7">
        <v>3304</v>
      </c>
    </row>
    <row r="732" spans="1:7" ht="18" x14ac:dyDescent="0.2">
      <c r="A732" s="7" t="s">
        <v>37</v>
      </c>
      <c r="B732" s="7" t="s">
        <v>0</v>
      </c>
      <c r="C732" s="7" t="s">
        <v>7</v>
      </c>
      <c r="D732" s="7">
        <f t="shared" si="14"/>
        <v>91</v>
      </c>
      <c r="E732" s="7">
        <v>1049</v>
      </c>
      <c r="F732" s="7">
        <v>67</v>
      </c>
      <c r="G732" s="7">
        <v>3773</v>
      </c>
    </row>
    <row r="733" spans="1:7" ht="18" x14ac:dyDescent="0.2">
      <c r="A733" s="7" t="s">
        <v>37</v>
      </c>
      <c r="B733" s="7" t="s">
        <v>0</v>
      </c>
      <c r="C733" s="7" t="s">
        <v>7</v>
      </c>
      <c r="D733" s="7">
        <f t="shared" si="14"/>
        <v>98</v>
      </c>
      <c r="E733" s="7">
        <v>1114</v>
      </c>
      <c r="F733" s="7">
        <v>70</v>
      </c>
      <c r="G733" s="7">
        <v>4263</v>
      </c>
    </row>
    <row r="734" spans="1:7" ht="18" x14ac:dyDescent="0.2">
      <c r="A734" s="7" t="s">
        <v>37</v>
      </c>
      <c r="B734" s="7" t="s">
        <v>0</v>
      </c>
      <c r="C734" s="7" t="s">
        <v>7</v>
      </c>
      <c r="D734" s="7">
        <f t="shared" si="14"/>
        <v>105</v>
      </c>
      <c r="E734" s="7">
        <v>1178</v>
      </c>
      <c r="F734" s="7">
        <v>73</v>
      </c>
      <c r="G734" s="7">
        <v>4774</v>
      </c>
    </row>
    <row r="735" spans="1:7" ht="18" x14ac:dyDescent="0.2">
      <c r="A735" s="7" t="s">
        <v>37</v>
      </c>
      <c r="B735" s="7" t="s">
        <v>0</v>
      </c>
      <c r="C735" s="7" t="s">
        <v>7</v>
      </c>
      <c r="D735" s="7">
        <f t="shared" si="14"/>
        <v>112</v>
      </c>
      <c r="E735" s="7">
        <v>1239</v>
      </c>
      <c r="F735" s="7">
        <v>77</v>
      </c>
      <c r="G735" s="7">
        <v>5313</v>
      </c>
    </row>
    <row r="736" spans="1:7" ht="18" x14ac:dyDescent="0.2">
      <c r="A736" s="7" t="s">
        <v>37</v>
      </c>
      <c r="B736" s="7" t="s">
        <v>0</v>
      </c>
      <c r="C736" s="7" t="s">
        <v>7</v>
      </c>
      <c r="D736" s="7">
        <f t="shared" si="14"/>
        <v>119</v>
      </c>
      <c r="E736" s="7">
        <v>1298</v>
      </c>
      <c r="F736" s="7">
        <v>81</v>
      </c>
      <c r="G736" s="7">
        <v>5880</v>
      </c>
    </row>
    <row r="737" spans="1:7" ht="18" x14ac:dyDescent="0.2">
      <c r="A737" s="7" t="s">
        <v>37</v>
      </c>
      <c r="B737" s="7" t="s">
        <v>0</v>
      </c>
      <c r="C737" s="7" t="s">
        <v>7</v>
      </c>
      <c r="D737" s="7">
        <f t="shared" si="14"/>
        <v>126</v>
      </c>
      <c r="E737" s="7">
        <v>1355</v>
      </c>
      <c r="F737" s="7">
        <v>86</v>
      </c>
      <c r="G737" s="7">
        <v>6482</v>
      </c>
    </row>
    <row r="738" spans="1:7" ht="18" x14ac:dyDescent="0.2">
      <c r="A738" s="7" t="s">
        <v>37</v>
      </c>
      <c r="B738" s="7" t="s">
        <v>0</v>
      </c>
      <c r="C738" s="7" t="s">
        <v>7</v>
      </c>
      <c r="D738" s="7">
        <f t="shared" si="14"/>
        <v>133</v>
      </c>
      <c r="E738" s="7">
        <v>1410</v>
      </c>
      <c r="F738" s="7">
        <v>92</v>
      </c>
      <c r="G738" s="7">
        <v>7126</v>
      </c>
    </row>
    <row r="739" spans="1:7" ht="18" x14ac:dyDescent="0.2">
      <c r="A739" s="7" t="s">
        <v>37</v>
      </c>
      <c r="B739" s="7" t="s">
        <v>0</v>
      </c>
      <c r="C739" s="7" t="s">
        <v>7</v>
      </c>
      <c r="D739" s="7">
        <f t="shared" si="14"/>
        <v>140</v>
      </c>
      <c r="E739" s="7">
        <v>1464</v>
      </c>
      <c r="F739" s="7">
        <v>98</v>
      </c>
      <c r="G739" s="7">
        <v>7812</v>
      </c>
    </row>
    <row r="740" spans="1:7" ht="18" x14ac:dyDescent="0.2">
      <c r="A740" s="7" t="s">
        <v>37</v>
      </c>
      <c r="B740" s="7" t="s">
        <v>0</v>
      </c>
      <c r="C740" s="7" t="s">
        <v>7</v>
      </c>
      <c r="D740" s="7">
        <f t="shared" si="14"/>
        <v>147</v>
      </c>
      <c r="E740" s="7">
        <v>1515</v>
      </c>
      <c r="F740" s="7">
        <v>103</v>
      </c>
      <c r="G740" s="7">
        <v>8533</v>
      </c>
    </row>
    <row r="741" spans="1:7" ht="18" x14ac:dyDescent="0.2">
      <c r="A741" s="7" t="s">
        <v>37</v>
      </c>
      <c r="B741" s="7" t="s">
        <v>0</v>
      </c>
      <c r="C741" s="7" t="s">
        <v>7</v>
      </c>
      <c r="D741" s="7">
        <f t="shared" si="14"/>
        <v>154</v>
      </c>
      <c r="E741" s="7">
        <v>1564</v>
      </c>
      <c r="F741" s="7">
        <v>107</v>
      </c>
      <c r="G741" s="7">
        <v>9282</v>
      </c>
    </row>
    <row r="742" spans="1:7" ht="18" x14ac:dyDescent="0.2">
      <c r="A742" s="7" t="s">
        <v>37</v>
      </c>
      <c r="B742" s="7" t="s">
        <v>0</v>
      </c>
      <c r="C742" s="7" t="s">
        <v>7</v>
      </c>
      <c r="D742" s="7">
        <f t="shared" si="14"/>
        <v>161</v>
      </c>
      <c r="E742" s="7">
        <v>1611</v>
      </c>
      <c r="F742" s="7">
        <v>110</v>
      </c>
      <c r="G742" s="7">
        <v>10052</v>
      </c>
    </row>
    <row r="743" spans="1:7" ht="18" x14ac:dyDescent="0.2">
      <c r="A743" s="7" t="s">
        <v>37</v>
      </c>
      <c r="B743" s="7" t="s">
        <v>0</v>
      </c>
      <c r="C743" s="7" t="s">
        <v>7</v>
      </c>
      <c r="D743" s="7">
        <f t="shared" si="14"/>
        <v>168</v>
      </c>
      <c r="E743" s="7">
        <v>1655</v>
      </c>
      <c r="F743" s="7">
        <v>110</v>
      </c>
      <c r="G743" s="7">
        <v>10822</v>
      </c>
    </row>
    <row r="744" spans="1:7" ht="18" x14ac:dyDescent="0.2">
      <c r="A744" s="7" t="s">
        <v>37</v>
      </c>
      <c r="B744" s="7" t="s">
        <v>0</v>
      </c>
      <c r="C744" s="7" t="s">
        <v>7</v>
      </c>
      <c r="D744" s="7">
        <f t="shared" si="14"/>
        <v>175</v>
      </c>
      <c r="E744" s="7">
        <v>1691</v>
      </c>
      <c r="F744" s="7">
        <v>110</v>
      </c>
      <c r="G744" s="7">
        <v>11592</v>
      </c>
    </row>
    <row r="745" spans="1:7" ht="18" x14ac:dyDescent="0.2">
      <c r="A745" s="7" t="s">
        <v>37</v>
      </c>
      <c r="B745" s="7" t="s">
        <v>0</v>
      </c>
      <c r="C745" s="7" t="s">
        <v>7</v>
      </c>
      <c r="D745" s="7">
        <f t="shared" si="14"/>
        <v>182</v>
      </c>
      <c r="E745" s="7">
        <v>1720</v>
      </c>
      <c r="F745" s="7">
        <v>110</v>
      </c>
      <c r="G745" s="7">
        <v>12362</v>
      </c>
    </row>
    <row r="746" spans="1:7" ht="18" x14ac:dyDescent="0.2">
      <c r="A746" s="7" t="s">
        <v>37</v>
      </c>
      <c r="B746" s="7" t="s">
        <v>0</v>
      </c>
      <c r="C746" s="7" t="s">
        <v>7</v>
      </c>
      <c r="D746" s="7">
        <f t="shared" si="14"/>
        <v>189</v>
      </c>
      <c r="E746" s="7">
        <v>1742</v>
      </c>
      <c r="F746" s="7">
        <v>110</v>
      </c>
      <c r="G746" s="7">
        <v>13132</v>
      </c>
    </row>
    <row r="747" spans="1:7" ht="18" x14ac:dyDescent="0.2">
      <c r="A747" s="7" t="s">
        <v>37</v>
      </c>
      <c r="B747" s="7" t="s">
        <v>0</v>
      </c>
      <c r="C747" s="7" t="s">
        <v>7</v>
      </c>
      <c r="D747" s="7">
        <f t="shared" si="14"/>
        <v>196</v>
      </c>
      <c r="E747" s="7">
        <v>1758</v>
      </c>
      <c r="F747" s="7">
        <v>110</v>
      </c>
      <c r="G747" s="7">
        <v>13902</v>
      </c>
    </row>
    <row r="748" spans="1:7" ht="18" x14ac:dyDescent="0.2">
      <c r="A748" s="7" t="s">
        <v>37</v>
      </c>
      <c r="B748" s="7" t="s">
        <v>0</v>
      </c>
      <c r="C748" s="7" t="s">
        <v>7</v>
      </c>
      <c r="D748" s="7">
        <f t="shared" si="14"/>
        <v>203</v>
      </c>
      <c r="E748" s="7">
        <v>1768</v>
      </c>
      <c r="F748" s="7">
        <v>110</v>
      </c>
      <c r="G748" s="7">
        <v>14672</v>
      </c>
    </row>
    <row r="749" spans="1:7" ht="18" x14ac:dyDescent="0.2">
      <c r="A749" s="7" t="s">
        <v>37</v>
      </c>
      <c r="B749" s="7" t="s">
        <v>0</v>
      </c>
      <c r="C749" s="7" t="s">
        <v>7</v>
      </c>
      <c r="D749" s="7">
        <f t="shared" si="14"/>
        <v>210</v>
      </c>
      <c r="E749" s="7">
        <v>1775</v>
      </c>
      <c r="F749" s="7">
        <v>110</v>
      </c>
      <c r="G749" s="7">
        <v>15442</v>
      </c>
    </row>
    <row r="750" spans="1:7" ht="18" x14ac:dyDescent="0.2">
      <c r="A750" s="7" t="s">
        <v>37</v>
      </c>
      <c r="B750" s="7" t="s">
        <v>0</v>
      </c>
      <c r="C750" s="7" t="s">
        <v>7</v>
      </c>
      <c r="D750" s="7">
        <f t="shared" si="14"/>
        <v>217</v>
      </c>
      <c r="E750" s="7">
        <v>1780</v>
      </c>
      <c r="F750" s="7">
        <v>110</v>
      </c>
      <c r="G750" s="7">
        <v>16212</v>
      </c>
    </row>
    <row r="751" spans="1:7" ht="18" x14ac:dyDescent="0.2">
      <c r="A751" s="7" t="s">
        <v>37</v>
      </c>
      <c r="B751" s="7" t="s">
        <v>0</v>
      </c>
      <c r="C751" s="7" t="s">
        <v>7</v>
      </c>
      <c r="D751" s="7">
        <f t="shared" si="14"/>
        <v>224</v>
      </c>
      <c r="E751" s="7">
        <v>1783</v>
      </c>
      <c r="F751" s="7">
        <v>110</v>
      </c>
      <c r="G751" s="7">
        <v>16982</v>
      </c>
    </row>
    <row r="752" spans="1:7" ht="18" x14ac:dyDescent="0.2">
      <c r="A752" s="7" t="s">
        <v>37</v>
      </c>
      <c r="B752" s="7" t="s">
        <v>0</v>
      </c>
      <c r="C752" s="7" t="s">
        <v>7</v>
      </c>
      <c r="D752" s="7">
        <f t="shared" si="14"/>
        <v>231</v>
      </c>
      <c r="E752" s="7">
        <v>1786</v>
      </c>
      <c r="F752" s="7">
        <v>110</v>
      </c>
      <c r="G752" s="7">
        <v>17752</v>
      </c>
    </row>
    <row r="753" spans="1:7" ht="18" x14ac:dyDescent="0.2">
      <c r="A753" s="7" t="s">
        <v>37</v>
      </c>
      <c r="B753" s="7" t="s">
        <v>0</v>
      </c>
      <c r="C753" s="7" t="s">
        <v>7</v>
      </c>
      <c r="D753" s="7">
        <f t="shared" si="14"/>
        <v>238</v>
      </c>
      <c r="E753" s="7">
        <v>1789</v>
      </c>
      <c r="F753" s="7">
        <v>110</v>
      </c>
      <c r="G753" s="7">
        <v>18522</v>
      </c>
    </row>
    <row r="754" spans="1:7" ht="18" x14ac:dyDescent="0.2">
      <c r="A754" s="7" t="s">
        <v>37</v>
      </c>
      <c r="B754" s="7" t="s">
        <v>0</v>
      </c>
      <c r="C754" s="7" t="s">
        <v>7</v>
      </c>
      <c r="D754" s="7">
        <f t="shared" si="14"/>
        <v>245</v>
      </c>
      <c r="E754" s="7">
        <v>1792</v>
      </c>
      <c r="F754" s="7">
        <v>110</v>
      </c>
      <c r="G754" s="7">
        <v>19292</v>
      </c>
    </row>
    <row r="755" spans="1:7" ht="18" x14ac:dyDescent="0.2">
      <c r="A755" s="7" t="s">
        <v>37</v>
      </c>
      <c r="B755" s="7" t="s">
        <v>0</v>
      </c>
      <c r="C755" s="7" t="s">
        <v>7</v>
      </c>
      <c r="D755" s="7">
        <f t="shared" si="14"/>
        <v>252</v>
      </c>
      <c r="E755" s="7">
        <v>1795</v>
      </c>
      <c r="F755" s="7">
        <v>110</v>
      </c>
      <c r="G755" s="7">
        <v>20062</v>
      </c>
    </row>
    <row r="756" spans="1:7" ht="18" x14ac:dyDescent="0.2">
      <c r="A756" s="7" t="s">
        <v>37</v>
      </c>
      <c r="B756" s="7" t="s">
        <v>0</v>
      </c>
      <c r="C756" s="7" t="s">
        <v>7</v>
      </c>
      <c r="D756" s="7">
        <f t="shared" si="14"/>
        <v>259</v>
      </c>
      <c r="E756" s="7">
        <v>1798</v>
      </c>
      <c r="F756" s="7">
        <v>110</v>
      </c>
      <c r="G756" s="7">
        <v>20832</v>
      </c>
    </row>
    <row r="757" spans="1:7" ht="18" x14ac:dyDescent="0.2">
      <c r="A757" s="7" t="s">
        <v>37</v>
      </c>
      <c r="B757" s="7" t="s">
        <v>0</v>
      </c>
      <c r="C757" s="7" t="s">
        <v>7</v>
      </c>
      <c r="D757" s="7">
        <f t="shared" si="14"/>
        <v>266</v>
      </c>
      <c r="E757" s="7">
        <v>1801</v>
      </c>
      <c r="F757" s="7">
        <v>110</v>
      </c>
      <c r="G757" s="7">
        <v>21602</v>
      </c>
    </row>
    <row r="758" spans="1:7" ht="18" x14ac:dyDescent="0.2">
      <c r="A758" s="7" t="s">
        <v>37</v>
      </c>
      <c r="B758" s="7" t="s">
        <v>0</v>
      </c>
      <c r="C758" s="7" t="s">
        <v>7</v>
      </c>
      <c r="D758" s="7">
        <f t="shared" si="14"/>
        <v>273</v>
      </c>
      <c r="E758" s="7">
        <v>1804</v>
      </c>
      <c r="F758" s="7">
        <v>110</v>
      </c>
      <c r="G758" s="7">
        <v>22372</v>
      </c>
    </row>
    <row r="759" spans="1:7" ht="18" x14ac:dyDescent="0.2">
      <c r="A759" s="7" t="s">
        <v>37</v>
      </c>
      <c r="B759" s="7" t="s">
        <v>0</v>
      </c>
      <c r="C759" s="7" t="s">
        <v>7</v>
      </c>
      <c r="D759" s="7">
        <f t="shared" si="14"/>
        <v>280</v>
      </c>
      <c r="E759" s="7">
        <v>1807</v>
      </c>
      <c r="F759" s="7">
        <v>110</v>
      </c>
      <c r="G759" s="7">
        <v>23142</v>
      </c>
    </row>
    <row r="760" spans="1:7" ht="18" x14ac:dyDescent="0.2">
      <c r="A760" s="7" t="s">
        <v>37</v>
      </c>
      <c r="B760" s="7" t="s">
        <v>0</v>
      </c>
      <c r="C760" s="7" t="s">
        <v>7</v>
      </c>
      <c r="D760" s="7">
        <f t="shared" si="14"/>
        <v>287</v>
      </c>
      <c r="E760" s="7">
        <v>1810</v>
      </c>
      <c r="F760" s="7">
        <v>110</v>
      </c>
      <c r="G760" s="7">
        <v>23912</v>
      </c>
    </row>
    <row r="761" spans="1:7" ht="18" x14ac:dyDescent="0.2">
      <c r="A761" s="7" t="s">
        <v>37</v>
      </c>
      <c r="B761" s="7" t="s">
        <v>0</v>
      </c>
      <c r="C761" s="7" t="s">
        <v>7</v>
      </c>
      <c r="D761" s="7">
        <f t="shared" si="14"/>
        <v>294</v>
      </c>
      <c r="E761" s="7">
        <v>1813</v>
      </c>
      <c r="F761" s="7">
        <v>110</v>
      </c>
      <c r="G761" s="7">
        <v>24682</v>
      </c>
    </row>
    <row r="762" spans="1:7" ht="18" x14ac:dyDescent="0.2">
      <c r="A762" s="7" t="s">
        <v>37</v>
      </c>
      <c r="B762" s="7" t="s">
        <v>0</v>
      </c>
      <c r="C762" s="7" t="s">
        <v>7</v>
      </c>
      <c r="D762" s="7">
        <f t="shared" si="14"/>
        <v>301</v>
      </c>
      <c r="E762" s="7">
        <v>1815</v>
      </c>
      <c r="F762" s="7">
        <v>110</v>
      </c>
      <c r="G762" s="7">
        <v>25452</v>
      </c>
    </row>
    <row r="763" spans="1:7" ht="18" x14ac:dyDescent="0.2">
      <c r="A763" s="7" t="s">
        <v>37</v>
      </c>
      <c r="B763" s="7" t="s">
        <v>0</v>
      </c>
      <c r="C763" s="7" t="s">
        <v>7</v>
      </c>
      <c r="D763" s="7">
        <f t="shared" si="14"/>
        <v>308</v>
      </c>
      <c r="E763" s="7">
        <v>1817</v>
      </c>
      <c r="F763" s="7">
        <v>110</v>
      </c>
      <c r="G763" s="7">
        <v>26222</v>
      </c>
    </row>
    <row r="764" spans="1:7" ht="18" x14ac:dyDescent="0.2">
      <c r="A764" s="7" t="s">
        <v>37</v>
      </c>
      <c r="B764" s="7" t="s">
        <v>0</v>
      </c>
      <c r="C764" s="7" t="s">
        <v>7</v>
      </c>
      <c r="D764" s="7">
        <f t="shared" si="14"/>
        <v>315</v>
      </c>
      <c r="E764" s="7">
        <v>1819</v>
      </c>
      <c r="F764" s="7">
        <v>110</v>
      </c>
      <c r="G764" s="7">
        <v>26992</v>
      </c>
    </row>
    <row r="765" spans="1:7" ht="18" x14ac:dyDescent="0.2">
      <c r="A765" s="7" t="s">
        <v>37</v>
      </c>
      <c r="B765" s="7" t="s">
        <v>0</v>
      </c>
      <c r="C765" s="7" t="s">
        <v>7</v>
      </c>
      <c r="D765" s="7">
        <f t="shared" si="14"/>
        <v>322</v>
      </c>
      <c r="E765" s="7">
        <v>1821</v>
      </c>
      <c r="F765" s="7">
        <v>110</v>
      </c>
      <c r="G765" s="7">
        <v>27762</v>
      </c>
    </row>
    <row r="766" spans="1:7" ht="18" x14ac:dyDescent="0.2">
      <c r="A766" s="7" t="s">
        <v>37</v>
      </c>
      <c r="B766" s="7" t="s">
        <v>0</v>
      </c>
      <c r="C766" s="7" t="s">
        <v>7</v>
      </c>
      <c r="D766" s="7">
        <f t="shared" si="14"/>
        <v>329</v>
      </c>
      <c r="E766" s="7">
        <v>1823</v>
      </c>
      <c r="F766" s="7">
        <v>110</v>
      </c>
      <c r="G766" s="7">
        <v>28532</v>
      </c>
    </row>
    <row r="767" spans="1:7" ht="18" x14ac:dyDescent="0.2">
      <c r="A767" s="7" t="s">
        <v>37</v>
      </c>
      <c r="B767" s="7" t="s">
        <v>0</v>
      </c>
      <c r="C767" s="7" t="s">
        <v>7</v>
      </c>
      <c r="D767" s="7">
        <f t="shared" si="14"/>
        <v>336</v>
      </c>
      <c r="E767" s="7">
        <v>1825</v>
      </c>
      <c r="F767" s="7">
        <v>110</v>
      </c>
      <c r="G767" s="7">
        <v>29302</v>
      </c>
    </row>
    <row r="768" spans="1:7" ht="18" x14ac:dyDescent="0.2">
      <c r="A768" s="7" t="s">
        <v>37</v>
      </c>
      <c r="B768" s="7" t="s">
        <v>0</v>
      </c>
      <c r="C768" s="7" t="s">
        <v>7</v>
      </c>
      <c r="D768" s="7">
        <f t="shared" si="14"/>
        <v>343</v>
      </c>
      <c r="E768" s="7">
        <v>1827</v>
      </c>
      <c r="F768" s="7">
        <v>110</v>
      </c>
      <c r="G768" s="7">
        <v>30072</v>
      </c>
    </row>
    <row r="769" spans="1:7" ht="18" x14ac:dyDescent="0.2">
      <c r="A769" s="7" t="s">
        <v>37</v>
      </c>
      <c r="B769" s="7" t="s">
        <v>0</v>
      </c>
      <c r="C769" s="7" t="s">
        <v>7</v>
      </c>
      <c r="D769" s="7">
        <f t="shared" si="14"/>
        <v>350</v>
      </c>
      <c r="E769" s="7">
        <v>1828</v>
      </c>
      <c r="F769" s="7">
        <v>110</v>
      </c>
      <c r="G769" s="7">
        <v>30842</v>
      </c>
    </row>
    <row r="770" spans="1:7" ht="18" x14ac:dyDescent="0.2">
      <c r="A770" s="7" t="s">
        <v>37</v>
      </c>
      <c r="B770" s="7" t="s">
        <v>0</v>
      </c>
      <c r="C770" s="7" t="s">
        <v>7</v>
      </c>
      <c r="D770" s="7">
        <f t="shared" si="14"/>
        <v>357</v>
      </c>
      <c r="E770" s="7">
        <v>1829</v>
      </c>
      <c r="F770" s="7">
        <v>110</v>
      </c>
      <c r="G770" s="7">
        <v>31612</v>
      </c>
    </row>
    <row r="771" spans="1:7" ht="18" x14ac:dyDescent="0.2">
      <c r="A771" s="7" t="s">
        <v>37</v>
      </c>
      <c r="B771" s="7" t="s">
        <v>0</v>
      </c>
      <c r="C771" s="7" t="s">
        <v>7</v>
      </c>
      <c r="D771" s="7">
        <f t="shared" si="14"/>
        <v>364</v>
      </c>
      <c r="E771" s="7">
        <v>1830</v>
      </c>
      <c r="F771" s="7">
        <v>110</v>
      </c>
      <c r="G771" s="7">
        <v>32382</v>
      </c>
    </row>
    <row r="772" spans="1:7" ht="18" x14ac:dyDescent="0.2">
      <c r="A772" s="7" t="s">
        <v>37</v>
      </c>
      <c r="B772" s="7" t="s">
        <v>0</v>
      </c>
      <c r="C772" s="7" t="s">
        <v>7</v>
      </c>
      <c r="D772" s="7">
        <f t="shared" si="14"/>
        <v>371</v>
      </c>
      <c r="E772" s="7">
        <v>1831</v>
      </c>
      <c r="F772" s="7">
        <v>110</v>
      </c>
      <c r="G772" s="7">
        <v>33152</v>
      </c>
    </row>
    <row r="773" spans="1:7" ht="18" x14ac:dyDescent="0.2">
      <c r="A773" s="7" t="s">
        <v>37</v>
      </c>
      <c r="B773" s="7" t="s">
        <v>0</v>
      </c>
      <c r="C773" s="7" t="s">
        <v>7</v>
      </c>
      <c r="D773" s="7">
        <f t="shared" si="14"/>
        <v>378</v>
      </c>
      <c r="E773" s="7">
        <v>1832</v>
      </c>
      <c r="F773" s="7">
        <v>110</v>
      </c>
      <c r="G773" s="7">
        <v>33922</v>
      </c>
    </row>
    <row r="774" spans="1:7" ht="18" x14ac:dyDescent="0.2">
      <c r="A774" s="7" t="s">
        <v>37</v>
      </c>
      <c r="B774" s="7" t="s">
        <v>0</v>
      </c>
      <c r="C774" s="7" t="s">
        <v>7</v>
      </c>
      <c r="D774" s="7">
        <f t="shared" si="14"/>
        <v>385</v>
      </c>
      <c r="E774" s="7">
        <v>1833</v>
      </c>
      <c r="F774" s="7">
        <v>110</v>
      </c>
      <c r="G774" s="7">
        <v>34692</v>
      </c>
    </row>
    <row r="775" spans="1:7" ht="18" x14ac:dyDescent="0.2">
      <c r="A775" s="7" t="s">
        <v>37</v>
      </c>
      <c r="B775" s="7" t="s">
        <v>0</v>
      </c>
      <c r="C775" s="7" t="s">
        <v>7</v>
      </c>
      <c r="D775" s="7">
        <f t="shared" si="14"/>
        <v>392</v>
      </c>
      <c r="E775" s="7">
        <v>1834</v>
      </c>
      <c r="F775" s="7">
        <v>110</v>
      </c>
      <c r="G775" s="7">
        <v>35462</v>
      </c>
    </row>
    <row r="776" spans="1:7" ht="18" x14ac:dyDescent="0.2">
      <c r="A776" s="7" t="s">
        <v>37</v>
      </c>
      <c r="B776" s="7" t="s">
        <v>0</v>
      </c>
      <c r="C776" s="7" t="s">
        <v>7</v>
      </c>
      <c r="D776" s="7">
        <f t="shared" si="14"/>
        <v>399</v>
      </c>
      <c r="E776" s="7">
        <v>1835</v>
      </c>
      <c r="F776" s="7">
        <v>110</v>
      </c>
      <c r="G776" s="7">
        <v>36232</v>
      </c>
    </row>
    <row r="777" spans="1:7" ht="18" x14ac:dyDescent="0.2">
      <c r="A777" s="7" t="s">
        <v>37</v>
      </c>
      <c r="B777" s="7" t="s">
        <v>0</v>
      </c>
      <c r="C777" s="7" t="s">
        <v>7</v>
      </c>
      <c r="D777" s="7">
        <f t="shared" si="14"/>
        <v>406</v>
      </c>
      <c r="E777" s="7">
        <v>1836</v>
      </c>
      <c r="F777" s="7">
        <v>110</v>
      </c>
      <c r="G777" s="7">
        <v>37002</v>
      </c>
    </row>
    <row r="778" spans="1:7" ht="18" x14ac:dyDescent="0.2">
      <c r="A778" s="7" t="s">
        <v>37</v>
      </c>
      <c r="B778" s="7" t="s">
        <v>0</v>
      </c>
      <c r="C778" s="7" t="s">
        <v>7</v>
      </c>
      <c r="D778" s="7">
        <f t="shared" si="14"/>
        <v>413</v>
      </c>
      <c r="E778" s="7">
        <v>1837</v>
      </c>
      <c r="F778" s="7">
        <v>110</v>
      </c>
      <c r="G778" s="7">
        <v>37772</v>
      </c>
    </row>
    <row r="779" spans="1:7" ht="18" x14ac:dyDescent="0.2">
      <c r="A779" s="7" t="s">
        <v>37</v>
      </c>
      <c r="B779" s="7" t="s">
        <v>0</v>
      </c>
      <c r="C779" s="7" t="s">
        <v>7</v>
      </c>
      <c r="D779" s="7">
        <f t="shared" si="14"/>
        <v>420</v>
      </c>
      <c r="E779" s="7">
        <v>1838</v>
      </c>
      <c r="F779" s="7">
        <v>110</v>
      </c>
      <c r="G779" s="7">
        <v>38542</v>
      </c>
    </row>
    <row r="780" spans="1:7" ht="18" x14ac:dyDescent="0.2">
      <c r="A780" s="7" t="s">
        <v>37</v>
      </c>
      <c r="B780" s="7" t="s">
        <v>0</v>
      </c>
      <c r="C780" s="7" t="s">
        <v>7</v>
      </c>
      <c r="D780" s="7">
        <f t="shared" si="14"/>
        <v>427</v>
      </c>
      <c r="E780" s="7">
        <v>1839</v>
      </c>
      <c r="F780" s="7">
        <v>110</v>
      </c>
      <c r="G780" s="7">
        <v>39312</v>
      </c>
    </row>
    <row r="781" spans="1:7" ht="18" x14ac:dyDescent="0.2">
      <c r="A781" s="7" t="s">
        <v>37</v>
      </c>
      <c r="B781" s="7" t="s">
        <v>0</v>
      </c>
      <c r="C781" s="7" t="s">
        <v>7</v>
      </c>
      <c r="D781" s="7">
        <f t="shared" si="14"/>
        <v>434</v>
      </c>
      <c r="E781" s="7">
        <v>1840</v>
      </c>
      <c r="F781" s="7">
        <v>110</v>
      </c>
      <c r="G781" s="7">
        <v>40082</v>
      </c>
    </row>
    <row r="782" spans="1:7" ht="18" x14ac:dyDescent="0.2">
      <c r="A782" s="7" t="s">
        <v>37</v>
      </c>
      <c r="B782" s="7" t="s">
        <v>0</v>
      </c>
      <c r="C782" s="7" t="s">
        <v>7</v>
      </c>
      <c r="D782" s="7">
        <f t="shared" si="14"/>
        <v>441</v>
      </c>
      <c r="E782" s="7">
        <v>1841</v>
      </c>
      <c r="F782" s="7">
        <v>110</v>
      </c>
      <c r="G782" s="7">
        <v>40852</v>
      </c>
    </row>
    <row r="783" spans="1:7" ht="18" x14ac:dyDescent="0.2">
      <c r="A783" s="7" t="s">
        <v>37</v>
      </c>
      <c r="B783" s="7" t="s">
        <v>0</v>
      </c>
      <c r="C783" s="7" t="s">
        <v>7</v>
      </c>
      <c r="D783" s="7">
        <f t="shared" si="14"/>
        <v>448</v>
      </c>
      <c r="E783" s="7">
        <v>1842</v>
      </c>
      <c r="F783" s="7">
        <v>110</v>
      </c>
      <c r="G783" s="7">
        <v>41622</v>
      </c>
    </row>
    <row r="784" spans="1:7" ht="18" x14ac:dyDescent="0.2">
      <c r="A784" s="7" t="s">
        <v>37</v>
      </c>
      <c r="B784" s="7" t="s">
        <v>0</v>
      </c>
      <c r="C784" s="7" t="s">
        <v>7</v>
      </c>
      <c r="D784" s="7">
        <f t="shared" si="14"/>
        <v>455</v>
      </c>
      <c r="E784" s="7">
        <v>1843</v>
      </c>
      <c r="F784" s="7">
        <v>110</v>
      </c>
      <c r="G784" s="7">
        <v>42392</v>
      </c>
    </row>
    <row r="785" spans="1:7" ht="18" x14ac:dyDescent="0.2">
      <c r="A785" s="7" t="s">
        <v>37</v>
      </c>
      <c r="B785" s="7" t="s">
        <v>0</v>
      </c>
      <c r="C785" s="7" t="s">
        <v>7</v>
      </c>
      <c r="D785" s="7">
        <f t="shared" si="14"/>
        <v>462</v>
      </c>
      <c r="E785" s="7">
        <v>1844</v>
      </c>
      <c r="F785" s="7">
        <v>110</v>
      </c>
      <c r="G785" s="7">
        <v>43162</v>
      </c>
    </row>
    <row r="786" spans="1:7" ht="18" x14ac:dyDescent="0.2">
      <c r="A786" s="7" t="s">
        <v>37</v>
      </c>
      <c r="B786" s="7" t="s">
        <v>0</v>
      </c>
      <c r="C786" s="7" t="s">
        <v>7</v>
      </c>
      <c r="D786" s="7">
        <f t="shared" si="14"/>
        <v>469</v>
      </c>
      <c r="E786" s="7">
        <v>1845</v>
      </c>
      <c r="F786" s="7">
        <v>110</v>
      </c>
      <c r="G786" s="7">
        <v>43932</v>
      </c>
    </row>
    <row r="787" spans="1:7" ht="18" x14ac:dyDescent="0.2">
      <c r="A787" s="7" t="s">
        <v>37</v>
      </c>
      <c r="B787" s="7" t="s">
        <v>0</v>
      </c>
      <c r="C787" s="7" t="s">
        <v>7</v>
      </c>
      <c r="D787" s="7">
        <f t="shared" si="14"/>
        <v>476</v>
      </c>
      <c r="E787" s="7">
        <v>1846</v>
      </c>
      <c r="F787" s="7">
        <v>110</v>
      </c>
      <c r="G787" s="7">
        <v>44702</v>
      </c>
    </row>
    <row r="788" spans="1:7" ht="18" x14ac:dyDescent="0.2">
      <c r="A788" s="7" t="s">
        <v>37</v>
      </c>
      <c r="B788" s="7" t="s">
        <v>0</v>
      </c>
      <c r="C788" s="7" t="s">
        <v>7</v>
      </c>
      <c r="D788" s="7">
        <f t="shared" ref="D788:D819" si="15">D787+7</f>
        <v>483</v>
      </c>
      <c r="E788" s="7">
        <v>1847</v>
      </c>
      <c r="F788" s="7">
        <v>110</v>
      </c>
      <c r="G788" s="7">
        <v>45472</v>
      </c>
    </row>
    <row r="789" spans="1:7" ht="18" x14ac:dyDescent="0.2">
      <c r="A789" s="7" t="s">
        <v>37</v>
      </c>
      <c r="B789" s="7" t="s">
        <v>0</v>
      </c>
      <c r="C789" s="7" t="s">
        <v>7</v>
      </c>
      <c r="D789" s="7">
        <f t="shared" si="15"/>
        <v>490</v>
      </c>
      <c r="E789" s="7">
        <v>1848</v>
      </c>
      <c r="F789" s="7">
        <v>110</v>
      </c>
      <c r="G789" s="7">
        <v>46242</v>
      </c>
    </row>
    <row r="790" spans="1:7" ht="18" x14ac:dyDescent="0.2">
      <c r="A790" s="7" t="s">
        <v>37</v>
      </c>
      <c r="B790" s="7" t="s">
        <v>0</v>
      </c>
      <c r="C790" s="7" t="s">
        <v>7</v>
      </c>
      <c r="D790" s="7">
        <f t="shared" si="15"/>
        <v>497</v>
      </c>
      <c r="E790" s="7">
        <v>1849</v>
      </c>
      <c r="F790" s="7">
        <v>110</v>
      </c>
      <c r="G790" s="7">
        <v>47012</v>
      </c>
    </row>
    <row r="791" spans="1:7" ht="18" x14ac:dyDescent="0.2">
      <c r="A791" s="7" t="s">
        <v>37</v>
      </c>
      <c r="B791" s="7" t="s">
        <v>0</v>
      </c>
      <c r="C791" s="7" t="s">
        <v>7</v>
      </c>
      <c r="D791" s="7">
        <f t="shared" si="15"/>
        <v>504</v>
      </c>
      <c r="E791" s="7">
        <v>1850</v>
      </c>
      <c r="F791" s="7">
        <v>110</v>
      </c>
      <c r="G791" s="7">
        <v>47782</v>
      </c>
    </row>
    <row r="792" spans="1:7" ht="18" x14ac:dyDescent="0.2">
      <c r="A792" s="7" t="s">
        <v>37</v>
      </c>
      <c r="B792" s="7" t="s">
        <v>0</v>
      </c>
      <c r="C792" s="7" t="s">
        <v>7</v>
      </c>
      <c r="D792" s="7">
        <f t="shared" si="15"/>
        <v>511</v>
      </c>
      <c r="E792" s="7">
        <v>1851</v>
      </c>
      <c r="F792" s="7">
        <v>110</v>
      </c>
      <c r="G792" s="7">
        <v>48552</v>
      </c>
    </row>
    <row r="793" spans="1:7" ht="18" x14ac:dyDescent="0.2">
      <c r="A793" s="7" t="s">
        <v>37</v>
      </c>
      <c r="B793" s="7" t="s">
        <v>0</v>
      </c>
      <c r="C793" s="7" t="s">
        <v>7</v>
      </c>
      <c r="D793" s="7">
        <f t="shared" si="15"/>
        <v>518</v>
      </c>
      <c r="E793" s="7">
        <v>1852</v>
      </c>
      <c r="F793" s="7">
        <v>110</v>
      </c>
      <c r="G793" s="7">
        <v>49322</v>
      </c>
    </row>
    <row r="794" spans="1:7" ht="18" x14ac:dyDescent="0.2">
      <c r="A794" s="7" t="s">
        <v>37</v>
      </c>
      <c r="B794" s="7" t="s">
        <v>0</v>
      </c>
      <c r="C794" s="7" t="s">
        <v>7</v>
      </c>
      <c r="D794" s="7">
        <f t="shared" si="15"/>
        <v>525</v>
      </c>
      <c r="E794" s="7">
        <v>1853</v>
      </c>
      <c r="F794" s="7">
        <v>110</v>
      </c>
      <c r="G794" s="7">
        <v>50092</v>
      </c>
    </row>
    <row r="795" spans="1:7" ht="18" x14ac:dyDescent="0.2">
      <c r="A795" s="7" t="s">
        <v>37</v>
      </c>
      <c r="B795" s="7" t="s">
        <v>0</v>
      </c>
      <c r="C795" s="7" t="s">
        <v>7</v>
      </c>
      <c r="D795" s="7">
        <f t="shared" si="15"/>
        <v>532</v>
      </c>
      <c r="E795" s="7">
        <v>1854</v>
      </c>
      <c r="F795" s="7">
        <v>110</v>
      </c>
      <c r="G795" s="7">
        <v>50862</v>
      </c>
    </row>
    <row r="796" spans="1:7" ht="18" x14ac:dyDescent="0.2">
      <c r="A796" s="7" t="s">
        <v>37</v>
      </c>
      <c r="B796" s="7" t="s">
        <v>0</v>
      </c>
      <c r="C796" s="7" t="s">
        <v>7</v>
      </c>
      <c r="D796" s="7">
        <f t="shared" si="15"/>
        <v>539</v>
      </c>
      <c r="E796" s="7">
        <v>1855</v>
      </c>
      <c r="F796" s="7">
        <v>110</v>
      </c>
      <c r="G796" s="7">
        <v>51632</v>
      </c>
    </row>
    <row r="797" spans="1:7" ht="18" x14ac:dyDescent="0.2">
      <c r="A797" s="7" t="s">
        <v>37</v>
      </c>
      <c r="B797" s="7" t="s">
        <v>0</v>
      </c>
      <c r="C797" s="7" t="s">
        <v>7</v>
      </c>
      <c r="D797" s="7">
        <f t="shared" si="15"/>
        <v>546</v>
      </c>
      <c r="E797" s="7">
        <v>1856</v>
      </c>
      <c r="F797" s="7">
        <v>110</v>
      </c>
      <c r="G797" s="7">
        <v>52402</v>
      </c>
    </row>
    <row r="798" spans="1:7" ht="18" x14ac:dyDescent="0.2">
      <c r="A798" s="7" t="s">
        <v>37</v>
      </c>
      <c r="B798" s="7" t="s">
        <v>0</v>
      </c>
      <c r="C798" s="7" t="s">
        <v>7</v>
      </c>
      <c r="D798" s="7">
        <f t="shared" si="15"/>
        <v>553</v>
      </c>
      <c r="E798" s="7">
        <v>1857</v>
      </c>
      <c r="F798" s="7">
        <v>110</v>
      </c>
      <c r="G798" s="7">
        <v>53172</v>
      </c>
    </row>
    <row r="799" spans="1:7" ht="18" x14ac:dyDescent="0.2">
      <c r="A799" s="7" t="s">
        <v>37</v>
      </c>
      <c r="B799" s="7" t="s">
        <v>0</v>
      </c>
      <c r="C799" s="7" t="s">
        <v>7</v>
      </c>
      <c r="D799" s="7">
        <f t="shared" si="15"/>
        <v>560</v>
      </c>
      <c r="E799" s="7">
        <v>1858</v>
      </c>
      <c r="F799" s="7">
        <v>110</v>
      </c>
      <c r="G799" s="7">
        <v>53942</v>
      </c>
    </row>
    <row r="800" spans="1:7" ht="18" x14ac:dyDescent="0.2">
      <c r="A800" s="7" t="s">
        <v>37</v>
      </c>
      <c r="B800" s="7" t="s">
        <v>0</v>
      </c>
      <c r="C800" s="7" t="s">
        <v>7</v>
      </c>
      <c r="D800" s="7">
        <f t="shared" si="15"/>
        <v>567</v>
      </c>
      <c r="E800" s="7">
        <v>1859</v>
      </c>
      <c r="F800" s="7">
        <v>110</v>
      </c>
      <c r="G800" s="7">
        <v>54712</v>
      </c>
    </row>
    <row r="801" spans="1:7" ht="18" x14ac:dyDescent="0.2">
      <c r="A801" s="7" t="s">
        <v>37</v>
      </c>
      <c r="B801" s="7" t="s">
        <v>0</v>
      </c>
      <c r="C801" s="7" t="s">
        <v>7</v>
      </c>
      <c r="D801" s="7">
        <f t="shared" si="15"/>
        <v>574</v>
      </c>
      <c r="E801" s="7">
        <v>1860</v>
      </c>
      <c r="F801" s="7">
        <v>110</v>
      </c>
      <c r="G801" s="7">
        <v>55482</v>
      </c>
    </row>
    <row r="802" spans="1:7" ht="18" x14ac:dyDescent="0.2">
      <c r="A802" s="7" t="s">
        <v>37</v>
      </c>
      <c r="B802" s="7" t="s">
        <v>0</v>
      </c>
      <c r="C802" s="7" t="s">
        <v>7</v>
      </c>
      <c r="D802" s="7">
        <f t="shared" si="15"/>
        <v>581</v>
      </c>
      <c r="E802" s="7">
        <v>1861</v>
      </c>
      <c r="F802" s="7">
        <v>110</v>
      </c>
      <c r="G802" s="7">
        <v>56252</v>
      </c>
    </row>
    <row r="803" spans="1:7" ht="18" x14ac:dyDescent="0.2">
      <c r="A803" s="7" t="s">
        <v>37</v>
      </c>
      <c r="B803" s="7" t="s">
        <v>0</v>
      </c>
      <c r="C803" s="7" t="s">
        <v>7</v>
      </c>
      <c r="D803" s="7">
        <f t="shared" si="15"/>
        <v>588</v>
      </c>
      <c r="E803" s="7">
        <v>1862</v>
      </c>
      <c r="F803" s="7">
        <v>110</v>
      </c>
      <c r="G803" s="7">
        <v>57022</v>
      </c>
    </row>
    <row r="804" spans="1:7" ht="18" x14ac:dyDescent="0.2">
      <c r="A804" s="7" t="s">
        <v>37</v>
      </c>
      <c r="B804" s="7" t="s">
        <v>0</v>
      </c>
      <c r="C804" s="7" t="s">
        <v>7</v>
      </c>
      <c r="D804" s="7">
        <f t="shared" si="15"/>
        <v>595</v>
      </c>
      <c r="E804" s="7">
        <v>1863</v>
      </c>
      <c r="F804" s="7">
        <v>110</v>
      </c>
      <c r="G804" s="7">
        <v>57792</v>
      </c>
    </row>
    <row r="805" spans="1:7" ht="18" x14ac:dyDescent="0.2">
      <c r="A805" s="7" t="s">
        <v>37</v>
      </c>
      <c r="B805" s="7" t="s">
        <v>0</v>
      </c>
      <c r="C805" s="7" t="s">
        <v>7</v>
      </c>
      <c r="D805" s="7">
        <f t="shared" si="15"/>
        <v>602</v>
      </c>
      <c r="E805" s="7">
        <v>1864</v>
      </c>
      <c r="F805" s="7">
        <v>110</v>
      </c>
      <c r="G805" s="7">
        <v>58562</v>
      </c>
    </row>
    <row r="806" spans="1:7" ht="18" x14ac:dyDescent="0.2">
      <c r="A806" s="7" t="s">
        <v>37</v>
      </c>
      <c r="B806" s="7" t="s">
        <v>0</v>
      </c>
      <c r="C806" s="7" t="s">
        <v>7</v>
      </c>
      <c r="D806" s="7">
        <f t="shared" si="15"/>
        <v>609</v>
      </c>
      <c r="E806" s="7">
        <v>1865</v>
      </c>
      <c r="F806" s="7">
        <v>110</v>
      </c>
      <c r="G806" s="7">
        <v>59332</v>
      </c>
    </row>
    <row r="807" spans="1:7" ht="18" x14ac:dyDescent="0.2">
      <c r="A807" s="7" t="s">
        <v>37</v>
      </c>
      <c r="B807" s="7" t="s">
        <v>0</v>
      </c>
      <c r="C807" s="7" t="s">
        <v>7</v>
      </c>
      <c r="D807" s="7">
        <f t="shared" si="15"/>
        <v>616</v>
      </c>
      <c r="E807" s="7">
        <v>1866</v>
      </c>
      <c r="F807" s="7">
        <v>110</v>
      </c>
      <c r="G807" s="7">
        <v>60102</v>
      </c>
    </row>
    <row r="808" spans="1:7" ht="18" x14ac:dyDescent="0.2">
      <c r="A808" s="7" t="s">
        <v>37</v>
      </c>
      <c r="B808" s="7" t="s">
        <v>0</v>
      </c>
      <c r="C808" s="7" t="s">
        <v>7</v>
      </c>
      <c r="D808" s="7">
        <f t="shared" si="15"/>
        <v>623</v>
      </c>
      <c r="E808" s="7">
        <v>1867</v>
      </c>
      <c r="F808" s="7">
        <v>110</v>
      </c>
      <c r="G808" s="7">
        <v>60872</v>
      </c>
    </row>
    <row r="809" spans="1:7" ht="18" x14ac:dyDescent="0.2">
      <c r="A809" s="7" t="s">
        <v>37</v>
      </c>
      <c r="B809" s="7" t="s">
        <v>0</v>
      </c>
      <c r="C809" s="7" t="s">
        <v>7</v>
      </c>
      <c r="D809" s="7">
        <f t="shared" si="15"/>
        <v>630</v>
      </c>
      <c r="E809" s="7">
        <v>1868</v>
      </c>
      <c r="F809" s="7">
        <v>110</v>
      </c>
      <c r="G809" s="7">
        <v>61642</v>
      </c>
    </row>
    <row r="810" spans="1:7" ht="18" x14ac:dyDescent="0.2">
      <c r="A810" s="7" t="s">
        <v>37</v>
      </c>
      <c r="B810" s="7" t="s">
        <v>0</v>
      </c>
      <c r="C810" s="7" t="s">
        <v>7</v>
      </c>
      <c r="D810" s="7">
        <f t="shared" si="15"/>
        <v>637</v>
      </c>
      <c r="E810" s="7">
        <v>1869</v>
      </c>
      <c r="F810" s="7">
        <v>110</v>
      </c>
      <c r="G810" s="7">
        <v>62412</v>
      </c>
    </row>
    <row r="811" spans="1:7" ht="18" x14ac:dyDescent="0.2">
      <c r="A811" s="7" t="s">
        <v>37</v>
      </c>
      <c r="B811" s="7" t="s">
        <v>0</v>
      </c>
      <c r="C811" s="7" t="s">
        <v>7</v>
      </c>
      <c r="D811" s="7">
        <f t="shared" si="15"/>
        <v>644</v>
      </c>
      <c r="E811" s="7">
        <v>1870</v>
      </c>
      <c r="F811" s="7">
        <v>110</v>
      </c>
      <c r="G811" s="7">
        <v>63182</v>
      </c>
    </row>
    <row r="812" spans="1:7" ht="18" x14ac:dyDescent="0.2">
      <c r="A812" s="7" t="s">
        <v>37</v>
      </c>
      <c r="B812" s="7" t="s">
        <v>0</v>
      </c>
      <c r="C812" s="7" t="s">
        <v>7</v>
      </c>
      <c r="D812" s="7">
        <f t="shared" si="15"/>
        <v>651</v>
      </c>
      <c r="E812" s="7">
        <v>1871</v>
      </c>
      <c r="F812" s="7">
        <v>110</v>
      </c>
      <c r="G812" s="7">
        <v>63952</v>
      </c>
    </row>
    <row r="813" spans="1:7" ht="18" x14ac:dyDescent="0.2">
      <c r="A813" s="7" t="s">
        <v>37</v>
      </c>
      <c r="B813" s="7" t="s">
        <v>0</v>
      </c>
      <c r="C813" s="7" t="s">
        <v>7</v>
      </c>
      <c r="D813" s="7">
        <f t="shared" si="15"/>
        <v>658</v>
      </c>
      <c r="E813" s="7">
        <v>1872</v>
      </c>
      <c r="F813" s="7">
        <v>110</v>
      </c>
      <c r="G813" s="7">
        <v>64722</v>
      </c>
    </row>
    <row r="814" spans="1:7" ht="18" x14ac:dyDescent="0.2">
      <c r="A814" s="7" t="s">
        <v>37</v>
      </c>
      <c r="B814" s="7" t="s">
        <v>0</v>
      </c>
      <c r="C814" s="7" t="s">
        <v>7</v>
      </c>
      <c r="D814" s="7">
        <f t="shared" si="15"/>
        <v>665</v>
      </c>
      <c r="E814" s="7">
        <v>1873</v>
      </c>
      <c r="F814" s="7">
        <v>110</v>
      </c>
      <c r="G814" s="7">
        <v>65492</v>
      </c>
    </row>
    <row r="815" spans="1:7" ht="18" x14ac:dyDescent="0.2">
      <c r="A815" s="7" t="s">
        <v>37</v>
      </c>
      <c r="B815" s="7" t="s">
        <v>0</v>
      </c>
      <c r="C815" s="7" t="s">
        <v>7</v>
      </c>
      <c r="D815" s="7">
        <f t="shared" si="15"/>
        <v>672</v>
      </c>
      <c r="E815" s="7">
        <v>1873</v>
      </c>
      <c r="F815" s="7">
        <v>110</v>
      </c>
      <c r="G815" s="7">
        <v>66262</v>
      </c>
    </row>
    <row r="816" spans="1:7" ht="18" x14ac:dyDescent="0.2">
      <c r="A816" s="7" t="s">
        <v>37</v>
      </c>
      <c r="B816" s="7" t="s">
        <v>0</v>
      </c>
      <c r="C816" s="7" t="s">
        <v>7</v>
      </c>
      <c r="D816" s="7">
        <f t="shared" si="15"/>
        <v>679</v>
      </c>
      <c r="E816" s="7">
        <v>1874</v>
      </c>
      <c r="F816" s="7">
        <v>110</v>
      </c>
      <c r="G816" s="7">
        <v>67032</v>
      </c>
    </row>
    <row r="817" spans="1:7" ht="18" x14ac:dyDescent="0.2">
      <c r="A817" s="7" t="s">
        <v>37</v>
      </c>
      <c r="B817" s="7" t="s">
        <v>0</v>
      </c>
      <c r="C817" s="7" t="s">
        <v>7</v>
      </c>
      <c r="D817" s="7">
        <f t="shared" si="15"/>
        <v>686</v>
      </c>
      <c r="E817" s="7">
        <v>1874</v>
      </c>
      <c r="F817" s="7">
        <v>110</v>
      </c>
      <c r="G817" s="7">
        <v>67802</v>
      </c>
    </row>
    <row r="818" spans="1:7" ht="18" x14ac:dyDescent="0.2">
      <c r="A818" s="7" t="s">
        <v>37</v>
      </c>
      <c r="B818" s="7" t="s">
        <v>0</v>
      </c>
      <c r="C818" s="7" t="s">
        <v>7</v>
      </c>
      <c r="D818" s="7">
        <f t="shared" si="15"/>
        <v>693</v>
      </c>
      <c r="E818" s="7">
        <v>1875</v>
      </c>
      <c r="F818" s="7">
        <v>110</v>
      </c>
      <c r="G818" s="7">
        <v>68572</v>
      </c>
    </row>
    <row r="819" spans="1:7" ht="18" x14ac:dyDescent="0.2">
      <c r="A819" s="7" t="s">
        <v>37</v>
      </c>
      <c r="B819" s="7" t="s">
        <v>0</v>
      </c>
      <c r="C819" s="7" t="s">
        <v>7</v>
      </c>
      <c r="D819" s="7">
        <f t="shared" si="15"/>
        <v>700</v>
      </c>
      <c r="E819" s="7">
        <v>1875</v>
      </c>
      <c r="F819" s="7">
        <v>110</v>
      </c>
      <c r="G819" s="7">
        <v>69342</v>
      </c>
    </row>
    <row r="820" spans="1:7" ht="18" x14ac:dyDescent="0.2">
      <c r="A820" s="7" t="s">
        <v>37</v>
      </c>
      <c r="B820" s="7" t="s">
        <v>1</v>
      </c>
      <c r="C820" s="7" t="s">
        <v>16</v>
      </c>
      <c r="D820" s="7">
        <v>7</v>
      </c>
      <c r="E820" s="7">
        <v>75</v>
      </c>
      <c r="F820" s="7">
        <v>11</v>
      </c>
      <c r="G820" s="7">
        <v>77</v>
      </c>
    </row>
    <row r="821" spans="1:7" ht="18" x14ac:dyDescent="0.2">
      <c r="A821" s="7" t="s">
        <v>37</v>
      </c>
      <c r="B821" s="7" t="s">
        <v>1</v>
      </c>
      <c r="C821" s="7" t="s">
        <v>16</v>
      </c>
      <c r="D821" s="7">
        <v>14</v>
      </c>
      <c r="E821" s="7">
        <v>130</v>
      </c>
      <c r="F821" s="7">
        <v>17</v>
      </c>
      <c r="G821" s="7">
        <v>196</v>
      </c>
    </row>
    <row r="822" spans="1:7" ht="18" x14ac:dyDescent="0.2">
      <c r="A822" s="7" t="s">
        <v>37</v>
      </c>
      <c r="B822" s="7" t="s">
        <v>1</v>
      </c>
      <c r="C822" s="7" t="s">
        <v>16</v>
      </c>
      <c r="D822" s="7">
        <f>D821+7</f>
        <v>21</v>
      </c>
      <c r="E822" s="7">
        <v>195</v>
      </c>
      <c r="F822" s="7">
        <v>24</v>
      </c>
      <c r="G822" s="7">
        <v>364</v>
      </c>
    </row>
    <row r="823" spans="1:7" ht="18" x14ac:dyDescent="0.2">
      <c r="A823" s="7" t="s">
        <v>37</v>
      </c>
      <c r="B823" s="7" t="s">
        <v>1</v>
      </c>
      <c r="C823" s="7" t="s">
        <v>16</v>
      </c>
      <c r="D823" s="7">
        <f>D822+7</f>
        <v>28</v>
      </c>
      <c r="E823" s="7">
        <v>273</v>
      </c>
      <c r="F823" s="7">
        <v>30</v>
      </c>
      <c r="G823" s="7">
        <v>574</v>
      </c>
    </row>
    <row r="824" spans="1:7" ht="18" x14ac:dyDescent="0.2">
      <c r="A824" s="7" t="s">
        <v>37</v>
      </c>
      <c r="B824" s="7" t="s">
        <v>1</v>
      </c>
      <c r="C824" s="7" t="s">
        <v>16</v>
      </c>
      <c r="D824" s="7">
        <f t="shared" ref="D824:D887" si="16">D823+7</f>
        <v>35</v>
      </c>
      <c r="E824" s="7">
        <v>366</v>
      </c>
      <c r="F824" s="7">
        <v>36</v>
      </c>
      <c r="G824" s="7">
        <v>826</v>
      </c>
    </row>
    <row r="825" spans="1:7" ht="18" x14ac:dyDescent="0.2">
      <c r="A825" s="7" t="s">
        <v>37</v>
      </c>
      <c r="B825" s="7" t="s">
        <v>1</v>
      </c>
      <c r="C825" s="7" t="s">
        <v>16</v>
      </c>
      <c r="D825" s="7">
        <f t="shared" si="16"/>
        <v>42</v>
      </c>
      <c r="E825" s="7">
        <v>469</v>
      </c>
      <c r="F825" s="7">
        <v>42</v>
      </c>
      <c r="G825" s="7">
        <v>1120</v>
      </c>
    </row>
    <row r="826" spans="1:7" ht="18" x14ac:dyDescent="0.2">
      <c r="A826" s="7" t="s">
        <v>37</v>
      </c>
      <c r="B826" s="7" t="s">
        <v>1</v>
      </c>
      <c r="C826" s="7" t="s">
        <v>16</v>
      </c>
      <c r="D826" s="7">
        <f t="shared" si="16"/>
        <v>49</v>
      </c>
      <c r="E826" s="7">
        <v>573</v>
      </c>
      <c r="F826" s="7">
        <v>47</v>
      </c>
      <c r="G826" s="7">
        <v>1449</v>
      </c>
    </row>
    <row r="827" spans="1:7" ht="18" x14ac:dyDescent="0.2">
      <c r="A827" s="7" t="s">
        <v>37</v>
      </c>
      <c r="B827" s="7" t="s">
        <v>1</v>
      </c>
      <c r="C827" s="7" t="s">
        <v>16</v>
      </c>
      <c r="D827" s="7">
        <f t="shared" si="16"/>
        <v>56</v>
      </c>
      <c r="E827" s="7">
        <v>677</v>
      </c>
      <c r="F827" s="7">
        <v>52</v>
      </c>
      <c r="G827" s="7">
        <v>1813</v>
      </c>
    </row>
    <row r="828" spans="1:7" ht="18" x14ac:dyDescent="0.2">
      <c r="A828" s="7" t="s">
        <v>37</v>
      </c>
      <c r="B828" s="7" t="s">
        <v>1</v>
      </c>
      <c r="C828" s="7" t="s">
        <v>16</v>
      </c>
      <c r="D828" s="7">
        <f t="shared" si="16"/>
        <v>63</v>
      </c>
      <c r="E828" s="7">
        <v>777</v>
      </c>
      <c r="F828" s="7">
        <v>56</v>
      </c>
      <c r="G828" s="7">
        <v>2205</v>
      </c>
    </row>
    <row r="829" spans="1:7" ht="18" x14ac:dyDescent="0.2">
      <c r="A829" s="7" t="s">
        <v>37</v>
      </c>
      <c r="B829" s="7" t="s">
        <v>1</v>
      </c>
      <c r="C829" s="7" t="s">
        <v>16</v>
      </c>
      <c r="D829" s="7">
        <f t="shared" si="16"/>
        <v>70</v>
      </c>
      <c r="E829" s="7">
        <v>873</v>
      </c>
      <c r="F829" s="7">
        <v>60</v>
      </c>
      <c r="G829" s="7">
        <v>2625</v>
      </c>
    </row>
    <row r="830" spans="1:7" ht="18" x14ac:dyDescent="0.2">
      <c r="A830" s="7" t="s">
        <v>37</v>
      </c>
      <c r="B830" s="7" t="s">
        <v>1</v>
      </c>
      <c r="C830" s="7" t="s">
        <v>16</v>
      </c>
      <c r="D830" s="7">
        <f t="shared" si="16"/>
        <v>77</v>
      </c>
      <c r="E830" s="7">
        <v>963</v>
      </c>
      <c r="F830" s="7">
        <v>64</v>
      </c>
      <c r="G830" s="7">
        <v>3073</v>
      </c>
    </row>
    <row r="831" spans="1:7" ht="18" x14ac:dyDescent="0.2">
      <c r="A831" s="7" t="s">
        <v>37</v>
      </c>
      <c r="B831" s="7" t="s">
        <v>1</v>
      </c>
      <c r="C831" s="7" t="s">
        <v>16</v>
      </c>
      <c r="D831" s="7">
        <f t="shared" si="16"/>
        <v>84</v>
      </c>
      <c r="E831" s="7">
        <v>1047</v>
      </c>
      <c r="F831" s="7">
        <v>67</v>
      </c>
      <c r="G831" s="7">
        <v>3542</v>
      </c>
    </row>
    <row r="832" spans="1:7" ht="18" x14ac:dyDescent="0.2">
      <c r="A832" s="7" t="s">
        <v>37</v>
      </c>
      <c r="B832" s="7" t="s">
        <v>1</v>
      </c>
      <c r="C832" s="7" t="s">
        <v>16</v>
      </c>
      <c r="D832" s="7">
        <f t="shared" si="16"/>
        <v>91</v>
      </c>
      <c r="E832" s="7">
        <v>1128</v>
      </c>
      <c r="F832" s="7">
        <v>71</v>
      </c>
      <c r="G832" s="7">
        <v>4039</v>
      </c>
    </row>
    <row r="833" spans="1:7" ht="18" x14ac:dyDescent="0.2">
      <c r="A833" s="7" t="s">
        <v>37</v>
      </c>
      <c r="B833" s="7" t="s">
        <v>1</v>
      </c>
      <c r="C833" s="7" t="s">
        <v>16</v>
      </c>
      <c r="D833" s="7">
        <f t="shared" si="16"/>
        <v>98</v>
      </c>
      <c r="E833" s="7">
        <v>1205</v>
      </c>
      <c r="F833" s="7">
        <v>74</v>
      </c>
      <c r="G833" s="7">
        <v>4557</v>
      </c>
    </row>
    <row r="834" spans="1:7" ht="18" x14ac:dyDescent="0.2">
      <c r="A834" s="7" t="s">
        <v>37</v>
      </c>
      <c r="B834" s="7" t="s">
        <v>1</v>
      </c>
      <c r="C834" s="7" t="s">
        <v>16</v>
      </c>
      <c r="D834" s="7">
        <f t="shared" si="16"/>
        <v>105</v>
      </c>
      <c r="E834" s="7">
        <v>1279</v>
      </c>
      <c r="F834" s="7">
        <v>78</v>
      </c>
      <c r="G834" s="7">
        <v>5103</v>
      </c>
    </row>
    <row r="835" spans="1:7" ht="18" x14ac:dyDescent="0.2">
      <c r="A835" s="7" t="s">
        <v>37</v>
      </c>
      <c r="B835" s="7" t="s">
        <v>1</v>
      </c>
      <c r="C835" s="7" t="s">
        <v>16</v>
      </c>
      <c r="D835" s="7">
        <f t="shared" si="16"/>
        <v>112</v>
      </c>
      <c r="E835" s="7">
        <v>1351</v>
      </c>
      <c r="F835" s="7">
        <v>82</v>
      </c>
      <c r="G835" s="7">
        <v>5677</v>
      </c>
    </row>
    <row r="836" spans="1:7" ht="18" x14ac:dyDescent="0.2">
      <c r="A836" s="7" t="s">
        <v>37</v>
      </c>
      <c r="B836" s="7" t="s">
        <v>1</v>
      </c>
      <c r="C836" s="7" t="s">
        <v>16</v>
      </c>
      <c r="D836" s="7">
        <f t="shared" si="16"/>
        <v>119</v>
      </c>
      <c r="E836" s="7">
        <v>1421</v>
      </c>
      <c r="F836" s="7">
        <v>86</v>
      </c>
      <c r="G836" s="7">
        <v>6279</v>
      </c>
    </row>
    <row r="837" spans="1:7" ht="18" x14ac:dyDescent="0.2">
      <c r="A837" s="7" t="s">
        <v>37</v>
      </c>
      <c r="B837" s="7" t="s">
        <v>1</v>
      </c>
      <c r="C837" s="7" t="s">
        <v>16</v>
      </c>
      <c r="D837" s="7">
        <f t="shared" si="16"/>
        <v>126</v>
      </c>
      <c r="E837" s="7">
        <v>1493</v>
      </c>
      <c r="F837" s="7">
        <v>92</v>
      </c>
      <c r="G837" s="7">
        <v>6923</v>
      </c>
    </row>
    <row r="838" spans="1:7" ht="18" x14ac:dyDescent="0.2">
      <c r="A838" s="7" t="s">
        <v>37</v>
      </c>
      <c r="B838" s="7" t="s">
        <v>1</v>
      </c>
      <c r="C838" s="7" t="s">
        <v>16</v>
      </c>
      <c r="D838" s="7">
        <f t="shared" si="16"/>
        <v>133</v>
      </c>
      <c r="E838" s="7">
        <v>1565</v>
      </c>
      <c r="F838" s="7">
        <v>98</v>
      </c>
      <c r="G838" s="7">
        <v>7609</v>
      </c>
    </row>
    <row r="839" spans="1:7" ht="18" x14ac:dyDescent="0.2">
      <c r="A839" s="7" t="s">
        <v>37</v>
      </c>
      <c r="B839" s="7" t="s">
        <v>1</v>
      </c>
      <c r="C839" s="7" t="s">
        <v>16</v>
      </c>
      <c r="D839" s="7">
        <f t="shared" si="16"/>
        <v>140</v>
      </c>
      <c r="E839" s="7">
        <v>1635</v>
      </c>
      <c r="F839" s="7">
        <v>104</v>
      </c>
      <c r="G839" s="7">
        <v>8337</v>
      </c>
    </row>
    <row r="840" spans="1:7" ht="18" x14ac:dyDescent="0.2">
      <c r="A840" s="7" t="s">
        <v>37</v>
      </c>
      <c r="B840" s="7" t="s">
        <v>1</v>
      </c>
      <c r="C840" s="7" t="s">
        <v>16</v>
      </c>
      <c r="D840" s="7">
        <f t="shared" si="16"/>
        <v>147</v>
      </c>
      <c r="E840" s="7">
        <v>1701</v>
      </c>
      <c r="F840" s="7">
        <v>109</v>
      </c>
      <c r="G840" s="7">
        <v>9100</v>
      </c>
    </row>
    <row r="841" spans="1:7" ht="18" x14ac:dyDescent="0.2">
      <c r="A841" s="7" t="s">
        <v>37</v>
      </c>
      <c r="B841" s="7" t="s">
        <v>1</v>
      </c>
      <c r="C841" s="7" t="s">
        <v>16</v>
      </c>
      <c r="D841" s="7">
        <f t="shared" si="16"/>
        <v>154</v>
      </c>
      <c r="E841" s="7">
        <v>1760</v>
      </c>
      <c r="F841" s="7">
        <v>113</v>
      </c>
      <c r="G841" s="7">
        <v>9891</v>
      </c>
    </row>
    <row r="842" spans="1:7" ht="18" x14ac:dyDescent="0.2">
      <c r="A842" s="7" t="s">
        <v>37</v>
      </c>
      <c r="B842" s="7" t="s">
        <v>1</v>
      </c>
      <c r="C842" s="7" t="s">
        <v>16</v>
      </c>
      <c r="D842" s="7">
        <f t="shared" si="16"/>
        <v>161</v>
      </c>
      <c r="E842" s="7">
        <v>1808</v>
      </c>
      <c r="F842" s="7">
        <v>115</v>
      </c>
      <c r="G842" s="7">
        <v>10696</v>
      </c>
    </row>
    <row r="843" spans="1:7" ht="18" x14ac:dyDescent="0.2">
      <c r="A843" s="7" t="s">
        <v>37</v>
      </c>
      <c r="B843" s="7" t="s">
        <v>1</v>
      </c>
      <c r="C843" s="7" t="s">
        <v>16</v>
      </c>
      <c r="D843" s="7">
        <f t="shared" si="16"/>
        <v>168</v>
      </c>
      <c r="E843" s="7">
        <v>1846</v>
      </c>
      <c r="F843" s="7">
        <v>115</v>
      </c>
      <c r="G843" s="7">
        <v>11501</v>
      </c>
    </row>
    <row r="844" spans="1:7" ht="18" x14ac:dyDescent="0.2">
      <c r="A844" s="7" t="s">
        <v>37</v>
      </c>
      <c r="B844" s="7" t="s">
        <v>1</v>
      </c>
      <c r="C844" s="7" t="s">
        <v>16</v>
      </c>
      <c r="D844" s="7">
        <f t="shared" si="16"/>
        <v>175</v>
      </c>
      <c r="E844" s="7">
        <v>1874</v>
      </c>
      <c r="F844" s="7">
        <v>115</v>
      </c>
      <c r="G844" s="7">
        <v>12306</v>
      </c>
    </row>
    <row r="845" spans="1:7" ht="18" x14ac:dyDescent="0.2">
      <c r="A845" s="7" t="s">
        <v>37</v>
      </c>
      <c r="B845" s="7" t="s">
        <v>1</v>
      </c>
      <c r="C845" s="7" t="s">
        <v>16</v>
      </c>
      <c r="D845" s="7">
        <f t="shared" si="16"/>
        <v>182</v>
      </c>
      <c r="E845" s="7">
        <v>1893</v>
      </c>
      <c r="F845" s="7">
        <v>115</v>
      </c>
      <c r="G845" s="7">
        <v>13111</v>
      </c>
    </row>
    <row r="846" spans="1:7" ht="18" x14ac:dyDescent="0.2">
      <c r="A846" s="7" t="s">
        <v>37</v>
      </c>
      <c r="B846" s="7" t="s">
        <v>1</v>
      </c>
      <c r="C846" s="7" t="s">
        <v>16</v>
      </c>
      <c r="D846" s="7">
        <f t="shared" si="16"/>
        <v>189</v>
      </c>
      <c r="E846" s="7">
        <v>1906</v>
      </c>
      <c r="F846" s="7">
        <v>115</v>
      </c>
      <c r="G846" s="7">
        <v>13916</v>
      </c>
    </row>
    <row r="847" spans="1:7" ht="18" x14ac:dyDescent="0.2">
      <c r="A847" s="7" t="s">
        <v>37</v>
      </c>
      <c r="B847" s="7" t="s">
        <v>1</v>
      </c>
      <c r="C847" s="7" t="s">
        <v>16</v>
      </c>
      <c r="D847" s="7">
        <f t="shared" si="16"/>
        <v>196</v>
      </c>
      <c r="E847" s="7">
        <v>1914</v>
      </c>
      <c r="F847" s="7">
        <v>115</v>
      </c>
      <c r="G847" s="7">
        <v>14721</v>
      </c>
    </row>
    <row r="848" spans="1:7" ht="18" x14ac:dyDescent="0.2">
      <c r="A848" s="7" t="s">
        <v>37</v>
      </c>
      <c r="B848" s="7" t="s">
        <v>1</v>
      </c>
      <c r="C848" s="7" t="s">
        <v>16</v>
      </c>
      <c r="D848" s="7">
        <f t="shared" si="16"/>
        <v>203</v>
      </c>
      <c r="E848" s="7">
        <v>1918</v>
      </c>
      <c r="F848" s="7">
        <v>115</v>
      </c>
      <c r="G848" s="7">
        <v>15526</v>
      </c>
    </row>
    <row r="849" spans="1:7" ht="18" x14ac:dyDescent="0.2">
      <c r="A849" s="7" t="s">
        <v>37</v>
      </c>
      <c r="B849" s="7" t="s">
        <v>1</v>
      </c>
      <c r="C849" s="7" t="s">
        <v>16</v>
      </c>
      <c r="D849" s="7">
        <f t="shared" si="16"/>
        <v>210</v>
      </c>
      <c r="E849" s="7">
        <v>1921</v>
      </c>
      <c r="F849" s="7">
        <v>115</v>
      </c>
      <c r="G849" s="7">
        <v>16331</v>
      </c>
    </row>
    <row r="850" spans="1:7" ht="18" x14ac:dyDescent="0.2">
      <c r="A850" s="7" t="s">
        <v>37</v>
      </c>
      <c r="B850" s="7" t="s">
        <v>1</v>
      </c>
      <c r="C850" s="7" t="s">
        <v>16</v>
      </c>
      <c r="D850" s="7">
        <f t="shared" si="16"/>
        <v>217</v>
      </c>
      <c r="E850" s="7">
        <v>1924</v>
      </c>
      <c r="F850" s="7">
        <v>115</v>
      </c>
      <c r="G850" s="7">
        <v>17136</v>
      </c>
    </row>
    <row r="851" spans="1:7" ht="18" x14ac:dyDescent="0.2">
      <c r="A851" s="7" t="s">
        <v>37</v>
      </c>
      <c r="B851" s="7" t="s">
        <v>1</v>
      </c>
      <c r="C851" s="7" t="s">
        <v>16</v>
      </c>
      <c r="D851" s="7">
        <f t="shared" si="16"/>
        <v>224</v>
      </c>
      <c r="E851" s="7">
        <v>1926</v>
      </c>
      <c r="F851" s="7">
        <v>115</v>
      </c>
      <c r="G851" s="7">
        <v>17941</v>
      </c>
    </row>
    <row r="852" spans="1:7" ht="18" x14ac:dyDescent="0.2">
      <c r="A852" s="7" t="s">
        <v>37</v>
      </c>
      <c r="B852" s="7" t="s">
        <v>1</v>
      </c>
      <c r="C852" s="7" t="s">
        <v>16</v>
      </c>
      <c r="D852" s="7">
        <f t="shared" si="16"/>
        <v>231</v>
      </c>
      <c r="E852" s="7">
        <v>1929</v>
      </c>
      <c r="F852" s="7">
        <v>115</v>
      </c>
      <c r="G852" s="7">
        <v>18746</v>
      </c>
    </row>
    <row r="853" spans="1:7" ht="18" x14ac:dyDescent="0.2">
      <c r="A853" s="7" t="s">
        <v>37</v>
      </c>
      <c r="B853" s="7" t="s">
        <v>1</v>
      </c>
      <c r="C853" s="7" t="s">
        <v>16</v>
      </c>
      <c r="D853" s="7">
        <f t="shared" si="16"/>
        <v>238</v>
      </c>
      <c r="E853" s="7">
        <v>1932</v>
      </c>
      <c r="F853" s="7">
        <v>115</v>
      </c>
      <c r="G853" s="7">
        <v>19551</v>
      </c>
    </row>
    <row r="854" spans="1:7" ht="18" x14ac:dyDescent="0.2">
      <c r="A854" s="7" t="s">
        <v>37</v>
      </c>
      <c r="B854" s="7" t="s">
        <v>1</v>
      </c>
      <c r="C854" s="7" t="s">
        <v>16</v>
      </c>
      <c r="D854" s="7">
        <f t="shared" si="16"/>
        <v>245</v>
      </c>
      <c r="E854" s="7">
        <v>1934</v>
      </c>
      <c r="F854" s="7">
        <v>115</v>
      </c>
      <c r="G854" s="7">
        <v>20356</v>
      </c>
    </row>
    <row r="855" spans="1:7" ht="18" x14ac:dyDescent="0.2">
      <c r="A855" s="7" t="s">
        <v>37</v>
      </c>
      <c r="B855" s="7" t="s">
        <v>1</v>
      </c>
      <c r="C855" s="7" t="s">
        <v>16</v>
      </c>
      <c r="D855" s="7">
        <f t="shared" si="16"/>
        <v>252</v>
      </c>
      <c r="E855" s="7">
        <v>1936</v>
      </c>
      <c r="F855" s="7">
        <v>115</v>
      </c>
      <c r="G855" s="7">
        <v>21161</v>
      </c>
    </row>
    <row r="856" spans="1:7" ht="18" x14ac:dyDescent="0.2">
      <c r="A856" s="7" t="s">
        <v>37</v>
      </c>
      <c r="B856" s="7" t="s">
        <v>1</v>
      </c>
      <c r="C856" s="7" t="s">
        <v>16</v>
      </c>
      <c r="D856" s="7">
        <f t="shared" si="16"/>
        <v>259</v>
      </c>
      <c r="E856" s="7">
        <v>1939</v>
      </c>
      <c r="F856" s="7">
        <v>115</v>
      </c>
      <c r="G856" s="7">
        <v>21966</v>
      </c>
    </row>
    <row r="857" spans="1:7" ht="18" x14ac:dyDescent="0.2">
      <c r="A857" s="7" t="s">
        <v>37</v>
      </c>
      <c r="B857" s="7" t="s">
        <v>1</v>
      </c>
      <c r="C857" s="7" t="s">
        <v>16</v>
      </c>
      <c r="D857" s="7">
        <f t="shared" si="16"/>
        <v>266</v>
      </c>
      <c r="E857" s="7">
        <v>1941</v>
      </c>
      <c r="F857" s="7">
        <v>115</v>
      </c>
      <c r="G857" s="7">
        <v>22771</v>
      </c>
    </row>
    <row r="858" spans="1:7" ht="18" x14ac:dyDescent="0.2">
      <c r="A858" s="7" t="s">
        <v>37</v>
      </c>
      <c r="B858" s="7" t="s">
        <v>1</v>
      </c>
      <c r="C858" s="7" t="s">
        <v>16</v>
      </c>
      <c r="D858" s="7">
        <f t="shared" si="16"/>
        <v>273</v>
      </c>
      <c r="E858" s="7">
        <v>1944</v>
      </c>
      <c r="F858" s="7">
        <v>115</v>
      </c>
      <c r="G858" s="7">
        <v>23576</v>
      </c>
    </row>
    <row r="859" spans="1:7" ht="18" x14ac:dyDescent="0.2">
      <c r="A859" s="7" t="s">
        <v>37</v>
      </c>
      <c r="B859" s="7" t="s">
        <v>1</v>
      </c>
      <c r="C859" s="7" t="s">
        <v>16</v>
      </c>
      <c r="D859" s="7">
        <f t="shared" si="16"/>
        <v>280</v>
      </c>
      <c r="E859" s="7">
        <v>1946</v>
      </c>
      <c r="F859" s="7">
        <v>115</v>
      </c>
      <c r="G859" s="7">
        <v>24381</v>
      </c>
    </row>
    <row r="860" spans="1:7" ht="18" x14ac:dyDescent="0.2">
      <c r="A860" s="7" t="s">
        <v>37</v>
      </c>
      <c r="B860" s="7" t="s">
        <v>1</v>
      </c>
      <c r="C860" s="7" t="s">
        <v>16</v>
      </c>
      <c r="D860" s="7">
        <f t="shared" si="16"/>
        <v>287</v>
      </c>
      <c r="E860" s="7">
        <v>1949</v>
      </c>
      <c r="F860" s="7">
        <v>115</v>
      </c>
      <c r="G860" s="7">
        <v>25186</v>
      </c>
    </row>
    <row r="861" spans="1:7" ht="18" x14ac:dyDescent="0.2">
      <c r="A861" s="7" t="s">
        <v>37</v>
      </c>
      <c r="B861" s="7" t="s">
        <v>1</v>
      </c>
      <c r="C861" s="7" t="s">
        <v>16</v>
      </c>
      <c r="D861" s="7">
        <f t="shared" si="16"/>
        <v>294</v>
      </c>
      <c r="E861" s="7">
        <v>1952</v>
      </c>
      <c r="F861" s="7">
        <v>115</v>
      </c>
      <c r="G861" s="7">
        <v>25991</v>
      </c>
    </row>
    <row r="862" spans="1:7" ht="18" x14ac:dyDescent="0.2">
      <c r="A862" s="7" t="s">
        <v>37</v>
      </c>
      <c r="B862" s="7" t="s">
        <v>1</v>
      </c>
      <c r="C862" s="7" t="s">
        <v>16</v>
      </c>
      <c r="D862" s="7">
        <f t="shared" si="16"/>
        <v>301</v>
      </c>
      <c r="E862" s="7">
        <v>1954</v>
      </c>
      <c r="F862" s="7">
        <v>115</v>
      </c>
      <c r="G862" s="7">
        <v>26796</v>
      </c>
    </row>
    <row r="863" spans="1:7" ht="18" x14ac:dyDescent="0.2">
      <c r="A863" s="7" t="s">
        <v>37</v>
      </c>
      <c r="B863" s="7" t="s">
        <v>1</v>
      </c>
      <c r="C863" s="7" t="s">
        <v>16</v>
      </c>
      <c r="D863" s="7">
        <f t="shared" si="16"/>
        <v>308</v>
      </c>
      <c r="E863" s="7">
        <v>1956</v>
      </c>
      <c r="F863" s="7">
        <v>115</v>
      </c>
      <c r="G863" s="7">
        <v>27601</v>
      </c>
    </row>
    <row r="864" spans="1:7" ht="18" x14ac:dyDescent="0.2">
      <c r="A864" s="7" t="s">
        <v>37</v>
      </c>
      <c r="B864" s="7" t="s">
        <v>1</v>
      </c>
      <c r="C864" s="7" t="s">
        <v>16</v>
      </c>
      <c r="D864" s="7">
        <f t="shared" si="16"/>
        <v>315</v>
      </c>
      <c r="E864" s="7">
        <v>1959</v>
      </c>
      <c r="F864" s="7">
        <v>115</v>
      </c>
      <c r="G864" s="7">
        <v>28406</v>
      </c>
    </row>
    <row r="865" spans="1:7" ht="18" x14ac:dyDescent="0.2">
      <c r="A865" s="7" t="s">
        <v>37</v>
      </c>
      <c r="B865" s="7" t="s">
        <v>1</v>
      </c>
      <c r="C865" s="7" t="s">
        <v>16</v>
      </c>
      <c r="D865" s="7">
        <f t="shared" si="16"/>
        <v>322</v>
      </c>
      <c r="E865" s="7">
        <v>1961</v>
      </c>
      <c r="F865" s="7">
        <v>115</v>
      </c>
      <c r="G865" s="7">
        <v>29211</v>
      </c>
    </row>
    <row r="866" spans="1:7" ht="18" x14ac:dyDescent="0.2">
      <c r="A866" s="7" t="s">
        <v>37</v>
      </c>
      <c r="B866" s="7" t="s">
        <v>1</v>
      </c>
      <c r="C866" s="7" t="s">
        <v>16</v>
      </c>
      <c r="D866" s="7">
        <f t="shared" si="16"/>
        <v>329</v>
      </c>
      <c r="E866" s="7">
        <v>1964</v>
      </c>
      <c r="F866" s="7">
        <v>115</v>
      </c>
      <c r="G866" s="7">
        <v>30016</v>
      </c>
    </row>
    <row r="867" spans="1:7" ht="18" x14ac:dyDescent="0.2">
      <c r="A867" s="7" t="s">
        <v>37</v>
      </c>
      <c r="B867" s="7" t="s">
        <v>1</v>
      </c>
      <c r="C867" s="7" t="s">
        <v>16</v>
      </c>
      <c r="D867" s="7">
        <f t="shared" si="16"/>
        <v>336</v>
      </c>
      <c r="E867" s="7">
        <v>1966</v>
      </c>
      <c r="F867" s="7">
        <v>115</v>
      </c>
      <c r="G867" s="7">
        <v>30821</v>
      </c>
    </row>
    <row r="868" spans="1:7" ht="18" x14ac:dyDescent="0.2">
      <c r="A868" s="7" t="s">
        <v>37</v>
      </c>
      <c r="B868" s="7" t="s">
        <v>1</v>
      </c>
      <c r="C868" s="7" t="s">
        <v>16</v>
      </c>
      <c r="D868" s="7">
        <f t="shared" si="16"/>
        <v>343</v>
      </c>
      <c r="E868" s="7">
        <v>1969</v>
      </c>
      <c r="F868" s="7">
        <v>115</v>
      </c>
      <c r="G868" s="7">
        <v>31626</v>
      </c>
    </row>
    <row r="869" spans="1:7" ht="18" x14ac:dyDescent="0.2">
      <c r="A869" s="7" t="s">
        <v>37</v>
      </c>
      <c r="B869" s="7" t="s">
        <v>1</v>
      </c>
      <c r="C869" s="7" t="s">
        <v>16</v>
      </c>
      <c r="D869" s="7">
        <f t="shared" si="16"/>
        <v>350</v>
      </c>
      <c r="E869" s="7">
        <v>1972</v>
      </c>
      <c r="F869" s="7">
        <v>115</v>
      </c>
      <c r="G869" s="7">
        <v>32431</v>
      </c>
    </row>
    <row r="870" spans="1:7" ht="18" x14ac:dyDescent="0.2">
      <c r="A870" s="7" t="s">
        <v>37</v>
      </c>
      <c r="B870" s="7" t="s">
        <v>1</v>
      </c>
      <c r="C870" s="7" t="s">
        <v>16</v>
      </c>
      <c r="D870" s="7">
        <f t="shared" si="16"/>
        <v>357</v>
      </c>
      <c r="E870" s="7">
        <v>1974</v>
      </c>
      <c r="F870" s="7">
        <v>115</v>
      </c>
      <c r="G870" s="7">
        <v>33236</v>
      </c>
    </row>
    <row r="871" spans="1:7" ht="18" x14ac:dyDescent="0.2">
      <c r="A871" s="7" t="s">
        <v>37</v>
      </c>
      <c r="B871" s="7" t="s">
        <v>1</v>
      </c>
      <c r="C871" s="7" t="s">
        <v>16</v>
      </c>
      <c r="D871" s="7">
        <f t="shared" si="16"/>
        <v>364</v>
      </c>
      <c r="E871" s="7">
        <v>1976</v>
      </c>
      <c r="F871" s="7">
        <v>115</v>
      </c>
      <c r="G871" s="7">
        <v>34041</v>
      </c>
    </row>
    <row r="872" spans="1:7" ht="18" x14ac:dyDescent="0.2">
      <c r="A872" s="7" t="s">
        <v>37</v>
      </c>
      <c r="B872" s="7" t="s">
        <v>1</v>
      </c>
      <c r="C872" s="7" t="s">
        <v>16</v>
      </c>
      <c r="D872" s="7">
        <f t="shared" si="16"/>
        <v>371</v>
      </c>
      <c r="E872" s="7">
        <v>1979</v>
      </c>
      <c r="F872" s="7">
        <v>115</v>
      </c>
      <c r="G872" s="7">
        <v>34846</v>
      </c>
    </row>
    <row r="873" spans="1:7" ht="18" x14ac:dyDescent="0.2">
      <c r="A873" s="7" t="s">
        <v>37</v>
      </c>
      <c r="B873" s="7" t="s">
        <v>1</v>
      </c>
      <c r="C873" s="7" t="s">
        <v>16</v>
      </c>
      <c r="D873" s="7">
        <f t="shared" si="16"/>
        <v>378</v>
      </c>
      <c r="E873" s="7">
        <v>1981</v>
      </c>
      <c r="F873" s="7">
        <v>115</v>
      </c>
      <c r="G873" s="7">
        <v>35651</v>
      </c>
    </row>
    <row r="874" spans="1:7" ht="18" x14ac:dyDescent="0.2">
      <c r="A874" s="7" t="s">
        <v>37</v>
      </c>
      <c r="B874" s="7" t="s">
        <v>1</v>
      </c>
      <c r="C874" s="7" t="s">
        <v>16</v>
      </c>
      <c r="D874" s="7">
        <f t="shared" si="16"/>
        <v>385</v>
      </c>
      <c r="E874" s="7">
        <v>1985</v>
      </c>
      <c r="F874" s="7">
        <v>115</v>
      </c>
      <c r="G874" s="7">
        <v>36456</v>
      </c>
    </row>
    <row r="875" spans="1:7" ht="18" x14ac:dyDescent="0.2">
      <c r="A875" s="7" t="s">
        <v>37</v>
      </c>
      <c r="B875" s="7" t="s">
        <v>1</v>
      </c>
      <c r="C875" s="7" t="s">
        <v>16</v>
      </c>
      <c r="D875" s="7">
        <f t="shared" si="16"/>
        <v>392</v>
      </c>
      <c r="E875" s="7">
        <v>1986</v>
      </c>
      <c r="F875" s="7">
        <v>115</v>
      </c>
      <c r="G875" s="7">
        <v>37261</v>
      </c>
    </row>
    <row r="876" spans="1:7" ht="18" x14ac:dyDescent="0.2">
      <c r="A876" s="7" t="s">
        <v>37</v>
      </c>
      <c r="B876" s="7" t="s">
        <v>1</v>
      </c>
      <c r="C876" s="7" t="s">
        <v>16</v>
      </c>
      <c r="D876" s="7">
        <f t="shared" si="16"/>
        <v>399</v>
      </c>
      <c r="E876" s="7">
        <v>1990</v>
      </c>
      <c r="F876" s="7">
        <v>115</v>
      </c>
      <c r="G876" s="7">
        <v>38066</v>
      </c>
    </row>
    <row r="877" spans="1:7" ht="18" x14ac:dyDescent="0.2">
      <c r="A877" s="7" t="s">
        <v>37</v>
      </c>
      <c r="B877" s="7" t="s">
        <v>1</v>
      </c>
      <c r="C877" s="7" t="s">
        <v>16</v>
      </c>
      <c r="D877" s="7">
        <f t="shared" si="16"/>
        <v>406</v>
      </c>
      <c r="E877" s="7">
        <v>1992</v>
      </c>
      <c r="F877" s="7">
        <v>115</v>
      </c>
      <c r="G877" s="7">
        <v>38871</v>
      </c>
    </row>
    <row r="878" spans="1:7" ht="18" x14ac:dyDescent="0.2">
      <c r="A878" s="7" t="s">
        <v>37</v>
      </c>
      <c r="B878" s="7" t="s">
        <v>1</v>
      </c>
      <c r="C878" s="7" t="s">
        <v>16</v>
      </c>
      <c r="D878" s="7">
        <f t="shared" si="16"/>
        <v>413</v>
      </c>
      <c r="E878" s="7">
        <v>1994</v>
      </c>
      <c r="F878" s="7">
        <v>115</v>
      </c>
      <c r="G878" s="7">
        <v>39676</v>
      </c>
    </row>
    <row r="879" spans="1:7" ht="18" x14ac:dyDescent="0.2">
      <c r="A879" s="7" t="s">
        <v>37</v>
      </c>
      <c r="B879" s="7" t="s">
        <v>1</v>
      </c>
      <c r="C879" s="7" t="s">
        <v>16</v>
      </c>
      <c r="D879" s="7">
        <f t="shared" si="16"/>
        <v>420</v>
      </c>
      <c r="E879" s="7">
        <v>1996</v>
      </c>
      <c r="F879" s="7">
        <v>115</v>
      </c>
      <c r="G879" s="7">
        <v>40481</v>
      </c>
    </row>
    <row r="880" spans="1:7" ht="18" x14ac:dyDescent="0.2">
      <c r="A880" s="7" t="s">
        <v>37</v>
      </c>
      <c r="B880" s="7" t="s">
        <v>1</v>
      </c>
      <c r="C880" s="7" t="s">
        <v>16</v>
      </c>
      <c r="D880" s="7">
        <f t="shared" si="16"/>
        <v>427</v>
      </c>
      <c r="E880" s="7">
        <v>1999</v>
      </c>
      <c r="F880" s="7">
        <v>115</v>
      </c>
      <c r="G880" s="7">
        <v>41286</v>
      </c>
    </row>
    <row r="881" spans="1:7" ht="18" x14ac:dyDescent="0.2">
      <c r="A881" s="7" t="s">
        <v>37</v>
      </c>
      <c r="B881" s="7" t="s">
        <v>1</v>
      </c>
      <c r="C881" s="7" t="s">
        <v>16</v>
      </c>
      <c r="D881" s="7">
        <f t="shared" si="16"/>
        <v>434</v>
      </c>
      <c r="E881" s="7">
        <v>2001</v>
      </c>
      <c r="F881" s="7">
        <v>115</v>
      </c>
      <c r="G881" s="7">
        <v>42091</v>
      </c>
    </row>
    <row r="882" spans="1:7" ht="18" x14ac:dyDescent="0.2">
      <c r="A882" s="7" t="s">
        <v>37</v>
      </c>
      <c r="B882" s="7" t="s">
        <v>1</v>
      </c>
      <c r="C882" s="7" t="s">
        <v>16</v>
      </c>
      <c r="D882" s="7">
        <f t="shared" si="16"/>
        <v>441</v>
      </c>
      <c r="E882" s="7">
        <v>2004</v>
      </c>
      <c r="F882" s="7">
        <v>115</v>
      </c>
      <c r="G882" s="7">
        <v>42896</v>
      </c>
    </row>
    <row r="883" spans="1:7" ht="18" x14ac:dyDescent="0.2">
      <c r="A883" s="7" t="s">
        <v>37</v>
      </c>
      <c r="B883" s="7" t="s">
        <v>1</v>
      </c>
      <c r="C883" s="7" t="s">
        <v>16</v>
      </c>
      <c r="D883" s="7">
        <f t="shared" si="16"/>
        <v>448</v>
      </c>
      <c r="E883" s="7">
        <v>2006</v>
      </c>
      <c r="F883" s="7">
        <v>115</v>
      </c>
      <c r="G883" s="7">
        <v>43701</v>
      </c>
    </row>
    <row r="884" spans="1:7" ht="18" x14ac:dyDescent="0.2">
      <c r="A884" s="7" t="s">
        <v>37</v>
      </c>
      <c r="B884" s="7" t="s">
        <v>1</v>
      </c>
      <c r="C884" s="7" t="s">
        <v>16</v>
      </c>
      <c r="D884" s="7">
        <f t="shared" si="16"/>
        <v>455</v>
      </c>
      <c r="E884" s="7">
        <v>2009</v>
      </c>
      <c r="F884" s="7">
        <v>115</v>
      </c>
      <c r="G884" s="7">
        <v>44506</v>
      </c>
    </row>
    <row r="885" spans="1:7" ht="18" x14ac:dyDescent="0.2">
      <c r="A885" s="7" t="s">
        <v>37</v>
      </c>
      <c r="B885" s="7" t="s">
        <v>1</v>
      </c>
      <c r="C885" s="7" t="s">
        <v>16</v>
      </c>
      <c r="D885" s="7">
        <f t="shared" si="16"/>
        <v>462</v>
      </c>
      <c r="E885" s="7">
        <v>2012</v>
      </c>
      <c r="F885" s="7">
        <v>115</v>
      </c>
      <c r="G885" s="7">
        <v>45311</v>
      </c>
    </row>
    <row r="886" spans="1:7" ht="18" x14ac:dyDescent="0.2">
      <c r="A886" s="7" t="s">
        <v>37</v>
      </c>
      <c r="B886" s="7" t="s">
        <v>1</v>
      </c>
      <c r="C886" s="7" t="s">
        <v>16</v>
      </c>
      <c r="D886" s="7">
        <f t="shared" si="16"/>
        <v>469</v>
      </c>
      <c r="E886" s="7">
        <v>2014</v>
      </c>
      <c r="F886" s="7">
        <v>115</v>
      </c>
      <c r="G886" s="7">
        <v>46116</v>
      </c>
    </row>
    <row r="887" spans="1:7" ht="18" x14ac:dyDescent="0.2">
      <c r="A887" s="7" t="s">
        <v>37</v>
      </c>
      <c r="B887" s="7" t="s">
        <v>1</v>
      </c>
      <c r="C887" s="7" t="s">
        <v>16</v>
      </c>
      <c r="D887" s="7">
        <f t="shared" si="16"/>
        <v>476</v>
      </c>
      <c r="E887" s="7">
        <v>2016</v>
      </c>
      <c r="F887" s="7">
        <v>115</v>
      </c>
      <c r="G887" s="7">
        <v>46921</v>
      </c>
    </row>
    <row r="888" spans="1:7" ht="18" x14ac:dyDescent="0.2">
      <c r="A888" s="7" t="s">
        <v>37</v>
      </c>
      <c r="B888" s="7" t="s">
        <v>1</v>
      </c>
      <c r="C888" s="7" t="s">
        <v>16</v>
      </c>
      <c r="D888" s="7">
        <f t="shared" ref="D888:D919" si="17">D887+7</f>
        <v>483</v>
      </c>
      <c r="E888" s="7">
        <v>2019</v>
      </c>
      <c r="F888" s="7">
        <v>115</v>
      </c>
      <c r="G888" s="7">
        <v>47726</v>
      </c>
    </row>
    <row r="889" spans="1:7" ht="18" x14ac:dyDescent="0.2">
      <c r="A889" s="7" t="s">
        <v>37</v>
      </c>
      <c r="B889" s="7" t="s">
        <v>1</v>
      </c>
      <c r="C889" s="7" t="s">
        <v>16</v>
      </c>
      <c r="D889" s="7">
        <f t="shared" si="17"/>
        <v>490</v>
      </c>
      <c r="E889" s="7">
        <v>2021</v>
      </c>
      <c r="F889" s="7">
        <v>115</v>
      </c>
      <c r="G889" s="7">
        <v>48531</v>
      </c>
    </row>
    <row r="890" spans="1:7" ht="18" x14ac:dyDescent="0.2">
      <c r="A890" s="7" t="s">
        <v>37</v>
      </c>
      <c r="B890" s="7" t="s">
        <v>1</v>
      </c>
      <c r="C890" s="7" t="s">
        <v>16</v>
      </c>
      <c r="D890" s="7">
        <f t="shared" si="17"/>
        <v>497</v>
      </c>
      <c r="E890" s="7">
        <v>2024</v>
      </c>
      <c r="F890" s="7">
        <v>115</v>
      </c>
      <c r="G890" s="7">
        <v>49336</v>
      </c>
    </row>
    <row r="891" spans="1:7" ht="18" x14ac:dyDescent="0.2">
      <c r="A891" s="7" t="s">
        <v>37</v>
      </c>
      <c r="B891" s="7" t="s">
        <v>1</v>
      </c>
      <c r="C891" s="7" t="s">
        <v>16</v>
      </c>
      <c r="D891" s="7">
        <f t="shared" si="17"/>
        <v>504</v>
      </c>
      <c r="E891" s="7">
        <v>2026</v>
      </c>
      <c r="F891" s="7">
        <v>115</v>
      </c>
      <c r="G891" s="7">
        <v>50141</v>
      </c>
    </row>
    <row r="892" spans="1:7" ht="18" x14ac:dyDescent="0.2">
      <c r="A892" s="7" t="s">
        <v>37</v>
      </c>
      <c r="B892" s="7" t="s">
        <v>1</v>
      </c>
      <c r="C892" s="7" t="s">
        <v>16</v>
      </c>
      <c r="D892" s="7">
        <f t="shared" si="17"/>
        <v>511</v>
      </c>
      <c r="E892" s="7">
        <v>2029</v>
      </c>
      <c r="F892" s="7">
        <v>115</v>
      </c>
      <c r="G892" s="7">
        <v>50946</v>
      </c>
    </row>
    <row r="893" spans="1:7" ht="18" x14ac:dyDescent="0.2">
      <c r="A893" s="7" t="s">
        <v>37</v>
      </c>
      <c r="B893" s="7" t="s">
        <v>1</v>
      </c>
      <c r="C893" s="7" t="s">
        <v>16</v>
      </c>
      <c r="D893" s="7">
        <f t="shared" si="17"/>
        <v>518</v>
      </c>
      <c r="E893" s="7">
        <v>2032</v>
      </c>
      <c r="F893" s="7">
        <v>115</v>
      </c>
      <c r="G893" s="7">
        <v>51751</v>
      </c>
    </row>
    <row r="894" spans="1:7" ht="18" x14ac:dyDescent="0.2">
      <c r="A894" s="7" t="s">
        <v>37</v>
      </c>
      <c r="B894" s="7" t="s">
        <v>1</v>
      </c>
      <c r="C894" s="7" t="s">
        <v>16</v>
      </c>
      <c r="D894" s="7">
        <f t="shared" si="17"/>
        <v>525</v>
      </c>
      <c r="E894" s="7">
        <v>2034</v>
      </c>
      <c r="F894" s="7">
        <v>115</v>
      </c>
      <c r="G894" s="7">
        <v>52556</v>
      </c>
    </row>
    <row r="895" spans="1:7" ht="18" x14ac:dyDescent="0.2">
      <c r="A895" s="7" t="s">
        <v>37</v>
      </c>
      <c r="B895" s="7" t="s">
        <v>1</v>
      </c>
      <c r="C895" s="7" t="s">
        <v>16</v>
      </c>
      <c r="D895" s="7">
        <f t="shared" si="17"/>
        <v>532</v>
      </c>
      <c r="E895" s="7">
        <v>2036</v>
      </c>
      <c r="F895" s="7">
        <v>115</v>
      </c>
      <c r="G895" s="7">
        <v>53361</v>
      </c>
    </row>
    <row r="896" spans="1:7" ht="18" x14ac:dyDescent="0.2">
      <c r="A896" s="7" t="s">
        <v>37</v>
      </c>
      <c r="B896" s="7" t="s">
        <v>1</v>
      </c>
      <c r="C896" s="7" t="s">
        <v>16</v>
      </c>
      <c r="D896" s="7">
        <f t="shared" si="17"/>
        <v>539</v>
      </c>
      <c r="E896" s="7">
        <v>2039</v>
      </c>
      <c r="F896" s="7">
        <v>115</v>
      </c>
      <c r="G896" s="7">
        <v>54166</v>
      </c>
    </row>
    <row r="897" spans="1:7" ht="18" x14ac:dyDescent="0.2">
      <c r="A897" s="7" t="s">
        <v>37</v>
      </c>
      <c r="B897" s="7" t="s">
        <v>1</v>
      </c>
      <c r="C897" s="7" t="s">
        <v>16</v>
      </c>
      <c r="D897" s="7">
        <f t="shared" si="17"/>
        <v>546</v>
      </c>
      <c r="E897" s="7">
        <v>2041</v>
      </c>
      <c r="F897" s="7">
        <v>115</v>
      </c>
      <c r="G897" s="7">
        <v>54971</v>
      </c>
    </row>
    <row r="898" spans="1:7" ht="18" x14ac:dyDescent="0.2">
      <c r="A898" s="7" t="s">
        <v>37</v>
      </c>
      <c r="B898" s="7" t="s">
        <v>1</v>
      </c>
      <c r="C898" s="7" t="s">
        <v>16</v>
      </c>
      <c r="D898" s="7">
        <f t="shared" si="17"/>
        <v>553</v>
      </c>
      <c r="E898" s="7">
        <v>2044</v>
      </c>
      <c r="F898" s="7">
        <v>115</v>
      </c>
      <c r="G898" s="7">
        <v>55776</v>
      </c>
    </row>
    <row r="899" spans="1:7" ht="18" x14ac:dyDescent="0.2">
      <c r="A899" s="7" t="s">
        <v>37</v>
      </c>
      <c r="B899" s="7" t="s">
        <v>1</v>
      </c>
      <c r="C899" s="7" t="s">
        <v>16</v>
      </c>
      <c r="D899" s="7">
        <f t="shared" si="17"/>
        <v>560</v>
      </c>
      <c r="E899" s="7">
        <v>2046</v>
      </c>
      <c r="F899" s="7">
        <v>115</v>
      </c>
      <c r="G899" s="7">
        <v>56581</v>
      </c>
    </row>
    <row r="900" spans="1:7" ht="18" x14ac:dyDescent="0.2">
      <c r="A900" s="7" t="s">
        <v>37</v>
      </c>
      <c r="B900" s="7" t="s">
        <v>1</v>
      </c>
      <c r="C900" s="7" t="s">
        <v>16</v>
      </c>
      <c r="D900" s="7">
        <f t="shared" si="17"/>
        <v>567</v>
      </c>
      <c r="E900" s="7">
        <v>2047</v>
      </c>
      <c r="F900" s="7">
        <v>115</v>
      </c>
      <c r="G900" s="7">
        <v>57386</v>
      </c>
    </row>
    <row r="901" spans="1:7" ht="18" x14ac:dyDescent="0.2">
      <c r="A901" s="7" t="s">
        <v>37</v>
      </c>
      <c r="B901" s="7" t="s">
        <v>1</v>
      </c>
      <c r="C901" s="7" t="s">
        <v>16</v>
      </c>
      <c r="D901" s="7">
        <f t="shared" si="17"/>
        <v>574</v>
      </c>
      <c r="E901" s="7">
        <v>2048</v>
      </c>
      <c r="F901" s="7">
        <v>115</v>
      </c>
      <c r="G901" s="7">
        <v>58191</v>
      </c>
    </row>
    <row r="902" spans="1:7" ht="18" x14ac:dyDescent="0.2">
      <c r="A902" s="7" t="s">
        <v>37</v>
      </c>
      <c r="B902" s="7" t="s">
        <v>1</v>
      </c>
      <c r="C902" s="7" t="s">
        <v>16</v>
      </c>
      <c r="D902" s="7">
        <f t="shared" si="17"/>
        <v>581</v>
      </c>
      <c r="E902" s="7">
        <v>2049</v>
      </c>
      <c r="F902" s="7">
        <v>115</v>
      </c>
      <c r="G902" s="7">
        <v>58996</v>
      </c>
    </row>
    <row r="903" spans="1:7" ht="18" x14ac:dyDescent="0.2">
      <c r="A903" s="7" t="s">
        <v>37</v>
      </c>
      <c r="B903" s="7" t="s">
        <v>1</v>
      </c>
      <c r="C903" s="7" t="s">
        <v>16</v>
      </c>
      <c r="D903" s="7">
        <f t="shared" si="17"/>
        <v>588</v>
      </c>
      <c r="E903" s="7">
        <v>2050</v>
      </c>
      <c r="F903" s="7">
        <v>115</v>
      </c>
      <c r="G903" s="7">
        <v>59801</v>
      </c>
    </row>
    <row r="904" spans="1:7" ht="18" x14ac:dyDescent="0.2">
      <c r="A904" s="7" t="s">
        <v>37</v>
      </c>
      <c r="B904" s="7" t="s">
        <v>1</v>
      </c>
      <c r="C904" s="7" t="s">
        <v>16</v>
      </c>
      <c r="D904" s="7">
        <f t="shared" si="17"/>
        <v>595</v>
      </c>
      <c r="E904" s="7">
        <v>2051</v>
      </c>
      <c r="F904" s="7">
        <v>115</v>
      </c>
      <c r="G904" s="7">
        <v>60606</v>
      </c>
    </row>
    <row r="905" spans="1:7" ht="18" x14ac:dyDescent="0.2">
      <c r="A905" s="7" t="s">
        <v>37</v>
      </c>
      <c r="B905" s="7" t="s">
        <v>1</v>
      </c>
      <c r="C905" s="7" t="s">
        <v>16</v>
      </c>
      <c r="D905" s="7">
        <f t="shared" si="17"/>
        <v>602</v>
      </c>
      <c r="E905" s="7">
        <v>2052</v>
      </c>
      <c r="F905" s="7">
        <v>115</v>
      </c>
      <c r="G905" s="7">
        <v>61411</v>
      </c>
    </row>
    <row r="906" spans="1:7" ht="18" x14ac:dyDescent="0.2">
      <c r="A906" s="7" t="s">
        <v>37</v>
      </c>
      <c r="B906" s="7" t="s">
        <v>1</v>
      </c>
      <c r="C906" s="7" t="s">
        <v>16</v>
      </c>
      <c r="D906" s="7">
        <f t="shared" si="17"/>
        <v>609</v>
      </c>
      <c r="E906" s="7">
        <v>2053</v>
      </c>
      <c r="F906" s="7">
        <v>115</v>
      </c>
      <c r="G906" s="7">
        <v>62216</v>
      </c>
    </row>
    <row r="907" spans="1:7" ht="18" x14ac:dyDescent="0.2">
      <c r="A907" s="7" t="s">
        <v>37</v>
      </c>
      <c r="B907" s="7" t="s">
        <v>1</v>
      </c>
      <c r="C907" s="7" t="s">
        <v>16</v>
      </c>
      <c r="D907" s="7">
        <f t="shared" si="17"/>
        <v>616</v>
      </c>
      <c r="E907" s="7">
        <v>2054</v>
      </c>
      <c r="F907" s="7">
        <v>115</v>
      </c>
      <c r="G907" s="7">
        <v>63021</v>
      </c>
    </row>
    <row r="908" spans="1:7" ht="18" x14ac:dyDescent="0.2">
      <c r="A908" s="7" t="s">
        <v>37</v>
      </c>
      <c r="B908" s="7" t="s">
        <v>1</v>
      </c>
      <c r="C908" s="7" t="s">
        <v>16</v>
      </c>
      <c r="D908" s="7">
        <f t="shared" si="17"/>
        <v>623</v>
      </c>
      <c r="E908" s="7">
        <v>2054</v>
      </c>
      <c r="F908" s="7">
        <v>115</v>
      </c>
      <c r="G908" s="7">
        <v>63826</v>
      </c>
    </row>
    <row r="909" spans="1:7" ht="18" x14ac:dyDescent="0.2">
      <c r="A909" s="7" t="s">
        <v>37</v>
      </c>
      <c r="B909" s="7" t="s">
        <v>1</v>
      </c>
      <c r="C909" s="7" t="s">
        <v>16</v>
      </c>
      <c r="D909" s="7">
        <f t="shared" si="17"/>
        <v>630</v>
      </c>
      <c r="E909" s="7">
        <v>2055</v>
      </c>
      <c r="F909" s="7">
        <v>115</v>
      </c>
      <c r="G909" s="7">
        <v>64631</v>
      </c>
    </row>
    <row r="910" spans="1:7" ht="18" x14ac:dyDescent="0.2">
      <c r="A910" s="7" t="s">
        <v>37</v>
      </c>
      <c r="B910" s="7" t="s">
        <v>1</v>
      </c>
      <c r="C910" s="7" t="s">
        <v>16</v>
      </c>
      <c r="D910" s="7">
        <f t="shared" si="17"/>
        <v>637</v>
      </c>
      <c r="E910" s="7">
        <v>2056</v>
      </c>
      <c r="F910" s="7">
        <v>115</v>
      </c>
      <c r="G910" s="7">
        <v>65436</v>
      </c>
    </row>
    <row r="911" spans="1:7" ht="18" x14ac:dyDescent="0.2">
      <c r="A911" s="7" t="s">
        <v>37</v>
      </c>
      <c r="B911" s="7" t="s">
        <v>1</v>
      </c>
      <c r="C911" s="7" t="s">
        <v>16</v>
      </c>
      <c r="D911" s="7">
        <f t="shared" si="17"/>
        <v>644</v>
      </c>
      <c r="E911" s="7">
        <v>2056</v>
      </c>
      <c r="F911" s="7">
        <v>115</v>
      </c>
      <c r="G911" s="7">
        <v>66241</v>
      </c>
    </row>
    <row r="912" spans="1:7" ht="18" x14ac:dyDescent="0.2">
      <c r="A912" s="7" t="s">
        <v>37</v>
      </c>
      <c r="B912" s="7" t="s">
        <v>1</v>
      </c>
      <c r="C912" s="7" t="s">
        <v>16</v>
      </c>
      <c r="D912" s="7">
        <f t="shared" si="17"/>
        <v>651</v>
      </c>
      <c r="E912" s="7">
        <v>2057</v>
      </c>
      <c r="F912" s="7">
        <v>115</v>
      </c>
      <c r="G912" s="7">
        <v>67046</v>
      </c>
    </row>
    <row r="913" spans="1:7" ht="18" x14ac:dyDescent="0.2">
      <c r="A913" s="7" t="s">
        <v>37</v>
      </c>
      <c r="B913" s="7" t="s">
        <v>1</v>
      </c>
      <c r="C913" s="7" t="s">
        <v>16</v>
      </c>
      <c r="D913" s="7">
        <f t="shared" si="17"/>
        <v>658</v>
      </c>
      <c r="E913" s="7">
        <v>2057</v>
      </c>
      <c r="F913" s="7">
        <v>115</v>
      </c>
      <c r="G913" s="7">
        <v>67851</v>
      </c>
    </row>
    <row r="914" spans="1:7" ht="18" x14ac:dyDescent="0.2">
      <c r="A914" s="7" t="s">
        <v>37</v>
      </c>
      <c r="B914" s="7" t="s">
        <v>1</v>
      </c>
      <c r="C914" s="7" t="s">
        <v>16</v>
      </c>
      <c r="D914" s="7">
        <f t="shared" si="17"/>
        <v>665</v>
      </c>
      <c r="E914" s="7">
        <v>2058</v>
      </c>
      <c r="F914" s="7">
        <v>115</v>
      </c>
      <c r="G914" s="7">
        <v>68656</v>
      </c>
    </row>
    <row r="915" spans="1:7" ht="18" x14ac:dyDescent="0.2">
      <c r="A915" s="7" t="s">
        <v>37</v>
      </c>
      <c r="B915" s="7" t="s">
        <v>1</v>
      </c>
      <c r="C915" s="7" t="s">
        <v>16</v>
      </c>
      <c r="D915" s="7">
        <f t="shared" si="17"/>
        <v>672</v>
      </c>
      <c r="E915" s="7">
        <v>2059</v>
      </c>
      <c r="F915" s="7">
        <v>115</v>
      </c>
      <c r="G915" s="7">
        <v>69461</v>
      </c>
    </row>
    <row r="916" spans="1:7" ht="18" x14ac:dyDescent="0.2">
      <c r="A916" s="7" t="s">
        <v>37</v>
      </c>
      <c r="B916" s="7" t="s">
        <v>1</v>
      </c>
      <c r="C916" s="7" t="s">
        <v>16</v>
      </c>
      <c r="D916" s="7">
        <f t="shared" si="17"/>
        <v>679</v>
      </c>
      <c r="E916" s="7">
        <v>2059</v>
      </c>
      <c r="F916" s="7">
        <v>115</v>
      </c>
      <c r="G916" s="7">
        <v>70266</v>
      </c>
    </row>
    <row r="917" spans="1:7" ht="18" x14ac:dyDescent="0.2">
      <c r="A917" s="7" t="s">
        <v>37</v>
      </c>
      <c r="B917" s="7" t="s">
        <v>1</v>
      </c>
      <c r="C917" s="7" t="s">
        <v>16</v>
      </c>
      <c r="D917" s="7">
        <f t="shared" si="17"/>
        <v>686</v>
      </c>
      <c r="E917" s="7">
        <v>2060</v>
      </c>
      <c r="F917" s="7">
        <v>115</v>
      </c>
      <c r="G917" s="7">
        <v>71071</v>
      </c>
    </row>
    <row r="918" spans="1:7" ht="18" x14ac:dyDescent="0.2">
      <c r="A918" s="7" t="s">
        <v>37</v>
      </c>
      <c r="B918" s="7" t="s">
        <v>1</v>
      </c>
      <c r="C918" s="7" t="s">
        <v>16</v>
      </c>
      <c r="D918" s="7">
        <f t="shared" si="17"/>
        <v>693</v>
      </c>
      <c r="E918" s="7">
        <v>2060</v>
      </c>
      <c r="F918" s="7">
        <v>115</v>
      </c>
      <c r="G918" s="7">
        <v>71876</v>
      </c>
    </row>
    <row r="919" spans="1:7" ht="18" x14ac:dyDescent="0.2">
      <c r="A919" s="7" t="s">
        <v>37</v>
      </c>
      <c r="B919" s="7" t="s">
        <v>1</v>
      </c>
      <c r="C919" s="7" t="s">
        <v>16</v>
      </c>
      <c r="D919" s="7">
        <f t="shared" si="17"/>
        <v>700</v>
      </c>
      <c r="E919" s="7">
        <v>2061</v>
      </c>
      <c r="F919" s="7">
        <v>115</v>
      </c>
      <c r="G919" s="7">
        <v>72681</v>
      </c>
    </row>
    <row r="920" spans="1:7" ht="18" x14ac:dyDescent="0.2">
      <c r="A920" s="7" t="s">
        <v>37</v>
      </c>
      <c r="B920" s="7" t="s">
        <v>1</v>
      </c>
      <c r="C920" s="7" t="s">
        <v>17</v>
      </c>
      <c r="D920" s="7">
        <v>7</v>
      </c>
      <c r="E920" s="7">
        <v>75</v>
      </c>
      <c r="F920" s="7">
        <v>11</v>
      </c>
      <c r="G920" s="7">
        <v>77</v>
      </c>
    </row>
    <row r="921" spans="1:7" ht="18" x14ac:dyDescent="0.2">
      <c r="A921" s="7" t="s">
        <v>37</v>
      </c>
      <c r="B921" s="7" t="s">
        <v>1</v>
      </c>
      <c r="C921" s="7" t="s">
        <v>17</v>
      </c>
      <c r="D921" s="7">
        <v>14</v>
      </c>
      <c r="E921" s="7">
        <v>125</v>
      </c>
      <c r="F921" s="7">
        <v>17</v>
      </c>
      <c r="G921" s="7">
        <v>196</v>
      </c>
    </row>
    <row r="922" spans="1:7" ht="18" x14ac:dyDescent="0.2">
      <c r="A922" s="7" t="s">
        <v>37</v>
      </c>
      <c r="B922" s="7" t="s">
        <v>1</v>
      </c>
      <c r="C922" s="7" t="s">
        <v>17</v>
      </c>
      <c r="D922" s="7">
        <f>D921+7</f>
        <v>21</v>
      </c>
      <c r="E922" s="7">
        <v>190</v>
      </c>
      <c r="F922" s="7">
        <v>24</v>
      </c>
      <c r="G922" s="7">
        <v>364</v>
      </c>
    </row>
    <row r="923" spans="1:7" ht="18" x14ac:dyDescent="0.2">
      <c r="A923" s="7" t="s">
        <v>37</v>
      </c>
      <c r="B923" s="7" t="s">
        <v>1</v>
      </c>
      <c r="C923" s="7" t="s">
        <v>17</v>
      </c>
      <c r="D923" s="7">
        <f>D922+7</f>
        <v>28</v>
      </c>
      <c r="E923" s="7">
        <v>269</v>
      </c>
      <c r="F923" s="7">
        <v>30</v>
      </c>
      <c r="G923" s="7">
        <v>574</v>
      </c>
    </row>
    <row r="924" spans="1:7" ht="18" x14ac:dyDescent="0.2">
      <c r="A924" s="7" t="s">
        <v>37</v>
      </c>
      <c r="B924" s="7" t="s">
        <v>1</v>
      </c>
      <c r="C924" s="7" t="s">
        <v>17</v>
      </c>
      <c r="D924" s="7">
        <f t="shared" ref="D924:D987" si="18">D923+7</f>
        <v>35</v>
      </c>
      <c r="E924" s="7">
        <v>361</v>
      </c>
      <c r="F924" s="7">
        <v>36</v>
      </c>
      <c r="G924" s="7">
        <v>826</v>
      </c>
    </row>
    <row r="925" spans="1:7" ht="18" x14ac:dyDescent="0.2">
      <c r="A925" s="7" t="s">
        <v>37</v>
      </c>
      <c r="B925" s="7" t="s">
        <v>1</v>
      </c>
      <c r="C925" s="7" t="s">
        <v>17</v>
      </c>
      <c r="D925" s="7">
        <f t="shared" si="18"/>
        <v>42</v>
      </c>
      <c r="E925" s="7">
        <v>463</v>
      </c>
      <c r="F925" s="7">
        <v>42</v>
      </c>
      <c r="G925" s="7">
        <v>1120</v>
      </c>
    </row>
    <row r="926" spans="1:7" ht="18" x14ac:dyDescent="0.2">
      <c r="A926" s="7" t="s">
        <v>37</v>
      </c>
      <c r="B926" s="7" t="s">
        <v>1</v>
      </c>
      <c r="C926" s="7" t="s">
        <v>17</v>
      </c>
      <c r="D926" s="7">
        <f t="shared" si="18"/>
        <v>49</v>
      </c>
      <c r="E926" s="7">
        <v>566</v>
      </c>
      <c r="F926" s="7">
        <v>47</v>
      </c>
      <c r="G926" s="7">
        <v>1449</v>
      </c>
    </row>
    <row r="927" spans="1:7" ht="18" x14ac:dyDescent="0.2">
      <c r="A927" s="7" t="s">
        <v>37</v>
      </c>
      <c r="B927" s="7" t="s">
        <v>1</v>
      </c>
      <c r="C927" s="7" t="s">
        <v>17</v>
      </c>
      <c r="D927" s="7">
        <f t="shared" si="18"/>
        <v>56</v>
      </c>
      <c r="E927" s="7">
        <v>667</v>
      </c>
      <c r="F927" s="7">
        <v>52</v>
      </c>
      <c r="G927" s="7">
        <v>1813</v>
      </c>
    </row>
    <row r="928" spans="1:7" ht="18" x14ac:dyDescent="0.2">
      <c r="A928" s="7" t="s">
        <v>37</v>
      </c>
      <c r="B928" s="7" t="s">
        <v>1</v>
      </c>
      <c r="C928" s="7" t="s">
        <v>17</v>
      </c>
      <c r="D928" s="7">
        <f t="shared" si="18"/>
        <v>63</v>
      </c>
      <c r="E928" s="7">
        <v>765</v>
      </c>
      <c r="F928" s="7">
        <v>56</v>
      </c>
      <c r="G928" s="7">
        <v>2205</v>
      </c>
    </row>
    <row r="929" spans="1:7" ht="18" x14ac:dyDescent="0.2">
      <c r="A929" s="7" t="s">
        <v>37</v>
      </c>
      <c r="B929" s="7" t="s">
        <v>1</v>
      </c>
      <c r="C929" s="7" t="s">
        <v>17</v>
      </c>
      <c r="D929" s="7">
        <f t="shared" si="18"/>
        <v>70</v>
      </c>
      <c r="E929" s="7">
        <v>860</v>
      </c>
      <c r="F929" s="7">
        <v>60</v>
      </c>
      <c r="G929" s="7">
        <v>2625</v>
      </c>
    </row>
    <row r="930" spans="1:7" ht="18" x14ac:dyDescent="0.2">
      <c r="A930" s="7" t="s">
        <v>37</v>
      </c>
      <c r="B930" s="7" t="s">
        <v>1</v>
      </c>
      <c r="C930" s="7" t="s">
        <v>17</v>
      </c>
      <c r="D930" s="7">
        <f t="shared" si="18"/>
        <v>77</v>
      </c>
      <c r="E930" s="7">
        <v>949</v>
      </c>
      <c r="F930" s="7">
        <v>64</v>
      </c>
      <c r="G930" s="7">
        <v>3073</v>
      </c>
    </row>
    <row r="931" spans="1:7" ht="18" x14ac:dyDescent="0.2">
      <c r="A931" s="7" t="s">
        <v>37</v>
      </c>
      <c r="B931" s="7" t="s">
        <v>1</v>
      </c>
      <c r="C931" s="7" t="s">
        <v>17</v>
      </c>
      <c r="D931" s="7">
        <f t="shared" si="18"/>
        <v>84</v>
      </c>
      <c r="E931" s="7">
        <v>1034</v>
      </c>
      <c r="F931" s="7">
        <v>67</v>
      </c>
      <c r="G931" s="7">
        <v>3542</v>
      </c>
    </row>
    <row r="932" spans="1:7" ht="18" x14ac:dyDescent="0.2">
      <c r="A932" s="7" t="s">
        <v>37</v>
      </c>
      <c r="B932" s="7" t="s">
        <v>1</v>
      </c>
      <c r="C932" s="7" t="s">
        <v>17</v>
      </c>
      <c r="D932" s="7">
        <f t="shared" si="18"/>
        <v>91</v>
      </c>
      <c r="E932" s="7">
        <v>1115</v>
      </c>
      <c r="F932" s="7">
        <v>71</v>
      </c>
      <c r="G932" s="7">
        <v>4039</v>
      </c>
    </row>
    <row r="933" spans="1:7" ht="18" x14ac:dyDescent="0.2">
      <c r="A933" s="7" t="s">
        <v>37</v>
      </c>
      <c r="B933" s="7" t="s">
        <v>1</v>
      </c>
      <c r="C933" s="7" t="s">
        <v>17</v>
      </c>
      <c r="D933" s="7">
        <f t="shared" si="18"/>
        <v>98</v>
      </c>
      <c r="E933" s="7">
        <v>1193</v>
      </c>
      <c r="F933" s="7">
        <v>74</v>
      </c>
      <c r="G933" s="7">
        <v>4557</v>
      </c>
    </row>
    <row r="934" spans="1:7" ht="18" x14ac:dyDescent="0.2">
      <c r="A934" s="7" t="s">
        <v>37</v>
      </c>
      <c r="B934" s="7" t="s">
        <v>1</v>
      </c>
      <c r="C934" s="7" t="s">
        <v>17</v>
      </c>
      <c r="D934" s="7">
        <f t="shared" si="18"/>
        <v>105</v>
      </c>
      <c r="E934" s="7">
        <v>1267</v>
      </c>
      <c r="F934" s="7">
        <v>78</v>
      </c>
      <c r="G934" s="7">
        <v>5103</v>
      </c>
    </row>
    <row r="935" spans="1:7" ht="18" x14ac:dyDescent="0.2">
      <c r="A935" s="7" t="s">
        <v>37</v>
      </c>
      <c r="B935" s="7" t="s">
        <v>1</v>
      </c>
      <c r="C935" s="7" t="s">
        <v>17</v>
      </c>
      <c r="D935" s="7">
        <f t="shared" si="18"/>
        <v>112</v>
      </c>
      <c r="E935" s="7">
        <v>1338</v>
      </c>
      <c r="F935" s="7">
        <v>82</v>
      </c>
      <c r="G935" s="7">
        <v>5677</v>
      </c>
    </row>
    <row r="936" spans="1:7" ht="18" x14ac:dyDescent="0.2">
      <c r="A936" s="7" t="s">
        <v>37</v>
      </c>
      <c r="B936" s="7" t="s">
        <v>1</v>
      </c>
      <c r="C936" s="7" t="s">
        <v>17</v>
      </c>
      <c r="D936" s="7">
        <f t="shared" si="18"/>
        <v>119</v>
      </c>
      <c r="E936" s="7">
        <v>1407</v>
      </c>
      <c r="F936" s="7">
        <v>86</v>
      </c>
      <c r="G936" s="7">
        <v>6279</v>
      </c>
    </row>
    <row r="937" spans="1:7" ht="18" x14ac:dyDescent="0.2">
      <c r="A937" s="7" t="s">
        <v>37</v>
      </c>
      <c r="B937" s="7" t="s">
        <v>1</v>
      </c>
      <c r="C937" s="7" t="s">
        <v>17</v>
      </c>
      <c r="D937" s="7">
        <f t="shared" si="18"/>
        <v>126</v>
      </c>
      <c r="E937" s="7">
        <v>1475</v>
      </c>
      <c r="F937" s="7">
        <v>91</v>
      </c>
      <c r="G937" s="7">
        <v>6916</v>
      </c>
    </row>
    <row r="938" spans="1:7" ht="18" x14ac:dyDescent="0.2">
      <c r="A938" s="7" t="s">
        <v>37</v>
      </c>
      <c r="B938" s="7" t="s">
        <v>1</v>
      </c>
      <c r="C938" s="7" t="s">
        <v>17</v>
      </c>
      <c r="D938" s="7">
        <f t="shared" si="18"/>
        <v>133</v>
      </c>
      <c r="E938" s="7">
        <v>1544</v>
      </c>
      <c r="F938" s="7">
        <v>97</v>
      </c>
      <c r="G938" s="7">
        <v>7595</v>
      </c>
    </row>
    <row r="939" spans="1:7" ht="18" x14ac:dyDescent="0.2">
      <c r="A939" s="7" t="s">
        <v>37</v>
      </c>
      <c r="B939" s="7" t="s">
        <v>1</v>
      </c>
      <c r="C939" s="7" t="s">
        <v>17</v>
      </c>
      <c r="D939" s="7">
        <f t="shared" si="18"/>
        <v>140</v>
      </c>
      <c r="E939" s="7">
        <v>1613</v>
      </c>
      <c r="F939" s="7">
        <v>103</v>
      </c>
      <c r="G939" s="7">
        <v>8316</v>
      </c>
    </row>
    <row r="940" spans="1:7" ht="18" x14ac:dyDescent="0.2">
      <c r="A940" s="7" t="s">
        <v>37</v>
      </c>
      <c r="B940" s="7" t="s">
        <v>1</v>
      </c>
      <c r="C940" s="7" t="s">
        <v>17</v>
      </c>
      <c r="D940" s="7">
        <f t="shared" si="18"/>
        <v>147</v>
      </c>
      <c r="E940" s="7">
        <v>1679</v>
      </c>
      <c r="F940" s="7">
        <v>108</v>
      </c>
      <c r="G940" s="7">
        <v>9072</v>
      </c>
    </row>
    <row r="941" spans="1:7" ht="18" x14ac:dyDescent="0.2">
      <c r="A941" s="7" t="s">
        <v>37</v>
      </c>
      <c r="B941" s="7" t="s">
        <v>1</v>
      </c>
      <c r="C941" s="7" t="s">
        <v>17</v>
      </c>
      <c r="D941" s="7">
        <f t="shared" si="18"/>
        <v>154</v>
      </c>
      <c r="E941" s="7">
        <v>1737</v>
      </c>
      <c r="F941" s="7">
        <v>112</v>
      </c>
      <c r="G941" s="7">
        <v>9856</v>
      </c>
    </row>
    <row r="942" spans="1:7" ht="18" x14ac:dyDescent="0.2">
      <c r="A942" s="7" t="s">
        <v>37</v>
      </c>
      <c r="B942" s="7" t="s">
        <v>1</v>
      </c>
      <c r="C942" s="7" t="s">
        <v>17</v>
      </c>
      <c r="D942" s="7">
        <f t="shared" si="18"/>
        <v>161</v>
      </c>
      <c r="E942" s="7">
        <v>1781</v>
      </c>
      <c r="F942" s="7">
        <v>114</v>
      </c>
      <c r="G942" s="7">
        <v>10654</v>
      </c>
    </row>
    <row r="943" spans="1:7" ht="18" x14ac:dyDescent="0.2">
      <c r="A943" s="7" t="s">
        <v>37</v>
      </c>
      <c r="B943" s="7" t="s">
        <v>1</v>
      </c>
      <c r="C943" s="7" t="s">
        <v>17</v>
      </c>
      <c r="D943" s="7">
        <f t="shared" si="18"/>
        <v>168</v>
      </c>
      <c r="E943" s="7">
        <v>1817</v>
      </c>
      <c r="F943" s="7">
        <v>114</v>
      </c>
      <c r="G943" s="7">
        <v>11452</v>
      </c>
    </row>
    <row r="944" spans="1:7" ht="18" x14ac:dyDescent="0.2">
      <c r="A944" s="7" t="s">
        <v>37</v>
      </c>
      <c r="B944" s="7" t="s">
        <v>1</v>
      </c>
      <c r="C944" s="7" t="s">
        <v>17</v>
      </c>
      <c r="D944" s="7">
        <f t="shared" si="18"/>
        <v>175</v>
      </c>
      <c r="E944" s="7">
        <v>1843</v>
      </c>
      <c r="F944" s="7">
        <v>114</v>
      </c>
      <c r="G944" s="7">
        <v>12250</v>
      </c>
    </row>
    <row r="945" spans="1:7" ht="18" x14ac:dyDescent="0.2">
      <c r="A945" s="7" t="s">
        <v>37</v>
      </c>
      <c r="B945" s="7" t="s">
        <v>1</v>
      </c>
      <c r="C945" s="7" t="s">
        <v>17</v>
      </c>
      <c r="D945" s="7">
        <f t="shared" si="18"/>
        <v>182</v>
      </c>
      <c r="E945" s="7">
        <v>1859</v>
      </c>
      <c r="F945" s="7">
        <v>114</v>
      </c>
      <c r="G945" s="7">
        <v>13048</v>
      </c>
    </row>
    <row r="946" spans="1:7" ht="18" x14ac:dyDescent="0.2">
      <c r="A946" s="7" t="s">
        <v>37</v>
      </c>
      <c r="B946" s="7" t="s">
        <v>1</v>
      </c>
      <c r="C946" s="7" t="s">
        <v>17</v>
      </c>
      <c r="D946" s="7">
        <f t="shared" si="18"/>
        <v>189</v>
      </c>
      <c r="E946" s="7">
        <v>1867</v>
      </c>
      <c r="F946" s="7">
        <v>114</v>
      </c>
      <c r="G946" s="7">
        <v>13846</v>
      </c>
    </row>
    <row r="947" spans="1:7" ht="18" x14ac:dyDescent="0.2">
      <c r="A947" s="7" t="s">
        <v>37</v>
      </c>
      <c r="B947" s="7" t="s">
        <v>1</v>
      </c>
      <c r="C947" s="7" t="s">
        <v>17</v>
      </c>
      <c r="D947" s="7">
        <f t="shared" si="18"/>
        <v>196</v>
      </c>
      <c r="E947" s="7">
        <v>1872</v>
      </c>
      <c r="F947" s="7">
        <v>114</v>
      </c>
      <c r="G947" s="7">
        <v>14644</v>
      </c>
    </row>
    <row r="948" spans="1:7" ht="18" x14ac:dyDescent="0.2">
      <c r="A948" s="7" t="s">
        <v>37</v>
      </c>
      <c r="B948" s="7" t="s">
        <v>1</v>
      </c>
      <c r="C948" s="7" t="s">
        <v>17</v>
      </c>
      <c r="D948" s="7">
        <f t="shared" si="18"/>
        <v>203</v>
      </c>
      <c r="E948" s="7">
        <v>1875</v>
      </c>
      <c r="F948" s="7">
        <v>114</v>
      </c>
      <c r="G948" s="7">
        <v>15442</v>
      </c>
    </row>
    <row r="949" spans="1:7" ht="18" x14ac:dyDescent="0.2">
      <c r="A949" s="7" t="s">
        <v>37</v>
      </c>
      <c r="B949" s="7" t="s">
        <v>1</v>
      </c>
      <c r="C949" s="7" t="s">
        <v>17</v>
      </c>
      <c r="D949" s="7">
        <f t="shared" si="18"/>
        <v>210</v>
      </c>
      <c r="E949" s="7">
        <v>1878</v>
      </c>
      <c r="F949" s="7">
        <v>114</v>
      </c>
      <c r="G949" s="7">
        <v>16240</v>
      </c>
    </row>
    <row r="950" spans="1:7" ht="18" x14ac:dyDescent="0.2">
      <c r="A950" s="7" t="s">
        <v>37</v>
      </c>
      <c r="B950" s="7" t="s">
        <v>1</v>
      </c>
      <c r="C950" s="7" t="s">
        <v>17</v>
      </c>
      <c r="D950" s="7">
        <f t="shared" si="18"/>
        <v>217</v>
      </c>
      <c r="E950" s="7">
        <v>1881</v>
      </c>
      <c r="F950" s="7">
        <v>114</v>
      </c>
      <c r="G950" s="7">
        <v>17038</v>
      </c>
    </row>
    <row r="951" spans="1:7" ht="18" x14ac:dyDescent="0.2">
      <c r="A951" s="7" t="s">
        <v>37</v>
      </c>
      <c r="B951" s="7" t="s">
        <v>1</v>
      </c>
      <c r="C951" s="7" t="s">
        <v>17</v>
      </c>
      <c r="D951" s="7">
        <f t="shared" si="18"/>
        <v>224</v>
      </c>
      <c r="E951" s="7">
        <v>1883</v>
      </c>
      <c r="F951" s="7">
        <v>114</v>
      </c>
      <c r="G951" s="7">
        <v>17836</v>
      </c>
    </row>
    <row r="952" spans="1:7" ht="18" x14ac:dyDescent="0.2">
      <c r="A952" s="7" t="s">
        <v>37</v>
      </c>
      <c r="B952" s="7" t="s">
        <v>1</v>
      </c>
      <c r="C952" s="7" t="s">
        <v>17</v>
      </c>
      <c r="D952" s="7">
        <f t="shared" si="18"/>
        <v>231</v>
      </c>
      <c r="E952" s="7">
        <v>1886</v>
      </c>
      <c r="F952" s="7">
        <v>114</v>
      </c>
      <c r="G952" s="7">
        <v>18634</v>
      </c>
    </row>
    <row r="953" spans="1:7" ht="18" x14ac:dyDescent="0.2">
      <c r="A953" s="7" t="s">
        <v>37</v>
      </c>
      <c r="B953" s="7" t="s">
        <v>1</v>
      </c>
      <c r="C953" s="7" t="s">
        <v>17</v>
      </c>
      <c r="D953" s="7">
        <f t="shared" si="18"/>
        <v>238</v>
      </c>
      <c r="E953" s="7">
        <v>1889</v>
      </c>
      <c r="F953" s="7">
        <v>114</v>
      </c>
      <c r="G953" s="7">
        <v>19432</v>
      </c>
    </row>
    <row r="954" spans="1:7" ht="18" x14ac:dyDescent="0.2">
      <c r="A954" s="7" t="s">
        <v>37</v>
      </c>
      <c r="B954" s="7" t="s">
        <v>1</v>
      </c>
      <c r="C954" s="7" t="s">
        <v>17</v>
      </c>
      <c r="D954" s="7">
        <f t="shared" si="18"/>
        <v>245</v>
      </c>
      <c r="E954" s="7">
        <v>1891</v>
      </c>
      <c r="F954" s="7">
        <v>114</v>
      </c>
      <c r="G954" s="7">
        <v>20230</v>
      </c>
    </row>
    <row r="955" spans="1:7" ht="18" x14ac:dyDescent="0.2">
      <c r="A955" s="7" t="s">
        <v>37</v>
      </c>
      <c r="B955" s="7" t="s">
        <v>1</v>
      </c>
      <c r="C955" s="7" t="s">
        <v>17</v>
      </c>
      <c r="D955" s="7">
        <f t="shared" si="18"/>
        <v>252</v>
      </c>
      <c r="E955" s="7">
        <v>1893</v>
      </c>
      <c r="F955" s="7">
        <v>114</v>
      </c>
      <c r="G955" s="7">
        <v>21028</v>
      </c>
    </row>
    <row r="956" spans="1:7" ht="18" x14ac:dyDescent="0.2">
      <c r="A956" s="7" t="s">
        <v>37</v>
      </c>
      <c r="B956" s="7" t="s">
        <v>1</v>
      </c>
      <c r="C956" s="7" t="s">
        <v>17</v>
      </c>
      <c r="D956" s="7">
        <f t="shared" si="18"/>
        <v>259</v>
      </c>
      <c r="E956" s="7">
        <v>1895</v>
      </c>
      <c r="F956" s="7">
        <v>114</v>
      </c>
      <c r="G956" s="7">
        <v>21826</v>
      </c>
    </row>
    <row r="957" spans="1:7" ht="18" x14ac:dyDescent="0.2">
      <c r="A957" s="7" t="s">
        <v>37</v>
      </c>
      <c r="B957" s="7" t="s">
        <v>1</v>
      </c>
      <c r="C957" s="7" t="s">
        <v>17</v>
      </c>
      <c r="D957" s="7">
        <f t="shared" si="18"/>
        <v>266</v>
      </c>
      <c r="E957" s="7">
        <v>1897</v>
      </c>
      <c r="F957" s="7">
        <v>114</v>
      </c>
      <c r="G957" s="7">
        <v>22624</v>
      </c>
    </row>
    <row r="958" spans="1:7" ht="18" x14ac:dyDescent="0.2">
      <c r="A958" s="7" t="s">
        <v>37</v>
      </c>
      <c r="B958" s="7" t="s">
        <v>1</v>
      </c>
      <c r="C958" s="7" t="s">
        <v>17</v>
      </c>
      <c r="D958" s="7">
        <f t="shared" si="18"/>
        <v>273</v>
      </c>
      <c r="E958" s="7">
        <v>1900</v>
      </c>
      <c r="F958" s="7">
        <v>114</v>
      </c>
      <c r="G958" s="7">
        <v>23422</v>
      </c>
    </row>
    <row r="959" spans="1:7" ht="18" x14ac:dyDescent="0.2">
      <c r="A959" s="7" t="s">
        <v>37</v>
      </c>
      <c r="B959" s="7" t="s">
        <v>1</v>
      </c>
      <c r="C959" s="7" t="s">
        <v>17</v>
      </c>
      <c r="D959" s="7">
        <f t="shared" si="18"/>
        <v>280</v>
      </c>
      <c r="E959" s="7">
        <v>1902</v>
      </c>
      <c r="F959" s="7">
        <v>114</v>
      </c>
      <c r="G959" s="7">
        <v>24220</v>
      </c>
    </row>
    <row r="960" spans="1:7" ht="18" x14ac:dyDescent="0.2">
      <c r="A960" s="7" t="s">
        <v>37</v>
      </c>
      <c r="B960" s="7" t="s">
        <v>1</v>
      </c>
      <c r="C960" s="7" t="s">
        <v>17</v>
      </c>
      <c r="D960" s="7">
        <f t="shared" si="18"/>
        <v>287</v>
      </c>
      <c r="E960" s="7">
        <v>1905</v>
      </c>
      <c r="F960" s="7">
        <v>114</v>
      </c>
      <c r="G960" s="7">
        <v>25018</v>
      </c>
    </row>
    <row r="961" spans="1:7" ht="18" x14ac:dyDescent="0.2">
      <c r="A961" s="7" t="s">
        <v>37</v>
      </c>
      <c r="B961" s="7" t="s">
        <v>1</v>
      </c>
      <c r="C961" s="7" t="s">
        <v>17</v>
      </c>
      <c r="D961" s="7">
        <f t="shared" si="18"/>
        <v>294</v>
      </c>
      <c r="E961" s="7">
        <v>1908</v>
      </c>
      <c r="F961" s="7">
        <v>114</v>
      </c>
      <c r="G961" s="7">
        <v>25816</v>
      </c>
    </row>
    <row r="962" spans="1:7" ht="18" x14ac:dyDescent="0.2">
      <c r="A962" s="7" t="s">
        <v>37</v>
      </c>
      <c r="B962" s="7" t="s">
        <v>1</v>
      </c>
      <c r="C962" s="7" t="s">
        <v>17</v>
      </c>
      <c r="D962" s="7">
        <f t="shared" si="18"/>
        <v>301</v>
      </c>
      <c r="E962" s="7">
        <v>1910</v>
      </c>
      <c r="F962" s="7">
        <v>114</v>
      </c>
      <c r="G962" s="7">
        <v>26614</v>
      </c>
    </row>
    <row r="963" spans="1:7" ht="18" x14ac:dyDescent="0.2">
      <c r="A963" s="7" t="s">
        <v>37</v>
      </c>
      <c r="B963" s="7" t="s">
        <v>1</v>
      </c>
      <c r="C963" s="7" t="s">
        <v>17</v>
      </c>
      <c r="D963" s="7">
        <f t="shared" si="18"/>
        <v>308</v>
      </c>
      <c r="E963" s="7">
        <v>1912</v>
      </c>
      <c r="F963" s="7">
        <v>114</v>
      </c>
      <c r="G963" s="7">
        <v>27412</v>
      </c>
    </row>
    <row r="964" spans="1:7" ht="18" x14ac:dyDescent="0.2">
      <c r="A964" s="7" t="s">
        <v>37</v>
      </c>
      <c r="B964" s="7" t="s">
        <v>1</v>
      </c>
      <c r="C964" s="7" t="s">
        <v>17</v>
      </c>
      <c r="D964" s="7">
        <f t="shared" si="18"/>
        <v>315</v>
      </c>
      <c r="E964" s="7">
        <v>1915</v>
      </c>
      <c r="F964" s="7">
        <v>114</v>
      </c>
      <c r="G964" s="7">
        <v>28210</v>
      </c>
    </row>
    <row r="965" spans="1:7" ht="18" x14ac:dyDescent="0.2">
      <c r="A965" s="7" t="s">
        <v>37</v>
      </c>
      <c r="B965" s="7" t="s">
        <v>1</v>
      </c>
      <c r="C965" s="7" t="s">
        <v>17</v>
      </c>
      <c r="D965" s="7">
        <f t="shared" si="18"/>
        <v>322</v>
      </c>
      <c r="E965" s="7">
        <v>1917</v>
      </c>
      <c r="F965" s="7">
        <v>114</v>
      </c>
      <c r="G965" s="7">
        <v>29008</v>
      </c>
    </row>
    <row r="966" spans="1:7" ht="18" x14ac:dyDescent="0.2">
      <c r="A966" s="7" t="s">
        <v>37</v>
      </c>
      <c r="B966" s="7" t="s">
        <v>1</v>
      </c>
      <c r="C966" s="7" t="s">
        <v>17</v>
      </c>
      <c r="D966" s="7">
        <f t="shared" si="18"/>
        <v>329</v>
      </c>
      <c r="E966" s="7">
        <v>1920</v>
      </c>
      <c r="F966" s="7">
        <v>114</v>
      </c>
      <c r="G966" s="7">
        <v>29806</v>
      </c>
    </row>
    <row r="967" spans="1:7" ht="18" x14ac:dyDescent="0.2">
      <c r="A967" s="7" t="s">
        <v>37</v>
      </c>
      <c r="B967" s="7" t="s">
        <v>1</v>
      </c>
      <c r="C967" s="7" t="s">
        <v>17</v>
      </c>
      <c r="D967" s="7">
        <f t="shared" si="18"/>
        <v>336</v>
      </c>
      <c r="E967" s="7">
        <v>1922</v>
      </c>
      <c r="F967" s="7">
        <v>114</v>
      </c>
      <c r="G967" s="7">
        <v>30604</v>
      </c>
    </row>
    <row r="968" spans="1:7" ht="18" x14ac:dyDescent="0.2">
      <c r="A968" s="7" t="s">
        <v>37</v>
      </c>
      <c r="B968" s="7" t="s">
        <v>1</v>
      </c>
      <c r="C968" s="7" t="s">
        <v>17</v>
      </c>
      <c r="D968" s="7">
        <f t="shared" si="18"/>
        <v>343</v>
      </c>
      <c r="E968" s="7">
        <v>1925</v>
      </c>
      <c r="F968" s="7">
        <v>114</v>
      </c>
      <c r="G968" s="7">
        <v>31402</v>
      </c>
    </row>
    <row r="969" spans="1:7" ht="18" x14ac:dyDescent="0.2">
      <c r="A969" s="7" t="s">
        <v>37</v>
      </c>
      <c r="B969" s="7" t="s">
        <v>1</v>
      </c>
      <c r="C969" s="7" t="s">
        <v>17</v>
      </c>
      <c r="D969" s="7">
        <f t="shared" si="18"/>
        <v>350</v>
      </c>
      <c r="E969" s="7">
        <v>1928</v>
      </c>
      <c r="F969" s="7">
        <v>114</v>
      </c>
      <c r="G969" s="7">
        <v>32200</v>
      </c>
    </row>
    <row r="970" spans="1:7" ht="18" x14ac:dyDescent="0.2">
      <c r="A970" s="7" t="s">
        <v>37</v>
      </c>
      <c r="B970" s="7" t="s">
        <v>1</v>
      </c>
      <c r="C970" s="7" t="s">
        <v>17</v>
      </c>
      <c r="D970" s="7">
        <f t="shared" si="18"/>
        <v>357</v>
      </c>
      <c r="E970" s="7">
        <v>1930</v>
      </c>
      <c r="F970" s="7">
        <v>114</v>
      </c>
      <c r="G970" s="7">
        <v>32998</v>
      </c>
    </row>
    <row r="971" spans="1:7" ht="18" x14ac:dyDescent="0.2">
      <c r="A971" s="7" t="s">
        <v>37</v>
      </c>
      <c r="B971" s="7" t="s">
        <v>1</v>
      </c>
      <c r="C971" s="7" t="s">
        <v>17</v>
      </c>
      <c r="D971" s="7">
        <f t="shared" si="18"/>
        <v>364</v>
      </c>
      <c r="E971" s="7">
        <v>1932</v>
      </c>
      <c r="F971" s="7">
        <v>114</v>
      </c>
      <c r="G971" s="7">
        <v>33796</v>
      </c>
    </row>
    <row r="972" spans="1:7" ht="18" x14ac:dyDescent="0.2">
      <c r="A972" s="7" t="s">
        <v>37</v>
      </c>
      <c r="B972" s="7" t="s">
        <v>1</v>
      </c>
      <c r="C972" s="7" t="s">
        <v>17</v>
      </c>
      <c r="D972" s="7">
        <f t="shared" si="18"/>
        <v>371</v>
      </c>
      <c r="E972" s="7">
        <v>1934</v>
      </c>
      <c r="F972" s="7">
        <v>114</v>
      </c>
      <c r="G972" s="7">
        <v>34594</v>
      </c>
    </row>
    <row r="973" spans="1:7" ht="18" x14ac:dyDescent="0.2">
      <c r="A973" s="7" t="s">
        <v>37</v>
      </c>
      <c r="B973" s="7" t="s">
        <v>1</v>
      </c>
      <c r="C973" s="7" t="s">
        <v>17</v>
      </c>
      <c r="D973" s="7">
        <f t="shared" si="18"/>
        <v>378</v>
      </c>
      <c r="E973" s="7">
        <v>1936</v>
      </c>
      <c r="F973" s="7">
        <v>114</v>
      </c>
      <c r="G973" s="7">
        <v>35392</v>
      </c>
    </row>
    <row r="974" spans="1:7" ht="18" x14ac:dyDescent="0.2">
      <c r="A974" s="7" t="s">
        <v>37</v>
      </c>
      <c r="B974" s="7" t="s">
        <v>1</v>
      </c>
      <c r="C974" s="7" t="s">
        <v>17</v>
      </c>
      <c r="D974" s="7">
        <f t="shared" si="18"/>
        <v>385</v>
      </c>
      <c r="E974" s="7">
        <v>1939</v>
      </c>
      <c r="F974" s="7">
        <v>114</v>
      </c>
      <c r="G974" s="7">
        <v>36190</v>
      </c>
    </row>
    <row r="975" spans="1:7" ht="18" x14ac:dyDescent="0.2">
      <c r="A975" s="7" t="s">
        <v>37</v>
      </c>
      <c r="B975" s="7" t="s">
        <v>1</v>
      </c>
      <c r="C975" s="7" t="s">
        <v>17</v>
      </c>
      <c r="D975" s="7">
        <f t="shared" si="18"/>
        <v>392</v>
      </c>
      <c r="E975" s="7">
        <v>1942</v>
      </c>
      <c r="F975" s="7">
        <v>114</v>
      </c>
      <c r="G975" s="7">
        <v>36988</v>
      </c>
    </row>
    <row r="976" spans="1:7" ht="18" x14ac:dyDescent="0.2">
      <c r="A976" s="7" t="s">
        <v>37</v>
      </c>
      <c r="B976" s="7" t="s">
        <v>1</v>
      </c>
      <c r="C976" s="7" t="s">
        <v>17</v>
      </c>
      <c r="D976" s="7">
        <f t="shared" si="18"/>
        <v>399</v>
      </c>
      <c r="E976" s="7">
        <v>1945</v>
      </c>
      <c r="F976" s="7">
        <v>114</v>
      </c>
      <c r="G976" s="7">
        <v>37786</v>
      </c>
    </row>
    <row r="977" spans="1:7" ht="18" x14ac:dyDescent="0.2">
      <c r="A977" s="7" t="s">
        <v>37</v>
      </c>
      <c r="B977" s="7" t="s">
        <v>1</v>
      </c>
      <c r="C977" s="7" t="s">
        <v>17</v>
      </c>
      <c r="D977" s="7">
        <f t="shared" si="18"/>
        <v>406</v>
      </c>
      <c r="E977" s="7">
        <v>1947</v>
      </c>
      <c r="F977" s="7">
        <v>114</v>
      </c>
      <c r="G977" s="7">
        <v>38584</v>
      </c>
    </row>
    <row r="978" spans="1:7" ht="18" x14ac:dyDescent="0.2">
      <c r="A978" s="7" t="s">
        <v>37</v>
      </c>
      <c r="B978" s="7" t="s">
        <v>1</v>
      </c>
      <c r="C978" s="7" t="s">
        <v>17</v>
      </c>
      <c r="D978" s="7">
        <f t="shared" si="18"/>
        <v>413</v>
      </c>
      <c r="E978" s="7">
        <v>1949</v>
      </c>
      <c r="F978" s="7">
        <v>114</v>
      </c>
      <c r="G978" s="7">
        <v>39382</v>
      </c>
    </row>
    <row r="979" spans="1:7" ht="18" x14ac:dyDescent="0.2">
      <c r="A979" s="7" t="s">
        <v>37</v>
      </c>
      <c r="B979" s="7" t="s">
        <v>1</v>
      </c>
      <c r="C979" s="7" t="s">
        <v>17</v>
      </c>
      <c r="D979" s="7">
        <f t="shared" si="18"/>
        <v>420</v>
      </c>
      <c r="E979" s="7">
        <v>1951</v>
      </c>
      <c r="F979" s="7">
        <v>114</v>
      </c>
      <c r="G979" s="7">
        <v>40180</v>
      </c>
    </row>
    <row r="980" spans="1:7" ht="18" x14ac:dyDescent="0.2">
      <c r="A980" s="7" t="s">
        <v>37</v>
      </c>
      <c r="B980" s="7" t="s">
        <v>1</v>
      </c>
      <c r="C980" s="7" t="s">
        <v>17</v>
      </c>
      <c r="D980" s="7">
        <f t="shared" si="18"/>
        <v>427</v>
      </c>
      <c r="E980" s="7">
        <v>1954</v>
      </c>
      <c r="F980" s="7">
        <v>114</v>
      </c>
      <c r="G980" s="7">
        <v>40978</v>
      </c>
    </row>
    <row r="981" spans="1:7" ht="18" x14ac:dyDescent="0.2">
      <c r="A981" s="7" t="s">
        <v>37</v>
      </c>
      <c r="B981" s="7" t="s">
        <v>1</v>
      </c>
      <c r="C981" s="7" t="s">
        <v>17</v>
      </c>
      <c r="D981" s="7">
        <f t="shared" si="18"/>
        <v>434</v>
      </c>
      <c r="E981" s="7">
        <v>1956</v>
      </c>
      <c r="F981" s="7">
        <v>114</v>
      </c>
      <c r="G981" s="7">
        <v>41776</v>
      </c>
    </row>
    <row r="982" spans="1:7" ht="18" x14ac:dyDescent="0.2">
      <c r="A982" s="7" t="s">
        <v>37</v>
      </c>
      <c r="B982" s="7" t="s">
        <v>1</v>
      </c>
      <c r="C982" s="7" t="s">
        <v>17</v>
      </c>
      <c r="D982" s="7">
        <f t="shared" si="18"/>
        <v>441</v>
      </c>
      <c r="E982" s="7">
        <v>1959</v>
      </c>
      <c r="F982" s="7">
        <v>114</v>
      </c>
      <c r="G982" s="7">
        <v>42574</v>
      </c>
    </row>
    <row r="983" spans="1:7" ht="18" x14ac:dyDescent="0.2">
      <c r="A983" s="7" t="s">
        <v>37</v>
      </c>
      <c r="B983" s="7" t="s">
        <v>1</v>
      </c>
      <c r="C983" s="7" t="s">
        <v>17</v>
      </c>
      <c r="D983" s="7">
        <f t="shared" si="18"/>
        <v>448</v>
      </c>
      <c r="E983" s="7">
        <v>1961</v>
      </c>
      <c r="F983" s="7">
        <v>114</v>
      </c>
      <c r="G983" s="7">
        <v>43372</v>
      </c>
    </row>
    <row r="984" spans="1:7" ht="18" x14ac:dyDescent="0.2">
      <c r="A984" s="7" t="s">
        <v>37</v>
      </c>
      <c r="B984" s="7" t="s">
        <v>1</v>
      </c>
      <c r="C984" s="7" t="s">
        <v>17</v>
      </c>
      <c r="D984" s="7">
        <f t="shared" si="18"/>
        <v>455</v>
      </c>
      <c r="E984" s="7">
        <v>1964</v>
      </c>
      <c r="F984" s="7">
        <v>114</v>
      </c>
      <c r="G984" s="7">
        <v>44170</v>
      </c>
    </row>
    <row r="985" spans="1:7" ht="18" x14ac:dyDescent="0.2">
      <c r="A985" s="7" t="s">
        <v>37</v>
      </c>
      <c r="B985" s="7" t="s">
        <v>1</v>
      </c>
      <c r="C985" s="7" t="s">
        <v>17</v>
      </c>
      <c r="D985" s="7">
        <f t="shared" si="18"/>
        <v>462</v>
      </c>
      <c r="E985" s="7">
        <v>1967</v>
      </c>
      <c r="F985" s="7">
        <v>114</v>
      </c>
      <c r="G985" s="7">
        <v>44968</v>
      </c>
    </row>
    <row r="986" spans="1:7" ht="18" x14ac:dyDescent="0.2">
      <c r="A986" s="7" t="s">
        <v>37</v>
      </c>
      <c r="B986" s="7" t="s">
        <v>1</v>
      </c>
      <c r="C986" s="7" t="s">
        <v>17</v>
      </c>
      <c r="D986" s="7">
        <f t="shared" si="18"/>
        <v>469</v>
      </c>
      <c r="E986" s="7">
        <v>1969</v>
      </c>
      <c r="F986" s="7">
        <v>114</v>
      </c>
      <c r="G986" s="7">
        <v>45766</v>
      </c>
    </row>
    <row r="987" spans="1:7" ht="18" x14ac:dyDescent="0.2">
      <c r="A987" s="7" t="s">
        <v>37</v>
      </c>
      <c r="B987" s="7" t="s">
        <v>1</v>
      </c>
      <c r="C987" s="7" t="s">
        <v>17</v>
      </c>
      <c r="D987" s="7">
        <f t="shared" si="18"/>
        <v>476</v>
      </c>
      <c r="E987" s="7">
        <v>1971</v>
      </c>
      <c r="F987" s="7">
        <v>114</v>
      </c>
      <c r="G987" s="7">
        <v>46564</v>
      </c>
    </row>
    <row r="988" spans="1:7" ht="18" x14ac:dyDescent="0.2">
      <c r="A988" s="7" t="s">
        <v>37</v>
      </c>
      <c r="B988" s="7" t="s">
        <v>1</v>
      </c>
      <c r="C988" s="7" t="s">
        <v>17</v>
      </c>
      <c r="D988" s="7">
        <f t="shared" ref="D988:D1019" si="19">D987+7</f>
        <v>483</v>
      </c>
      <c r="E988" s="7">
        <v>1974</v>
      </c>
      <c r="F988" s="7">
        <v>114</v>
      </c>
      <c r="G988" s="7">
        <v>47362</v>
      </c>
    </row>
    <row r="989" spans="1:7" ht="18" x14ac:dyDescent="0.2">
      <c r="A989" s="7" t="s">
        <v>37</v>
      </c>
      <c r="B989" s="7" t="s">
        <v>1</v>
      </c>
      <c r="C989" s="7" t="s">
        <v>17</v>
      </c>
      <c r="D989" s="7">
        <f t="shared" si="19"/>
        <v>490</v>
      </c>
      <c r="E989" s="7">
        <v>1976</v>
      </c>
      <c r="F989" s="7">
        <v>114</v>
      </c>
      <c r="G989" s="7">
        <v>48160</v>
      </c>
    </row>
    <row r="990" spans="1:7" ht="18" x14ac:dyDescent="0.2">
      <c r="A990" s="7" t="s">
        <v>37</v>
      </c>
      <c r="B990" s="7" t="s">
        <v>1</v>
      </c>
      <c r="C990" s="7" t="s">
        <v>17</v>
      </c>
      <c r="D990" s="7">
        <f t="shared" si="19"/>
        <v>497</v>
      </c>
      <c r="E990" s="7">
        <v>1978</v>
      </c>
      <c r="F990" s="7">
        <v>114</v>
      </c>
      <c r="G990" s="7">
        <v>48958</v>
      </c>
    </row>
    <row r="991" spans="1:7" ht="18" x14ac:dyDescent="0.2">
      <c r="A991" s="7" t="s">
        <v>37</v>
      </c>
      <c r="B991" s="7" t="s">
        <v>1</v>
      </c>
      <c r="C991" s="7" t="s">
        <v>17</v>
      </c>
      <c r="D991" s="7">
        <f t="shared" si="19"/>
        <v>504</v>
      </c>
      <c r="E991" s="7">
        <v>1980</v>
      </c>
      <c r="F991" s="7">
        <v>114</v>
      </c>
      <c r="G991" s="7">
        <v>49756</v>
      </c>
    </row>
    <row r="992" spans="1:7" ht="18" x14ac:dyDescent="0.2">
      <c r="A992" s="7" t="s">
        <v>37</v>
      </c>
      <c r="B992" s="7" t="s">
        <v>1</v>
      </c>
      <c r="C992" s="7" t="s">
        <v>17</v>
      </c>
      <c r="D992" s="7">
        <f t="shared" si="19"/>
        <v>511</v>
      </c>
      <c r="E992" s="7">
        <v>1983</v>
      </c>
      <c r="F992" s="7">
        <v>114</v>
      </c>
      <c r="G992" s="7">
        <v>50554</v>
      </c>
    </row>
    <row r="993" spans="1:7" ht="18" x14ac:dyDescent="0.2">
      <c r="A993" s="7" t="s">
        <v>37</v>
      </c>
      <c r="B993" s="7" t="s">
        <v>1</v>
      </c>
      <c r="C993" s="7" t="s">
        <v>17</v>
      </c>
      <c r="D993" s="7">
        <f t="shared" si="19"/>
        <v>518</v>
      </c>
      <c r="E993" s="7">
        <v>1986</v>
      </c>
      <c r="F993" s="7">
        <v>114</v>
      </c>
      <c r="G993" s="7">
        <v>51352</v>
      </c>
    </row>
    <row r="994" spans="1:7" ht="18" x14ac:dyDescent="0.2">
      <c r="A994" s="7" t="s">
        <v>37</v>
      </c>
      <c r="B994" s="7" t="s">
        <v>1</v>
      </c>
      <c r="C994" s="7" t="s">
        <v>17</v>
      </c>
      <c r="D994" s="7">
        <f t="shared" si="19"/>
        <v>525</v>
      </c>
      <c r="E994" s="7">
        <v>1988</v>
      </c>
      <c r="F994" s="7">
        <v>114</v>
      </c>
      <c r="G994" s="7">
        <v>52150</v>
      </c>
    </row>
    <row r="995" spans="1:7" ht="18" x14ac:dyDescent="0.2">
      <c r="A995" s="7" t="s">
        <v>37</v>
      </c>
      <c r="B995" s="7" t="s">
        <v>1</v>
      </c>
      <c r="C995" s="7" t="s">
        <v>17</v>
      </c>
      <c r="D995" s="7">
        <f t="shared" si="19"/>
        <v>532</v>
      </c>
      <c r="E995" s="7">
        <v>1990</v>
      </c>
      <c r="F995" s="7">
        <v>114</v>
      </c>
      <c r="G995" s="7">
        <v>52948</v>
      </c>
    </row>
    <row r="996" spans="1:7" ht="18" x14ac:dyDescent="0.2">
      <c r="A996" s="7" t="s">
        <v>37</v>
      </c>
      <c r="B996" s="7" t="s">
        <v>1</v>
      </c>
      <c r="C996" s="7" t="s">
        <v>17</v>
      </c>
      <c r="D996" s="7">
        <f t="shared" si="19"/>
        <v>539</v>
      </c>
      <c r="E996" s="7">
        <v>1993</v>
      </c>
      <c r="F996" s="7">
        <v>114</v>
      </c>
      <c r="G996" s="7">
        <v>53746</v>
      </c>
    </row>
    <row r="997" spans="1:7" ht="18" x14ac:dyDescent="0.2">
      <c r="A997" s="7" t="s">
        <v>37</v>
      </c>
      <c r="B997" s="7" t="s">
        <v>1</v>
      </c>
      <c r="C997" s="7" t="s">
        <v>17</v>
      </c>
      <c r="D997" s="7">
        <f t="shared" si="19"/>
        <v>546</v>
      </c>
      <c r="E997" s="7">
        <v>1995</v>
      </c>
      <c r="F997" s="7">
        <v>114</v>
      </c>
      <c r="G997" s="7">
        <v>54544</v>
      </c>
    </row>
    <row r="998" spans="1:7" ht="18" x14ac:dyDescent="0.2">
      <c r="A998" s="7" t="s">
        <v>37</v>
      </c>
      <c r="B998" s="7" t="s">
        <v>1</v>
      </c>
      <c r="C998" s="7" t="s">
        <v>17</v>
      </c>
      <c r="D998" s="7">
        <f t="shared" si="19"/>
        <v>553</v>
      </c>
      <c r="E998" s="7">
        <v>1997</v>
      </c>
      <c r="F998" s="7">
        <v>114</v>
      </c>
      <c r="G998" s="7">
        <v>55342</v>
      </c>
    </row>
    <row r="999" spans="1:7" ht="18" x14ac:dyDescent="0.2">
      <c r="A999" s="7" t="s">
        <v>37</v>
      </c>
      <c r="B999" s="7" t="s">
        <v>1</v>
      </c>
      <c r="C999" s="7" t="s">
        <v>17</v>
      </c>
      <c r="D999" s="7">
        <f t="shared" si="19"/>
        <v>560</v>
      </c>
      <c r="E999" s="7">
        <v>1999</v>
      </c>
      <c r="F999" s="7">
        <v>114</v>
      </c>
      <c r="G999" s="7">
        <v>56140</v>
      </c>
    </row>
    <row r="1000" spans="1:7" ht="18" x14ac:dyDescent="0.2">
      <c r="A1000" s="7" t="s">
        <v>37</v>
      </c>
      <c r="B1000" s="7" t="s">
        <v>1</v>
      </c>
      <c r="C1000" s="7" t="s">
        <v>17</v>
      </c>
      <c r="D1000" s="7">
        <f t="shared" si="19"/>
        <v>567</v>
      </c>
      <c r="E1000" s="7">
        <v>2001</v>
      </c>
      <c r="F1000" s="7">
        <v>114</v>
      </c>
      <c r="G1000" s="7">
        <v>56938</v>
      </c>
    </row>
    <row r="1001" spans="1:7" ht="18" x14ac:dyDescent="0.2">
      <c r="A1001" s="7" t="s">
        <v>37</v>
      </c>
      <c r="B1001" s="7" t="s">
        <v>1</v>
      </c>
      <c r="C1001" s="7" t="s">
        <v>17</v>
      </c>
      <c r="D1001" s="7">
        <f t="shared" si="19"/>
        <v>574</v>
      </c>
      <c r="E1001" s="7">
        <v>2003</v>
      </c>
      <c r="F1001" s="7">
        <v>114</v>
      </c>
      <c r="G1001" s="7">
        <v>57736</v>
      </c>
    </row>
    <row r="1002" spans="1:7" ht="18" x14ac:dyDescent="0.2">
      <c r="A1002" s="7" t="s">
        <v>37</v>
      </c>
      <c r="B1002" s="7" t="s">
        <v>1</v>
      </c>
      <c r="C1002" s="7" t="s">
        <v>17</v>
      </c>
      <c r="D1002" s="7">
        <f t="shared" si="19"/>
        <v>581</v>
      </c>
      <c r="E1002" s="7">
        <v>2004</v>
      </c>
      <c r="F1002" s="7">
        <v>114</v>
      </c>
      <c r="G1002" s="7">
        <v>58534</v>
      </c>
    </row>
    <row r="1003" spans="1:7" ht="18" x14ac:dyDescent="0.2">
      <c r="A1003" s="7" t="s">
        <v>37</v>
      </c>
      <c r="B1003" s="7" t="s">
        <v>1</v>
      </c>
      <c r="C1003" s="7" t="s">
        <v>17</v>
      </c>
      <c r="D1003" s="7">
        <f t="shared" si="19"/>
        <v>588</v>
      </c>
      <c r="E1003" s="7">
        <v>2006</v>
      </c>
      <c r="F1003" s="7">
        <v>114</v>
      </c>
      <c r="G1003" s="7">
        <v>59332</v>
      </c>
    </row>
    <row r="1004" spans="1:7" ht="18" x14ac:dyDescent="0.2">
      <c r="A1004" s="7" t="s">
        <v>37</v>
      </c>
      <c r="B1004" s="7" t="s">
        <v>1</v>
      </c>
      <c r="C1004" s="7" t="s">
        <v>17</v>
      </c>
      <c r="D1004" s="7">
        <f t="shared" si="19"/>
        <v>595</v>
      </c>
      <c r="E1004" s="7">
        <v>2007</v>
      </c>
      <c r="F1004" s="7">
        <v>114</v>
      </c>
      <c r="G1004" s="7">
        <v>60130</v>
      </c>
    </row>
    <row r="1005" spans="1:7" ht="18" x14ac:dyDescent="0.2">
      <c r="A1005" s="7" t="s">
        <v>37</v>
      </c>
      <c r="B1005" s="7" t="s">
        <v>1</v>
      </c>
      <c r="C1005" s="7" t="s">
        <v>17</v>
      </c>
      <c r="D1005" s="7">
        <f t="shared" si="19"/>
        <v>602</v>
      </c>
      <c r="E1005" s="7">
        <v>2009</v>
      </c>
      <c r="F1005" s="7">
        <v>114</v>
      </c>
      <c r="G1005" s="7">
        <v>60928</v>
      </c>
    </row>
    <row r="1006" spans="1:7" ht="18" x14ac:dyDescent="0.2">
      <c r="A1006" s="7" t="s">
        <v>37</v>
      </c>
      <c r="B1006" s="7" t="s">
        <v>1</v>
      </c>
      <c r="C1006" s="7" t="s">
        <v>17</v>
      </c>
      <c r="D1006" s="7">
        <f t="shared" si="19"/>
        <v>609</v>
      </c>
      <c r="E1006" s="7">
        <v>2010</v>
      </c>
      <c r="F1006" s="7">
        <v>114</v>
      </c>
      <c r="G1006" s="7">
        <v>61726</v>
      </c>
    </row>
    <row r="1007" spans="1:7" ht="18" x14ac:dyDescent="0.2">
      <c r="A1007" s="7" t="s">
        <v>37</v>
      </c>
      <c r="B1007" s="7" t="s">
        <v>1</v>
      </c>
      <c r="C1007" s="7" t="s">
        <v>17</v>
      </c>
      <c r="D1007" s="7">
        <f t="shared" si="19"/>
        <v>616</v>
      </c>
      <c r="E1007" s="7">
        <v>2012</v>
      </c>
      <c r="F1007" s="7">
        <v>114</v>
      </c>
      <c r="G1007" s="7">
        <v>62524</v>
      </c>
    </row>
    <row r="1008" spans="1:7" ht="18" x14ac:dyDescent="0.2">
      <c r="A1008" s="7" t="s">
        <v>37</v>
      </c>
      <c r="B1008" s="7" t="s">
        <v>1</v>
      </c>
      <c r="C1008" s="7" t="s">
        <v>17</v>
      </c>
      <c r="D1008" s="7">
        <f t="shared" si="19"/>
        <v>623</v>
      </c>
      <c r="E1008" s="7">
        <v>2013</v>
      </c>
      <c r="F1008" s="7">
        <v>114</v>
      </c>
      <c r="G1008" s="7">
        <v>63322</v>
      </c>
    </row>
    <row r="1009" spans="1:7" ht="18" x14ac:dyDescent="0.2">
      <c r="A1009" s="7" t="s">
        <v>37</v>
      </c>
      <c r="B1009" s="7" t="s">
        <v>1</v>
      </c>
      <c r="C1009" s="7" t="s">
        <v>17</v>
      </c>
      <c r="D1009" s="7">
        <f t="shared" si="19"/>
        <v>630</v>
      </c>
      <c r="E1009" s="7">
        <v>2015</v>
      </c>
      <c r="F1009" s="7">
        <v>114</v>
      </c>
      <c r="G1009" s="7">
        <v>64120</v>
      </c>
    </row>
    <row r="1010" spans="1:7" ht="18" x14ac:dyDescent="0.2">
      <c r="A1010" s="7" t="s">
        <v>37</v>
      </c>
      <c r="B1010" s="7" t="s">
        <v>1</v>
      </c>
      <c r="C1010" s="7" t="s">
        <v>17</v>
      </c>
      <c r="D1010" s="7">
        <f t="shared" si="19"/>
        <v>637</v>
      </c>
      <c r="E1010" s="7">
        <v>2016</v>
      </c>
      <c r="F1010" s="7">
        <v>114</v>
      </c>
      <c r="G1010" s="7">
        <v>64918</v>
      </c>
    </row>
    <row r="1011" spans="1:7" ht="18" x14ac:dyDescent="0.2">
      <c r="A1011" s="7" t="s">
        <v>37</v>
      </c>
      <c r="B1011" s="7" t="s">
        <v>1</v>
      </c>
      <c r="C1011" s="7" t="s">
        <v>17</v>
      </c>
      <c r="D1011" s="7">
        <f t="shared" si="19"/>
        <v>644</v>
      </c>
      <c r="E1011" s="7">
        <v>2018</v>
      </c>
      <c r="F1011" s="7">
        <v>114</v>
      </c>
      <c r="G1011" s="7">
        <v>65716</v>
      </c>
    </row>
    <row r="1012" spans="1:7" ht="18" x14ac:dyDescent="0.2">
      <c r="A1012" s="7" t="s">
        <v>37</v>
      </c>
      <c r="B1012" s="7" t="s">
        <v>1</v>
      </c>
      <c r="C1012" s="7" t="s">
        <v>17</v>
      </c>
      <c r="D1012" s="7">
        <f t="shared" si="19"/>
        <v>651</v>
      </c>
      <c r="E1012" s="7">
        <v>2019</v>
      </c>
      <c r="F1012" s="7">
        <v>114</v>
      </c>
      <c r="G1012" s="7">
        <v>66514</v>
      </c>
    </row>
    <row r="1013" spans="1:7" ht="18" x14ac:dyDescent="0.2">
      <c r="A1013" s="7" t="s">
        <v>37</v>
      </c>
      <c r="B1013" s="7" t="s">
        <v>1</v>
      </c>
      <c r="C1013" s="7" t="s">
        <v>17</v>
      </c>
      <c r="D1013" s="7">
        <f t="shared" si="19"/>
        <v>658</v>
      </c>
      <c r="E1013" s="7">
        <v>2021</v>
      </c>
      <c r="F1013" s="7">
        <v>114</v>
      </c>
      <c r="G1013" s="7">
        <v>67312</v>
      </c>
    </row>
    <row r="1014" spans="1:7" ht="18" x14ac:dyDescent="0.2">
      <c r="A1014" s="7" t="s">
        <v>37</v>
      </c>
      <c r="B1014" s="7" t="s">
        <v>1</v>
      </c>
      <c r="C1014" s="7" t="s">
        <v>17</v>
      </c>
      <c r="D1014" s="7">
        <f t="shared" si="19"/>
        <v>665</v>
      </c>
      <c r="E1014" s="7">
        <v>2022</v>
      </c>
      <c r="F1014" s="7">
        <v>114</v>
      </c>
      <c r="G1014" s="7">
        <v>68110</v>
      </c>
    </row>
    <row r="1015" spans="1:7" ht="18" x14ac:dyDescent="0.2">
      <c r="A1015" s="7" t="s">
        <v>37</v>
      </c>
      <c r="B1015" s="7" t="s">
        <v>1</v>
      </c>
      <c r="C1015" s="7" t="s">
        <v>17</v>
      </c>
      <c r="D1015" s="7">
        <f t="shared" si="19"/>
        <v>672</v>
      </c>
      <c r="E1015" s="7">
        <v>2022</v>
      </c>
      <c r="F1015" s="7">
        <v>114</v>
      </c>
      <c r="G1015" s="7">
        <v>68908</v>
      </c>
    </row>
    <row r="1016" spans="1:7" ht="18" x14ac:dyDescent="0.2">
      <c r="A1016" s="7" t="s">
        <v>37</v>
      </c>
      <c r="B1016" s="7" t="s">
        <v>1</v>
      </c>
      <c r="C1016" s="7" t="s">
        <v>17</v>
      </c>
      <c r="D1016" s="7">
        <f t="shared" si="19"/>
        <v>679</v>
      </c>
      <c r="E1016" s="7">
        <v>2023</v>
      </c>
      <c r="F1016" s="7">
        <v>114</v>
      </c>
      <c r="G1016" s="7">
        <v>69706</v>
      </c>
    </row>
    <row r="1017" spans="1:7" ht="18" x14ac:dyDescent="0.2">
      <c r="A1017" s="7" t="s">
        <v>37</v>
      </c>
      <c r="B1017" s="7" t="s">
        <v>1</v>
      </c>
      <c r="C1017" s="7" t="s">
        <v>17</v>
      </c>
      <c r="D1017" s="7">
        <f t="shared" si="19"/>
        <v>686</v>
      </c>
      <c r="E1017" s="7">
        <v>2023</v>
      </c>
      <c r="F1017" s="7">
        <v>114</v>
      </c>
      <c r="G1017" s="7">
        <v>70504</v>
      </c>
    </row>
    <row r="1018" spans="1:7" ht="18" x14ac:dyDescent="0.2">
      <c r="A1018" s="7" t="s">
        <v>37</v>
      </c>
      <c r="B1018" s="7" t="s">
        <v>1</v>
      </c>
      <c r="C1018" s="7" t="s">
        <v>17</v>
      </c>
      <c r="D1018" s="7">
        <f t="shared" si="19"/>
        <v>693</v>
      </c>
      <c r="E1018" s="7">
        <v>2024</v>
      </c>
      <c r="F1018" s="7">
        <v>114</v>
      </c>
      <c r="G1018" s="7">
        <v>71302</v>
      </c>
    </row>
    <row r="1019" spans="1:7" ht="18" x14ac:dyDescent="0.2">
      <c r="A1019" s="7" t="s">
        <v>37</v>
      </c>
      <c r="B1019" s="7" t="s">
        <v>1</v>
      </c>
      <c r="C1019" s="7" t="s">
        <v>17</v>
      </c>
      <c r="D1019" s="7">
        <f t="shared" si="19"/>
        <v>700</v>
      </c>
      <c r="E1019" s="7">
        <v>2024</v>
      </c>
      <c r="F1019" s="7">
        <v>114</v>
      </c>
      <c r="G1019" s="7">
        <v>72100</v>
      </c>
    </row>
    <row r="1020" spans="1:7" ht="18" x14ac:dyDescent="0.2">
      <c r="A1020" s="7" t="s">
        <v>37</v>
      </c>
      <c r="B1020" s="7" t="s">
        <v>1</v>
      </c>
      <c r="C1020" s="7" t="s">
        <v>113</v>
      </c>
      <c r="D1020" s="7">
        <v>7</v>
      </c>
      <c r="E1020" s="7">
        <v>70</v>
      </c>
      <c r="F1020" s="7">
        <v>10</v>
      </c>
      <c r="G1020" s="7">
        <v>70</v>
      </c>
    </row>
    <row r="1021" spans="1:7" ht="18" x14ac:dyDescent="0.2">
      <c r="A1021" s="7" t="s">
        <v>37</v>
      </c>
      <c r="B1021" s="7" t="s">
        <v>1</v>
      </c>
      <c r="C1021" s="7" t="s">
        <v>113</v>
      </c>
      <c r="D1021" s="7">
        <v>14</v>
      </c>
      <c r="E1021" s="7">
        <v>125</v>
      </c>
      <c r="F1021" s="7">
        <v>16</v>
      </c>
      <c r="G1021" s="7">
        <v>182</v>
      </c>
    </row>
    <row r="1022" spans="1:7" ht="18" x14ac:dyDescent="0.2">
      <c r="A1022" s="7" t="s">
        <v>37</v>
      </c>
      <c r="B1022" s="7" t="s">
        <v>1</v>
      </c>
      <c r="C1022" s="7" t="s">
        <v>113</v>
      </c>
      <c r="D1022" s="7">
        <f>D1021+7</f>
        <v>21</v>
      </c>
      <c r="E1022" s="7">
        <v>190</v>
      </c>
      <c r="F1022" s="7">
        <v>22</v>
      </c>
      <c r="G1022" s="7">
        <v>336</v>
      </c>
    </row>
    <row r="1023" spans="1:7" ht="18" x14ac:dyDescent="0.2">
      <c r="A1023" s="7" t="s">
        <v>37</v>
      </c>
      <c r="B1023" s="7" t="s">
        <v>1</v>
      </c>
      <c r="C1023" s="7" t="s">
        <v>113</v>
      </c>
      <c r="D1023" s="7">
        <f>D1022+7</f>
        <v>28</v>
      </c>
      <c r="E1023" s="7">
        <v>270</v>
      </c>
      <c r="F1023" s="7">
        <v>28</v>
      </c>
      <c r="G1023" s="7">
        <v>532</v>
      </c>
    </row>
    <row r="1024" spans="1:7" ht="18" x14ac:dyDescent="0.2">
      <c r="A1024" s="7" t="s">
        <v>37</v>
      </c>
      <c r="B1024" s="7" t="s">
        <v>1</v>
      </c>
      <c r="C1024" s="7" t="s">
        <v>113</v>
      </c>
      <c r="D1024" s="7">
        <f t="shared" ref="D1024:D1087" si="20">D1023+7</f>
        <v>35</v>
      </c>
      <c r="E1024" s="7">
        <v>363</v>
      </c>
      <c r="F1024" s="7">
        <v>34</v>
      </c>
      <c r="G1024" s="7">
        <v>770</v>
      </c>
    </row>
    <row r="1025" spans="1:7" ht="18" x14ac:dyDescent="0.2">
      <c r="A1025" s="7" t="s">
        <v>37</v>
      </c>
      <c r="B1025" s="7" t="s">
        <v>1</v>
      </c>
      <c r="C1025" s="7" t="s">
        <v>113</v>
      </c>
      <c r="D1025" s="7">
        <f t="shared" si="20"/>
        <v>42</v>
      </c>
      <c r="E1025" s="7">
        <v>475</v>
      </c>
      <c r="F1025" s="7">
        <v>41</v>
      </c>
      <c r="G1025" s="7">
        <v>1057</v>
      </c>
    </row>
    <row r="1026" spans="1:7" ht="18" x14ac:dyDescent="0.2">
      <c r="A1026" s="7" t="s">
        <v>37</v>
      </c>
      <c r="B1026" s="7" t="s">
        <v>1</v>
      </c>
      <c r="C1026" s="7" t="s">
        <v>113</v>
      </c>
      <c r="D1026" s="7">
        <f t="shared" si="20"/>
        <v>49</v>
      </c>
      <c r="E1026" s="7">
        <v>589</v>
      </c>
      <c r="F1026" s="7">
        <v>46</v>
      </c>
      <c r="G1026" s="7">
        <v>1379</v>
      </c>
    </row>
    <row r="1027" spans="1:7" ht="18" x14ac:dyDescent="0.2">
      <c r="A1027" s="7" t="s">
        <v>37</v>
      </c>
      <c r="B1027" s="7" t="s">
        <v>1</v>
      </c>
      <c r="C1027" s="7" t="s">
        <v>113</v>
      </c>
      <c r="D1027" s="7">
        <f t="shared" si="20"/>
        <v>56</v>
      </c>
      <c r="E1027" s="7">
        <v>694</v>
      </c>
      <c r="F1027" s="7">
        <v>52</v>
      </c>
      <c r="G1027" s="7">
        <v>1743</v>
      </c>
    </row>
    <row r="1028" spans="1:7" ht="18" x14ac:dyDescent="0.2">
      <c r="A1028" s="7" t="s">
        <v>37</v>
      </c>
      <c r="B1028" s="7" t="s">
        <v>1</v>
      </c>
      <c r="C1028" s="7" t="s">
        <v>113</v>
      </c>
      <c r="D1028" s="7">
        <f t="shared" si="20"/>
        <v>63</v>
      </c>
      <c r="E1028" s="7">
        <v>789</v>
      </c>
      <c r="F1028" s="7">
        <v>57</v>
      </c>
      <c r="G1028" s="7">
        <v>2142</v>
      </c>
    </row>
    <row r="1029" spans="1:7" ht="18" x14ac:dyDescent="0.2">
      <c r="A1029" s="7" t="s">
        <v>37</v>
      </c>
      <c r="B1029" s="7" t="s">
        <v>1</v>
      </c>
      <c r="C1029" s="7" t="s">
        <v>113</v>
      </c>
      <c r="D1029" s="7">
        <f t="shared" si="20"/>
        <v>70</v>
      </c>
      <c r="E1029" s="7">
        <v>880</v>
      </c>
      <c r="F1029" s="7">
        <v>61</v>
      </c>
      <c r="G1029" s="7">
        <v>2569</v>
      </c>
    </row>
    <row r="1030" spans="1:7" ht="18" x14ac:dyDescent="0.2">
      <c r="A1030" s="7" t="s">
        <v>37</v>
      </c>
      <c r="B1030" s="7" t="s">
        <v>1</v>
      </c>
      <c r="C1030" s="7" t="s">
        <v>113</v>
      </c>
      <c r="D1030" s="7">
        <f t="shared" si="20"/>
        <v>77</v>
      </c>
      <c r="E1030" s="7">
        <v>967</v>
      </c>
      <c r="F1030" s="7">
        <v>64</v>
      </c>
      <c r="G1030" s="7">
        <v>3017</v>
      </c>
    </row>
    <row r="1031" spans="1:7" ht="18" x14ac:dyDescent="0.2">
      <c r="A1031" s="7" t="s">
        <v>37</v>
      </c>
      <c r="B1031" s="7" t="s">
        <v>1</v>
      </c>
      <c r="C1031" s="7" t="s">
        <v>113</v>
      </c>
      <c r="D1031" s="7">
        <f t="shared" si="20"/>
        <v>84</v>
      </c>
      <c r="E1031" s="7">
        <v>1052</v>
      </c>
      <c r="F1031" s="7">
        <v>66</v>
      </c>
      <c r="G1031" s="7">
        <v>3479</v>
      </c>
    </row>
    <row r="1032" spans="1:7" ht="18" x14ac:dyDescent="0.2">
      <c r="A1032" s="7" t="s">
        <v>37</v>
      </c>
      <c r="B1032" s="7" t="s">
        <v>1</v>
      </c>
      <c r="C1032" s="7" t="s">
        <v>113</v>
      </c>
      <c r="D1032" s="7">
        <f t="shared" si="20"/>
        <v>91</v>
      </c>
      <c r="E1032" s="7">
        <v>1134</v>
      </c>
      <c r="F1032" s="7">
        <v>67</v>
      </c>
      <c r="G1032" s="7">
        <v>3948</v>
      </c>
    </row>
    <row r="1033" spans="1:7" ht="18" x14ac:dyDescent="0.2">
      <c r="A1033" s="7" t="s">
        <v>37</v>
      </c>
      <c r="B1033" s="7" t="s">
        <v>1</v>
      </c>
      <c r="C1033" s="7" t="s">
        <v>113</v>
      </c>
      <c r="D1033" s="7">
        <f t="shared" si="20"/>
        <v>98</v>
      </c>
      <c r="E1033" s="7">
        <v>1213</v>
      </c>
      <c r="F1033" s="7">
        <v>69</v>
      </c>
      <c r="G1033" s="7">
        <v>4431</v>
      </c>
    </row>
    <row r="1034" spans="1:7" ht="18" x14ac:dyDescent="0.2">
      <c r="A1034" s="7" t="s">
        <v>37</v>
      </c>
      <c r="B1034" s="7" t="s">
        <v>1</v>
      </c>
      <c r="C1034" s="7" t="s">
        <v>113</v>
      </c>
      <c r="D1034" s="7">
        <f t="shared" si="20"/>
        <v>105</v>
      </c>
      <c r="E1034" s="7">
        <v>1291</v>
      </c>
      <c r="F1034" s="7">
        <v>71</v>
      </c>
      <c r="G1034" s="7">
        <v>4928</v>
      </c>
    </row>
    <row r="1035" spans="1:7" ht="18" x14ac:dyDescent="0.2">
      <c r="A1035" s="7" t="s">
        <v>37</v>
      </c>
      <c r="B1035" s="7" t="s">
        <v>1</v>
      </c>
      <c r="C1035" s="7" t="s">
        <v>113</v>
      </c>
      <c r="D1035" s="7">
        <f t="shared" si="20"/>
        <v>112</v>
      </c>
      <c r="E1035" s="7">
        <v>1367</v>
      </c>
      <c r="F1035" s="7">
        <v>74</v>
      </c>
      <c r="G1035" s="7">
        <v>5446</v>
      </c>
    </row>
    <row r="1036" spans="1:7" ht="18" x14ac:dyDescent="0.2">
      <c r="A1036" s="7" t="s">
        <v>37</v>
      </c>
      <c r="B1036" s="7" t="s">
        <v>1</v>
      </c>
      <c r="C1036" s="7" t="s">
        <v>113</v>
      </c>
      <c r="D1036" s="7">
        <f t="shared" si="20"/>
        <v>119</v>
      </c>
      <c r="E1036" s="7">
        <v>1440</v>
      </c>
      <c r="F1036" s="7">
        <v>78</v>
      </c>
      <c r="G1036" s="7">
        <v>5992</v>
      </c>
    </row>
    <row r="1037" spans="1:7" ht="18" x14ac:dyDescent="0.2">
      <c r="A1037" s="7" t="s">
        <v>37</v>
      </c>
      <c r="B1037" s="7" t="s">
        <v>1</v>
      </c>
      <c r="C1037" s="7" t="s">
        <v>113</v>
      </c>
      <c r="D1037" s="7">
        <f t="shared" si="20"/>
        <v>126</v>
      </c>
      <c r="E1037" s="7">
        <v>1516</v>
      </c>
      <c r="F1037" s="7">
        <v>81</v>
      </c>
      <c r="G1037" s="7">
        <v>6559</v>
      </c>
    </row>
    <row r="1038" spans="1:7" ht="18" x14ac:dyDescent="0.2">
      <c r="A1038" s="7" t="s">
        <v>37</v>
      </c>
      <c r="B1038" s="7" t="s">
        <v>1</v>
      </c>
      <c r="C1038" s="7" t="s">
        <v>113</v>
      </c>
      <c r="D1038" s="7">
        <f t="shared" si="20"/>
        <v>133</v>
      </c>
      <c r="E1038" s="7">
        <v>1596</v>
      </c>
      <c r="F1038" s="7">
        <v>86</v>
      </c>
      <c r="G1038" s="7">
        <v>7161</v>
      </c>
    </row>
    <row r="1039" spans="1:7" ht="18" x14ac:dyDescent="0.2">
      <c r="A1039" s="7" t="s">
        <v>37</v>
      </c>
      <c r="B1039" s="7" t="s">
        <v>1</v>
      </c>
      <c r="C1039" s="7" t="s">
        <v>113</v>
      </c>
      <c r="D1039" s="7">
        <f t="shared" si="20"/>
        <v>140</v>
      </c>
      <c r="E1039" s="7">
        <v>1675</v>
      </c>
      <c r="F1039" s="7">
        <v>94</v>
      </c>
      <c r="G1039" s="7">
        <v>7819</v>
      </c>
    </row>
    <row r="1040" spans="1:7" ht="18" x14ac:dyDescent="0.2">
      <c r="A1040" s="7" t="s">
        <v>37</v>
      </c>
      <c r="B1040" s="7" t="s">
        <v>1</v>
      </c>
      <c r="C1040" s="7" t="s">
        <v>113</v>
      </c>
      <c r="D1040" s="7">
        <f t="shared" si="20"/>
        <v>147</v>
      </c>
      <c r="E1040" s="7">
        <v>1750</v>
      </c>
      <c r="F1040" s="7">
        <v>101</v>
      </c>
      <c r="G1040" s="7">
        <v>8526</v>
      </c>
    </row>
    <row r="1041" spans="1:7" ht="18" x14ac:dyDescent="0.2">
      <c r="A1041" s="7" t="s">
        <v>37</v>
      </c>
      <c r="B1041" s="7" t="s">
        <v>1</v>
      </c>
      <c r="C1041" s="7" t="s">
        <v>113</v>
      </c>
      <c r="D1041" s="7">
        <f t="shared" si="20"/>
        <v>154</v>
      </c>
      <c r="E1041" s="7">
        <v>1810</v>
      </c>
      <c r="F1041" s="7">
        <v>107</v>
      </c>
      <c r="G1041" s="7">
        <v>9275</v>
      </c>
    </row>
    <row r="1042" spans="1:7" ht="18" x14ac:dyDescent="0.2">
      <c r="A1042" s="7" t="s">
        <v>37</v>
      </c>
      <c r="B1042" s="7" t="s">
        <v>1</v>
      </c>
      <c r="C1042" s="7" t="s">
        <v>113</v>
      </c>
      <c r="D1042" s="7">
        <f t="shared" si="20"/>
        <v>161</v>
      </c>
      <c r="E1042" s="7">
        <v>1850</v>
      </c>
      <c r="F1042" s="7">
        <v>112</v>
      </c>
      <c r="G1042" s="7">
        <v>10059</v>
      </c>
    </row>
    <row r="1043" spans="1:7" ht="18" x14ac:dyDescent="0.2">
      <c r="A1043" s="7" t="s">
        <v>37</v>
      </c>
      <c r="B1043" s="7" t="s">
        <v>1</v>
      </c>
      <c r="C1043" s="7" t="s">
        <v>113</v>
      </c>
      <c r="D1043" s="7">
        <f t="shared" si="20"/>
        <v>168</v>
      </c>
      <c r="E1043" s="7">
        <v>1882</v>
      </c>
      <c r="F1043" s="7">
        <v>115</v>
      </c>
      <c r="G1043" s="7">
        <v>10864</v>
      </c>
    </row>
    <row r="1044" spans="1:7" ht="18" x14ac:dyDescent="0.2">
      <c r="A1044" s="7" t="s">
        <v>37</v>
      </c>
      <c r="B1044" s="7" t="s">
        <v>1</v>
      </c>
      <c r="C1044" s="7" t="s">
        <v>113</v>
      </c>
      <c r="D1044" s="7">
        <f t="shared" si="20"/>
        <v>175</v>
      </c>
      <c r="E1044" s="7">
        <v>1897</v>
      </c>
      <c r="F1044" s="7">
        <v>115</v>
      </c>
      <c r="G1044" s="7">
        <v>11669</v>
      </c>
    </row>
    <row r="1045" spans="1:7" ht="18" x14ac:dyDescent="0.2">
      <c r="A1045" s="7" t="s">
        <v>37</v>
      </c>
      <c r="B1045" s="7" t="s">
        <v>1</v>
      </c>
      <c r="C1045" s="7" t="s">
        <v>113</v>
      </c>
      <c r="D1045" s="7">
        <f t="shared" si="20"/>
        <v>182</v>
      </c>
      <c r="E1045" s="7">
        <v>1908</v>
      </c>
      <c r="F1045" s="7">
        <v>115</v>
      </c>
      <c r="G1045" s="7">
        <v>12474</v>
      </c>
    </row>
    <row r="1046" spans="1:7" ht="18" x14ac:dyDescent="0.2">
      <c r="A1046" s="7" t="s">
        <v>37</v>
      </c>
      <c r="B1046" s="7" t="s">
        <v>1</v>
      </c>
      <c r="C1046" s="7" t="s">
        <v>113</v>
      </c>
      <c r="D1046" s="7">
        <f t="shared" si="20"/>
        <v>189</v>
      </c>
      <c r="E1046" s="7">
        <v>1914</v>
      </c>
      <c r="F1046" s="7">
        <v>115</v>
      </c>
      <c r="G1046" s="7">
        <v>13279</v>
      </c>
    </row>
    <row r="1047" spans="1:7" ht="18" x14ac:dyDescent="0.2">
      <c r="A1047" s="7" t="s">
        <v>37</v>
      </c>
      <c r="B1047" s="7" t="s">
        <v>1</v>
      </c>
      <c r="C1047" s="7" t="s">
        <v>113</v>
      </c>
      <c r="D1047" s="7">
        <f t="shared" si="20"/>
        <v>196</v>
      </c>
      <c r="E1047" s="7">
        <v>1918</v>
      </c>
      <c r="F1047" s="7">
        <v>115</v>
      </c>
      <c r="G1047" s="7">
        <v>14084</v>
      </c>
    </row>
    <row r="1048" spans="1:7" ht="18" x14ac:dyDescent="0.2">
      <c r="A1048" s="7" t="s">
        <v>37</v>
      </c>
      <c r="B1048" s="7" t="s">
        <v>1</v>
      </c>
      <c r="C1048" s="7" t="s">
        <v>113</v>
      </c>
      <c r="D1048" s="7">
        <f t="shared" si="20"/>
        <v>203</v>
      </c>
      <c r="E1048" s="7">
        <v>1922</v>
      </c>
      <c r="F1048" s="7">
        <v>115</v>
      </c>
      <c r="G1048" s="7">
        <v>14889</v>
      </c>
    </row>
    <row r="1049" spans="1:7" ht="18" x14ac:dyDescent="0.2">
      <c r="A1049" s="7" t="s">
        <v>37</v>
      </c>
      <c r="B1049" s="7" t="s">
        <v>1</v>
      </c>
      <c r="C1049" s="7" t="s">
        <v>113</v>
      </c>
      <c r="D1049" s="7">
        <f t="shared" si="20"/>
        <v>210</v>
      </c>
      <c r="E1049" s="7">
        <v>1925</v>
      </c>
      <c r="F1049" s="7">
        <v>115</v>
      </c>
      <c r="G1049" s="7">
        <v>15694</v>
      </c>
    </row>
    <row r="1050" spans="1:7" ht="18" x14ac:dyDescent="0.2">
      <c r="A1050" s="7" t="s">
        <v>37</v>
      </c>
      <c r="B1050" s="7" t="s">
        <v>1</v>
      </c>
      <c r="C1050" s="7" t="s">
        <v>113</v>
      </c>
      <c r="D1050" s="7">
        <f t="shared" si="20"/>
        <v>217</v>
      </c>
      <c r="E1050" s="7">
        <v>1928</v>
      </c>
      <c r="F1050" s="7">
        <v>115</v>
      </c>
      <c r="G1050" s="7">
        <v>16499</v>
      </c>
    </row>
    <row r="1051" spans="1:7" ht="18" x14ac:dyDescent="0.2">
      <c r="A1051" s="7" t="s">
        <v>37</v>
      </c>
      <c r="B1051" s="7" t="s">
        <v>1</v>
      </c>
      <c r="C1051" s="7" t="s">
        <v>113</v>
      </c>
      <c r="D1051" s="7">
        <f t="shared" si="20"/>
        <v>224</v>
      </c>
      <c r="E1051" s="7">
        <v>1931</v>
      </c>
      <c r="F1051" s="7">
        <v>115</v>
      </c>
      <c r="G1051" s="7">
        <v>17304</v>
      </c>
    </row>
    <row r="1052" spans="1:7" ht="18" x14ac:dyDescent="0.2">
      <c r="A1052" s="7" t="s">
        <v>37</v>
      </c>
      <c r="B1052" s="7" t="s">
        <v>1</v>
      </c>
      <c r="C1052" s="7" t="s">
        <v>113</v>
      </c>
      <c r="D1052" s="7">
        <f t="shared" si="20"/>
        <v>231</v>
      </c>
      <c r="E1052" s="7">
        <v>1934</v>
      </c>
      <c r="F1052" s="7">
        <v>115</v>
      </c>
      <c r="G1052" s="7">
        <v>18109</v>
      </c>
    </row>
    <row r="1053" spans="1:7" ht="18" x14ac:dyDescent="0.2">
      <c r="A1053" s="7" t="s">
        <v>37</v>
      </c>
      <c r="B1053" s="7" t="s">
        <v>1</v>
      </c>
      <c r="C1053" s="7" t="s">
        <v>113</v>
      </c>
      <c r="D1053" s="7">
        <f t="shared" si="20"/>
        <v>238</v>
      </c>
      <c r="E1053" s="7">
        <v>1937</v>
      </c>
      <c r="F1053" s="7">
        <v>115</v>
      </c>
      <c r="G1053" s="7">
        <v>18914</v>
      </c>
    </row>
    <row r="1054" spans="1:7" ht="18" x14ac:dyDescent="0.2">
      <c r="A1054" s="7" t="s">
        <v>37</v>
      </c>
      <c r="B1054" s="7" t="s">
        <v>1</v>
      </c>
      <c r="C1054" s="7" t="s">
        <v>113</v>
      </c>
      <c r="D1054" s="7">
        <f t="shared" si="20"/>
        <v>245</v>
      </c>
      <c r="E1054" s="7">
        <v>1940</v>
      </c>
      <c r="F1054" s="7">
        <v>115</v>
      </c>
      <c r="G1054" s="7">
        <v>19719</v>
      </c>
    </row>
    <row r="1055" spans="1:7" ht="18" x14ac:dyDescent="0.2">
      <c r="A1055" s="7" t="s">
        <v>37</v>
      </c>
      <c r="B1055" s="7" t="s">
        <v>1</v>
      </c>
      <c r="C1055" s="7" t="s">
        <v>113</v>
      </c>
      <c r="D1055" s="7">
        <f t="shared" si="20"/>
        <v>252</v>
      </c>
      <c r="E1055" s="7">
        <v>1943</v>
      </c>
      <c r="F1055" s="7">
        <v>115</v>
      </c>
      <c r="G1055" s="7">
        <v>20524</v>
      </c>
    </row>
    <row r="1056" spans="1:7" ht="18" x14ac:dyDescent="0.2">
      <c r="A1056" s="7" t="s">
        <v>37</v>
      </c>
      <c r="B1056" s="7" t="s">
        <v>1</v>
      </c>
      <c r="C1056" s="7" t="s">
        <v>113</v>
      </c>
      <c r="D1056" s="7">
        <f t="shared" si="20"/>
        <v>259</v>
      </c>
      <c r="E1056" s="7">
        <v>1946</v>
      </c>
      <c r="F1056" s="7">
        <v>115</v>
      </c>
      <c r="G1056" s="7">
        <v>21329</v>
      </c>
    </row>
    <row r="1057" spans="1:7" ht="18" x14ac:dyDescent="0.2">
      <c r="A1057" s="7" t="s">
        <v>37</v>
      </c>
      <c r="B1057" s="7" t="s">
        <v>1</v>
      </c>
      <c r="C1057" s="7" t="s">
        <v>113</v>
      </c>
      <c r="D1057" s="7">
        <f t="shared" si="20"/>
        <v>266</v>
      </c>
      <c r="E1057" s="7">
        <v>1949</v>
      </c>
      <c r="F1057" s="7">
        <v>115</v>
      </c>
      <c r="G1057" s="7">
        <v>22134</v>
      </c>
    </row>
    <row r="1058" spans="1:7" ht="18" x14ac:dyDescent="0.2">
      <c r="A1058" s="7" t="s">
        <v>37</v>
      </c>
      <c r="B1058" s="7" t="s">
        <v>1</v>
      </c>
      <c r="C1058" s="7" t="s">
        <v>113</v>
      </c>
      <c r="D1058" s="7">
        <f t="shared" si="20"/>
        <v>273</v>
      </c>
      <c r="E1058" s="7">
        <v>1952</v>
      </c>
      <c r="F1058" s="7">
        <v>115</v>
      </c>
      <c r="G1058" s="7">
        <v>22939</v>
      </c>
    </row>
    <row r="1059" spans="1:7" ht="18" x14ac:dyDescent="0.2">
      <c r="A1059" s="7" t="s">
        <v>37</v>
      </c>
      <c r="B1059" s="7" t="s">
        <v>1</v>
      </c>
      <c r="C1059" s="7" t="s">
        <v>113</v>
      </c>
      <c r="D1059" s="7">
        <f t="shared" si="20"/>
        <v>280</v>
      </c>
      <c r="E1059" s="7">
        <v>1955</v>
      </c>
      <c r="F1059" s="7">
        <v>115</v>
      </c>
      <c r="G1059" s="7">
        <v>23744</v>
      </c>
    </row>
    <row r="1060" spans="1:7" ht="18" x14ac:dyDescent="0.2">
      <c r="A1060" s="7" t="s">
        <v>37</v>
      </c>
      <c r="B1060" s="7" t="s">
        <v>1</v>
      </c>
      <c r="C1060" s="7" t="s">
        <v>113</v>
      </c>
      <c r="D1060" s="7">
        <f t="shared" si="20"/>
        <v>287</v>
      </c>
      <c r="E1060" s="7">
        <v>1958</v>
      </c>
      <c r="F1060" s="7">
        <v>115</v>
      </c>
      <c r="G1060" s="7">
        <v>24549</v>
      </c>
    </row>
    <row r="1061" spans="1:7" ht="18" x14ac:dyDescent="0.2">
      <c r="A1061" s="7" t="s">
        <v>37</v>
      </c>
      <c r="B1061" s="7" t="s">
        <v>1</v>
      </c>
      <c r="C1061" s="7" t="s">
        <v>113</v>
      </c>
      <c r="D1061" s="7">
        <f t="shared" si="20"/>
        <v>294</v>
      </c>
      <c r="E1061" s="7">
        <v>1961</v>
      </c>
      <c r="F1061" s="7">
        <v>115</v>
      </c>
      <c r="G1061" s="7">
        <v>25354</v>
      </c>
    </row>
    <row r="1062" spans="1:7" ht="18" x14ac:dyDescent="0.2">
      <c r="A1062" s="7" t="s">
        <v>37</v>
      </c>
      <c r="B1062" s="7" t="s">
        <v>1</v>
      </c>
      <c r="C1062" s="7" t="s">
        <v>113</v>
      </c>
      <c r="D1062" s="7">
        <f t="shared" si="20"/>
        <v>301</v>
      </c>
      <c r="E1062" s="7">
        <v>1964</v>
      </c>
      <c r="F1062" s="7">
        <v>115</v>
      </c>
      <c r="G1062" s="7">
        <v>26159</v>
      </c>
    </row>
    <row r="1063" spans="1:7" ht="18" x14ac:dyDescent="0.2">
      <c r="A1063" s="7" t="s">
        <v>37</v>
      </c>
      <c r="B1063" s="7" t="s">
        <v>1</v>
      </c>
      <c r="C1063" s="7" t="s">
        <v>113</v>
      </c>
      <c r="D1063" s="7">
        <f t="shared" si="20"/>
        <v>308</v>
      </c>
      <c r="E1063" s="7">
        <v>1967</v>
      </c>
      <c r="F1063" s="7">
        <v>115</v>
      </c>
      <c r="G1063" s="7">
        <v>26964</v>
      </c>
    </row>
    <row r="1064" spans="1:7" ht="18" x14ac:dyDescent="0.2">
      <c r="A1064" s="7" t="s">
        <v>37</v>
      </c>
      <c r="B1064" s="7" t="s">
        <v>1</v>
      </c>
      <c r="C1064" s="7" t="s">
        <v>113</v>
      </c>
      <c r="D1064" s="7">
        <f t="shared" si="20"/>
        <v>315</v>
      </c>
      <c r="E1064" s="7">
        <v>1970</v>
      </c>
      <c r="F1064" s="7">
        <v>115</v>
      </c>
      <c r="G1064" s="7">
        <v>27769</v>
      </c>
    </row>
    <row r="1065" spans="1:7" ht="18" x14ac:dyDescent="0.2">
      <c r="A1065" s="7" t="s">
        <v>37</v>
      </c>
      <c r="B1065" s="7" t="s">
        <v>1</v>
      </c>
      <c r="C1065" s="7" t="s">
        <v>113</v>
      </c>
      <c r="D1065" s="7">
        <f t="shared" si="20"/>
        <v>322</v>
      </c>
      <c r="E1065" s="7">
        <v>1973</v>
      </c>
      <c r="F1065" s="7">
        <v>115</v>
      </c>
      <c r="G1065" s="7">
        <v>28574</v>
      </c>
    </row>
    <row r="1066" spans="1:7" ht="18" x14ac:dyDescent="0.2">
      <c r="A1066" s="7" t="s">
        <v>37</v>
      </c>
      <c r="B1066" s="7" t="s">
        <v>1</v>
      </c>
      <c r="C1066" s="7" t="s">
        <v>113</v>
      </c>
      <c r="D1066" s="7">
        <f t="shared" si="20"/>
        <v>329</v>
      </c>
      <c r="E1066" s="7">
        <v>1976</v>
      </c>
      <c r="F1066" s="7">
        <v>115</v>
      </c>
      <c r="G1066" s="7">
        <v>29379</v>
      </c>
    </row>
    <row r="1067" spans="1:7" ht="18" x14ac:dyDescent="0.2">
      <c r="A1067" s="7" t="s">
        <v>37</v>
      </c>
      <c r="B1067" s="7" t="s">
        <v>1</v>
      </c>
      <c r="C1067" s="7" t="s">
        <v>113</v>
      </c>
      <c r="D1067" s="7">
        <f t="shared" si="20"/>
        <v>336</v>
      </c>
      <c r="E1067" s="7">
        <v>1979</v>
      </c>
      <c r="F1067" s="7">
        <v>115</v>
      </c>
      <c r="G1067" s="7">
        <v>30184</v>
      </c>
    </row>
    <row r="1068" spans="1:7" ht="18" x14ac:dyDescent="0.2">
      <c r="A1068" s="7" t="s">
        <v>37</v>
      </c>
      <c r="B1068" s="7" t="s">
        <v>1</v>
      </c>
      <c r="C1068" s="7" t="s">
        <v>113</v>
      </c>
      <c r="D1068" s="7">
        <f t="shared" si="20"/>
        <v>343</v>
      </c>
      <c r="E1068" s="7">
        <v>1982</v>
      </c>
      <c r="F1068" s="7">
        <v>115</v>
      </c>
      <c r="G1068" s="7">
        <v>30989</v>
      </c>
    </row>
    <row r="1069" spans="1:7" ht="18" x14ac:dyDescent="0.2">
      <c r="A1069" s="7" t="s">
        <v>37</v>
      </c>
      <c r="B1069" s="7" t="s">
        <v>1</v>
      </c>
      <c r="C1069" s="7" t="s">
        <v>113</v>
      </c>
      <c r="D1069" s="7">
        <f t="shared" si="20"/>
        <v>350</v>
      </c>
      <c r="E1069" s="7">
        <v>1985</v>
      </c>
      <c r="F1069" s="7">
        <v>115</v>
      </c>
      <c r="G1069" s="7">
        <v>31794</v>
      </c>
    </row>
    <row r="1070" spans="1:7" ht="18" x14ac:dyDescent="0.2">
      <c r="A1070" s="7" t="s">
        <v>37</v>
      </c>
      <c r="B1070" s="7" t="s">
        <v>1</v>
      </c>
      <c r="C1070" s="7" t="s">
        <v>113</v>
      </c>
      <c r="D1070" s="7">
        <f t="shared" si="20"/>
        <v>357</v>
      </c>
      <c r="E1070" s="7">
        <v>1988</v>
      </c>
      <c r="F1070" s="7">
        <v>115</v>
      </c>
      <c r="G1070" s="7">
        <v>32599</v>
      </c>
    </row>
    <row r="1071" spans="1:7" ht="18" x14ac:dyDescent="0.2">
      <c r="A1071" s="7" t="s">
        <v>37</v>
      </c>
      <c r="B1071" s="7" t="s">
        <v>1</v>
      </c>
      <c r="C1071" s="7" t="s">
        <v>113</v>
      </c>
      <c r="D1071" s="7">
        <f t="shared" si="20"/>
        <v>364</v>
      </c>
      <c r="E1071" s="7">
        <v>1991</v>
      </c>
      <c r="F1071" s="7">
        <v>115</v>
      </c>
      <c r="G1071" s="7">
        <v>33404</v>
      </c>
    </row>
    <row r="1072" spans="1:7" ht="18" x14ac:dyDescent="0.2">
      <c r="A1072" s="7" t="s">
        <v>37</v>
      </c>
      <c r="B1072" s="7" t="s">
        <v>1</v>
      </c>
      <c r="C1072" s="7" t="s">
        <v>113</v>
      </c>
      <c r="D1072" s="7">
        <f t="shared" si="20"/>
        <v>371</v>
      </c>
      <c r="E1072" s="7">
        <v>1994</v>
      </c>
      <c r="F1072" s="7">
        <v>115</v>
      </c>
      <c r="G1072" s="7">
        <v>34209</v>
      </c>
    </row>
    <row r="1073" spans="1:7" ht="18" x14ac:dyDescent="0.2">
      <c r="A1073" s="7" t="s">
        <v>37</v>
      </c>
      <c r="B1073" s="7" t="s">
        <v>1</v>
      </c>
      <c r="C1073" s="7" t="s">
        <v>113</v>
      </c>
      <c r="D1073" s="7">
        <f t="shared" si="20"/>
        <v>378</v>
      </c>
      <c r="E1073" s="7">
        <v>1997</v>
      </c>
      <c r="F1073" s="7">
        <v>115</v>
      </c>
      <c r="G1073" s="7">
        <v>35014</v>
      </c>
    </row>
    <row r="1074" spans="1:7" ht="18" x14ac:dyDescent="0.2">
      <c r="A1074" s="7" t="s">
        <v>37</v>
      </c>
      <c r="B1074" s="7" t="s">
        <v>1</v>
      </c>
      <c r="C1074" s="7" t="s">
        <v>113</v>
      </c>
      <c r="D1074" s="7">
        <f t="shared" si="20"/>
        <v>385</v>
      </c>
      <c r="E1074" s="7">
        <v>1999</v>
      </c>
      <c r="F1074" s="7">
        <v>115</v>
      </c>
      <c r="G1074" s="7">
        <v>35819</v>
      </c>
    </row>
    <row r="1075" spans="1:7" ht="18" x14ac:dyDescent="0.2">
      <c r="A1075" s="7" t="s">
        <v>37</v>
      </c>
      <c r="B1075" s="7" t="s">
        <v>1</v>
      </c>
      <c r="C1075" s="7" t="s">
        <v>113</v>
      </c>
      <c r="D1075" s="7">
        <f t="shared" si="20"/>
        <v>392</v>
      </c>
      <c r="E1075" s="7">
        <v>2001</v>
      </c>
      <c r="F1075" s="7">
        <v>115</v>
      </c>
      <c r="G1075" s="7">
        <v>36624</v>
      </c>
    </row>
    <row r="1076" spans="1:7" ht="18" x14ac:dyDescent="0.2">
      <c r="A1076" s="7" t="s">
        <v>37</v>
      </c>
      <c r="B1076" s="7" t="s">
        <v>1</v>
      </c>
      <c r="C1076" s="7" t="s">
        <v>113</v>
      </c>
      <c r="D1076" s="7">
        <f t="shared" si="20"/>
        <v>399</v>
      </c>
      <c r="E1076" s="7">
        <v>2003</v>
      </c>
      <c r="F1076" s="7">
        <v>115</v>
      </c>
      <c r="G1076" s="7">
        <v>37429</v>
      </c>
    </row>
    <row r="1077" spans="1:7" ht="18" x14ac:dyDescent="0.2">
      <c r="A1077" s="7" t="s">
        <v>37</v>
      </c>
      <c r="B1077" s="7" t="s">
        <v>1</v>
      </c>
      <c r="C1077" s="7" t="s">
        <v>113</v>
      </c>
      <c r="D1077" s="7">
        <f t="shared" si="20"/>
        <v>406</v>
      </c>
      <c r="E1077" s="7">
        <v>2005</v>
      </c>
      <c r="F1077" s="7">
        <v>115</v>
      </c>
      <c r="G1077" s="7">
        <v>38234</v>
      </c>
    </row>
    <row r="1078" spans="1:7" ht="18" x14ac:dyDescent="0.2">
      <c r="A1078" s="7" t="s">
        <v>37</v>
      </c>
      <c r="B1078" s="7" t="s">
        <v>1</v>
      </c>
      <c r="C1078" s="7" t="s">
        <v>113</v>
      </c>
      <c r="D1078" s="7">
        <f t="shared" si="20"/>
        <v>413</v>
      </c>
      <c r="E1078" s="7">
        <v>2007</v>
      </c>
      <c r="F1078" s="7">
        <v>115</v>
      </c>
      <c r="G1078" s="7">
        <v>39039</v>
      </c>
    </row>
    <row r="1079" spans="1:7" ht="18" x14ac:dyDescent="0.2">
      <c r="A1079" s="7" t="s">
        <v>37</v>
      </c>
      <c r="B1079" s="7" t="s">
        <v>1</v>
      </c>
      <c r="C1079" s="7" t="s">
        <v>113</v>
      </c>
      <c r="D1079" s="7">
        <f t="shared" si="20"/>
        <v>420</v>
      </c>
      <c r="E1079" s="7">
        <v>2009</v>
      </c>
      <c r="F1079" s="7">
        <v>115</v>
      </c>
      <c r="G1079" s="7">
        <v>39844</v>
      </c>
    </row>
    <row r="1080" spans="1:7" ht="18" x14ac:dyDescent="0.2">
      <c r="A1080" s="7" t="s">
        <v>37</v>
      </c>
      <c r="B1080" s="7" t="s">
        <v>1</v>
      </c>
      <c r="C1080" s="7" t="s">
        <v>113</v>
      </c>
      <c r="D1080" s="7">
        <f t="shared" si="20"/>
        <v>427</v>
      </c>
      <c r="E1080" s="7">
        <v>2011</v>
      </c>
      <c r="F1080" s="7">
        <v>115</v>
      </c>
      <c r="G1080" s="7">
        <v>40649</v>
      </c>
    </row>
    <row r="1081" spans="1:7" ht="18" x14ac:dyDescent="0.2">
      <c r="A1081" s="7" t="s">
        <v>37</v>
      </c>
      <c r="B1081" s="7" t="s">
        <v>1</v>
      </c>
      <c r="C1081" s="7" t="s">
        <v>113</v>
      </c>
      <c r="D1081" s="7">
        <f t="shared" si="20"/>
        <v>434</v>
      </c>
      <c r="E1081" s="7">
        <v>2013</v>
      </c>
      <c r="F1081" s="7">
        <v>115</v>
      </c>
      <c r="G1081" s="7">
        <v>41454</v>
      </c>
    </row>
    <row r="1082" spans="1:7" ht="18" x14ac:dyDescent="0.2">
      <c r="A1082" s="7" t="s">
        <v>37</v>
      </c>
      <c r="B1082" s="7" t="s">
        <v>1</v>
      </c>
      <c r="C1082" s="7" t="s">
        <v>113</v>
      </c>
      <c r="D1082" s="7">
        <f t="shared" si="20"/>
        <v>441</v>
      </c>
      <c r="E1082" s="7">
        <v>2015</v>
      </c>
      <c r="F1082" s="7">
        <v>115</v>
      </c>
      <c r="G1082" s="7">
        <v>42259</v>
      </c>
    </row>
    <row r="1083" spans="1:7" ht="18" x14ac:dyDescent="0.2">
      <c r="A1083" s="7" t="s">
        <v>37</v>
      </c>
      <c r="B1083" s="7" t="s">
        <v>1</v>
      </c>
      <c r="C1083" s="7" t="s">
        <v>113</v>
      </c>
      <c r="D1083" s="7">
        <f t="shared" si="20"/>
        <v>448</v>
      </c>
      <c r="E1083" s="7">
        <v>2017</v>
      </c>
      <c r="F1083" s="7">
        <v>115</v>
      </c>
      <c r="G1083" s="7">
        <v>43064</v>
      </c>
    </row>
    <row r="1084" spans="1:7" ht="18" x14ac:dyDescent="0.2">
      <c r="A1084" s="7" t="s">
        <v>37</v>
      </c>
      <c r="B1084" s="7" t="s">
        <v>1</v>
      </c>
      <c r="C1084" s="7" t="s">
        <v>113</v>
      </c>
      <c r="D1084" s="7">
        <f t="shared" si="20"/>
        <v>455</v>
      </c>
      <c r="E1084" s="7">
        <v>2019</v>
      </c>
      <c r="F1084" s="7">
        <v>115</v>
      </c>
      <c r="G1084" s="7">
        <v>43869</v>
      </c>
    </row>
    <row r="1085" spans="1:7" ht="18" x14ac:dyDescent="0.2">
      <c r="A1085" s="7" t="s">
        <v>37</v>
      </c>
      <c r="B1085" s="7" t="s">
        <v>1</v>
      </c>
      <c r="C1085" s="7" t="s">
        <v>113</v>
      </c>
      <c r="D1085" s="7">
        <f t="shared" si="20"/>
        <v>462</v>
      </c>
      <c r="E1085" s="7">
        <v>2021</v>
      </c>
      <c r="F1085" s="7">
        <v>115</v>
      </c>
      <c r="G1085" s="7">
        <v>44674</v>
      </c>
    </row>
    <row r="1086" spans="1:7" ht="18" x14ac:dyDescent="0.2">
      <c r="A1086" s="7" t="s">
        <v>37</v>
      </c>
      <c r="B1086" s="7" t="s">
        <v>1</v>
      </c>
      <c r="C1086" s="7" t="s">
        <v>113</v>
      </c>
      <c r="D1086" s="7">
        <f t="shared" si="20"/>
        <v>469</v>
      </c>
      <c r="E1086" s="7">
        <v>2023</v>
      </c>
      <c r="F1086" s="7">
        <v>115</v>
      </c>
      <c r="G1086" s="7">
        <v>45479</v>
      </c>
    </row>
    <row r="1087" spans="1:7" ht="18" x14ac:dyDescent="0.2">
      <c r="A1087" s="7" t="s">
        <v>37</v>
      </c>
      <c r="B1087" s="7" t="s">
        <v>1</v>
      </c>
      <c r="C1087" s="7" t="s">
        <v>113</v>
      </c>
      <c r="D1087" s="7">
        <f t="shared" si="20"/>
        <v>476</v>
      </c>
      <c r="E1087" s="7">
        <v>2025</v>
      </c>
      <c r="F1087" s="7">
        <v>115</v>
      </c>
      <c r="G1087" s="7">
        <v>46284</v>
      </c>
    </row>
    <row r="1088" spans="1:7" ht="18" x14ac:dyDescent="0.2">
      <c r="A1088" s="7" t="s">
        <v>37</v>
      </c>
      <c r="B1088" s="7" t="s">
        <v>1</v>
      </c>
      <c r="C1088" s="7" t="s">
        <v>113</v>
      </c>
      <c r="D1088" s="7">
        <f t="shared" ref="D1088:D1119" si="21">D1087+7</f>
        <v>483</v>
      </c>
      <c r="E1088" s="7">
        <v>2027</v>
      </c>
      <c r="F1088" s="7">
        <v>115</v>
      </c>
      <c r="G1088" s="7">
        <v>47089</v>
      </c>
    </row>
    <row r="1089" spans="1:7" ht="18" x14ac:dyDescent="0.2">
      <c r="A1089" s="7" t="s">
        <v>37</v>
      </c>
      <c r="B1089" s="7" t="s">
        <v>1</v>
      </c>
      <c r="C1089" s="7" t="s">
        <v>113</v>
      </c>
      <c r="D1089" s="7">
        <f t="shared" si="21"/>
        <v>490</v>
      </c>
      <c r="E1089" s="7">
        <v>2029</v>
      </c>
      <c r="F1089" s="7">
        <v>115</v>
      </c>
      <c r="G1089" s="7">
        <v>47894</v>
      </c>
    </row>
    <row r="1090" spans="1:7" ht="18" x14ac:dyDescent="0.2">
      <c r="A1090" s="7" t="s">
        <v>37</v>
      </c>
      <c r="B1090" s="7" t="s">
        <v>1</v>
      </c>
      <c r="C1090" s="7" t="s">
        <v>113</v>
      </c>
      <c r="D1090" s="7">
        <f t="shared" si="21"/>
        <v>497</v>
      </c>
      <c r="E1090" s="7">
        <v>2031</v>
      </c>
      <c r="F1090" s="7">
        <v>115</v>
      </c>
      <c r="G1090" s="7">
        <v>48699</v>
      </c>
    </row>
    <row r="1091" spans="1:7" ht="18" x14ac:dyDescent="0.2">
      <c r="A1091" s="7" t="s">
        <v>37</v>
      </c>
      <c r="B1091" s="7" t="s">
        <v>1</v>
      </c>
      <c r="C1091" s="7" t="s">
        <v>113</v>
      </c>
      <c r="D1091" s="7">
        <f t="shared" si="21"/>
        <v>504</v>
      </c>
      <c r="E1091" s="7">
        <v>2033</v>
      </c>
      <c r="F1091" s="7">
        <v>115</v>
      </c>
      <c r="G1091" s="7">
        <v>49504</v>
      </c>
    </row>
    <row r="1092" spans="1:7" ht="18" x14ac:dyDescent="0.2">
      <c r="A1092" s="7" t="s">
        <v>37</v>
      </c>
      <c r="B1092" s="7" t="s">
        <v>1</v>
      </c>
      <c r="C1092" s="7" t="s">
        <v>113</v>
      </c>
      <c r="D1092" s="7">
        <f t="shared" si="21"/>
        <v>511</v>
      </c>
      <c r="E1092" s="7">
        <v>2035</v>
      </c>
      <c r="F1092" s="7">
        <v>115</v>
      </c>
      <c r="G1092" s="7">
        <v>50309</v>
      </c>
    </row>
    <row r="1093" spans="1:7" ht="18" x14ac:dyDescent="0.2">
      <c r="A1093" s="7" t="s">
        <v>37</v>
      </c>
      <c r="B1093" s="7" t="s">
        <v>1</v>
      </c>
      <c r="C1093" s="7" t="s">
        <v>113</v>
      </c>
      <c r="D1093" s="7">
        <f t="shared" si="21"/>
        <v>518</v>
      </c>
      <c r="E1093" s="7">
        <v>2037</v>
      </c>
      <c r="F1093" s="7">
        <v>115</v>
      </c>
      <c r="G1093" s="7">
        <v>51114</v>
      </c>
    </row>
    <row r="1094" spans="1:7" ht="18" x14ac:dyDescent="0.2">
      <c r="A1094" s="7" t="s">
        <v>37</v>
      </c>
      <c r="B1094" s="7" t="s">
        <v>1</v>
      </c>
      <c r="C1094" s="7" t="s">
        <v>113</v>
      </c>
      <c r="D1094" s="7">
        <f t="shared" si="21"/>
        <v>525</v>
      </c>
      <c r="E1094" s="7">
        <v>2039</v>
      </c>
      <c r="F1094" s="7">
        <v>115</v>
      </c>
      <c r="G1094" s="7">
        <v>51919</v>
      </c>
    </row>
    <row r="1095" spans="1:7" ht="18" x14ac:dyDescent="0.2">
      <c r="A1095" s="7" t="s">
        <v>37</v>
      </c>
      <c r="B1095" s="7" t="s">
        <v>1</v>
      </c>
      <c r="C1095" s="7" t="s">
        <v>113</v>
      </c>
      <c r="D1095" s="7">
        <f t="shared" si="21"/>
        <v>532</v>
      </c>
      <c r="E1095" s="7">
        <v>2041</v>
      </c>
      <c r="F1095" s="7">
        <v>115</v>
      </c>
      <c r="G1095" s="7">
        <v>52724</v>
      </c>
    </row>
    <row r="1096" spans="1:7" ht="18" x14ac:dyDescent="0.2">
      <c r="A1096" s="7" t="s">
        <v>37</v>
      </c>
      <c r="B1096" s="7" t="s">
        <v>1</v>
      </c>
      <c r="C1096" s="7" t="s">
        <v>113</v>
      </c>
      <c r="D1096" s="7">
        <f t="shared" si="21"/>
        <v>539</v>
      </c>
      <c r="E1096" s="7">
        <v>2043</v>
      </c>
      <c r="F1096" s="7">
        <v>115</v>
      </c>
      <c r="G1096" s="7">
        <v>53529</v>
      </c>
    </row>
    <row r="1097" spans="1:7" ht="18" x14ac:dyDescent="0.2">
      <c r="A1097" s="7" t="s">
        <v>37</v>
      </c>
      <c r="B1097" s="7" t="s">
        <v>1</v>
      </c>
      <c r="C1097" s="7" t="s">
        <v>113</v>
      </c>
      <c r="D1097" s="7">
        <f t="shared" si="21"/>
        <v>546</v>
      </c>
      <c r="E1097" s="7">
        <v>2045</v>
      </c>
      <c r="F1097" s="7">
        <v>115</v>
      </c>
      <c r="G1097" s="7">
        <v>54334</v>
      </c>
    </row>
    <row r="1098" spans="1:7" ht="18" x14ac:dyDescent="0.2">
      <c r="A1098" s="7" t="s">
        <v>37</v>
      </c>
      <c r="B1098" s="7" t="s">
        <v>1</v>
      </c>
      <c r="C1098" s="7" t="s">
        <v>113</v>
      </c>
      <c r="D1098" s="7">
        <f t="shared" si="21"/>
        <v>553</v>
      </c>
      <c r="E1098" s="7">
        <v>2048</v>
      </c>
      <c r="F1098" s="7">
        <v>115</v>
      </c>
      <c r="G1098" s="7">
        <v>55139</v>
      </c>
    </row>
    <row r="1099" spans="1:7" ht="18" x14ac:dyDescent="0.2">
      <c r="A1099" s="7" t="s">
        <v>37</v>
      </c>
      <c r="B1099" s="7" t="s">
        <v>1</v>
      </c>
      <c r="C1099" s="7" t="s">
        <v>113</v>
      </c>
      <c r="D1099" s="7">
        <f t="shared" si="21"/>
        <v>560</v>
      </c>
      <c r="E1099" s="7">
        <v>2050</v>
      </c>
      <c r="F1099" s="7">
        <v>115</v>
      </c>
      <c r="G1099" s="7">
        <v>55944</v>
      </c>
    </row>
    <row r="1100" spans="1:7" ht="18" x14ac:dyDescent="0.2">
      <c r="A1100" s="7" t="s">
        <v>37</v>
      </c>
      <c r="B1100" s="7" t="s">
        <v>1</v>
      </c>
      <c r="C1100" s="7" t="s">
        <v>113</v>
      </c>
      <c r="D1100" s="7">
        <f t="shared" si="21"/>
        <v>567</v>
      </c>
      <c r="E1100" s="7">
        <v>2052</v>
      </c>
      <c r="F1100" s="7">
        <v>115</v>
      </c>
      <c r="G1100" s="7">
        <v>56749</v>
      </c>
    </row>
    <row r="1101" spans="1:7" ht="18" x14ac:dyDescent="0.2">
      <c r="A1101" s="7" t="s">
        <v>37</v>
      </c>
      <c r="B1101" s="7" t="s">
        <v>1</v>
      </c>
      <c r="C1101" s="7" t="s">
        <v>113</v>
      </c>
      <c r="D1101" s="7">
        <f t="shared" si="21"/>
        <v>574</v>
      </c>
      <c r="E1101" s="7">
        <v>2054</v>
      </c>
      <c r="F1101" s="7">
        <v>115</v>
      </c>
      <c r="G1101" s="7">
        <v>57554</v>
      </c>
    </row>
    <row r="1102" spans="1:7" ht="18" x14ac:dyDescent="0.2">
      <c r="A1102" s="7" t="s">
        <v>37</v>
      </c>
      <c r="B1102" s="7" t="s">
        <v>1</v>
      </c>
      <c r="C1102" s="7" t="s">
        <v>113</v>
      </c>
      <c r="D1102" s="7">
        <f t="shared" si="21"/>
        <v>581</v>
      </c>
      <c r="E1102" s="7">
        <v>2056</v>
      </c>
      <c r="F1102" s="7">
        <v>115</v>
      </c>
      <c r="G1102" s="7">
        <v>58359</v>
      </c>
    </row>
    <row r="1103" spans="1:7" ht="18" x14ac:dyDescent="0.2">
      <c r="A1103" s="7" t="s">
        <v>37</v>
      </c>
      <c r="B1103" s="7" t="s">
        <v>1</v>
      </c>
      <c r="C1103" s="7" t="s">
        <v>113</v>
      </c>
      <c r="D1103" s="7">
        <f t="shared" si="21"/>
        <v>588</v>
      </c>
      <c r="E1103" s="7">
        <v>2058</v>
      </c>
      <c r="F1103" s="7">
        <v>115</v>
      </c>
      <c r="G1103" s="7">
        <v>59164</v>
      </c>
    </row>
    <row r="1104" spans="1:7" ht="18" x14ac:dyDescent="0.2">
      <c r="A1104" s="7" t="s">
        <v>37</v>
      </c>
      <c r="B1104" s="7" t="s">
        <v>1</v>
      </c>
      <c r="C1104" s="7" t="s">
        <v>113</v>
      </c>
      <c r="D1104" s="7">
        <f t="shared" si="21"/>
        <v>595</v>
      </c>
      <c r="E1104" s="7">
        <v>2060</v>
      </c>
      <c r="F1104" s="7">
        <v>115</v>
      </c>
      <c r="G1104" s="7">
        <v>59969</v>
      </c>
    </row>
    <row r="1105" spans="1:7" ht="18" x14ac:dyDescent="0.2">
      <c r="A1105" s="7" t="s">
        <v>37</v>
      </c>
      <c r="B1105" s="7" t="s">
        <v>1</v>
      </c>
      <c r="C1105" s="7" t="s">
        <v>113</v>
      </c>
      <c r="D1105" s="7">
        <f t="shared" si="21"/>
        <v>602</v>
      </c>
      <c r="E1105" s="7">
        <v>2062</v>
      </c>
      <c r="F1105" s="7">
        <v>115</v>
      </c>
      <c r="G1105" s="7">
        <v>60774</v>
      </c>
    </row>
    <row r="1106" spans="1:7" ht="18" x14ac:dyDescent="0.2">
      <c r="A1106" s="7" t="s">
        <v>37</v>
      </c>
      <c r="B1106" s="7" t="s">
        <v>1</v>
      </c>
      <c r="C1106" s="7" t="s">
        <v>113</v>
      </c>
      <c r="D1106" s="7">
        <f t="shared" si="21"/>
        <v>609</v>
      </c>
      <c r="E1106" s="7">
        <v>2064</v>
      </c>
      <c r="F1106" s="7">
        <v>115</v>
      </c>
      <c r="G1106" s="7">
        <v>61579</v>
      </c>
    </row>
    <row r="1107" spans="1:7" ht="18" x14ac:dyDescent="0.2">
      <c r="A1107" s="7" t="s">
        <v>37</v>
      </c>
      <c r="B1107" s="7" t="s">
        <v>1</v>
      </c>
      <c r="C1107" s="7" t="s">
        <v>113</v>
      </c>
      <c r="D1107" s="7">
        <f t="shared" si="21"/>
        <v>616</v>
      </c>
      <c r="E1107" s="7">
        <v>2066</v>
      </c>
      <c r="F1107" s="7">
        <v>115</v>
      </c>
      <c r="G1107" s="7">
        <v>62384</v>
      </c>
    </row>
    <row r="1108" spans="1:7" ht="18" x14ac:dyDescent="0.2">
      <c r="A1108" s="7" t="s">
        <v>37</v>
      </c>
      <c r="B1108" s="7" t="s">
        <v>1</v>
      </c>
      <c r="C1108" s="7" t="s">
        <v>113</v>
      </c>
      <c r="D1108" s="7">
        <f t="shared" si="21"/>
        <v>623</v>
      </c>
      <c r="E1108" s="7">
        <v>2068</v>
      </c>
      <c r="F1108" s="7">
        <v>115</v>
      </c>
      <c r="G1108" s="7">
        <v>63189</v>
      </c>
    </row>
    <row r="1109" spans="1:7" ht="18" x14ac:dyDescent="0.2">
      <c r="A1109" s="7" t="s">
        <v>37</v>
      </c>
      <c r="B1109" s="7" t="s">
        <v>1</v>
      </c>
      <c r="C1109" s="7" t="s">
        <v>113</v>
      </c>
      <c r="D1109" s="7">
        <f t="shared" si="21"/>
        <v>630</v>
      </c>
      <c r="E1109" s="7">
        <v>2070</v>
      </c>
      <c r="F1109" s="7">
        <v>115</v>
      </c>
      <c r="G1109" s="7">
        <v>63994</v>
      </c>
    </row>
    <row r="1110" spans="1:7" ht="18" x14ac:dyDescent="0.2">
      <c r="A1110" s="7" t="s">
        <v>37</v>
      </c>
      <c r="B1110" s="7" t="s">
        <v>1</v>
      </c>
      <c r="C1110" s="7" t="s">
        <v>113</v>
      </c>
      <c r="D1110" s="7">
        <f t="shared" si="21"/>
        <v>637</v>
      </c>
      <c r="E1110" s="7">
        <v>2072</v>
      </c>
      <c r="F1110" s="7">
        <v>115</v>
      </c>
      <c r="G1110" s="7">
        <v>64799</v>
      </c>
    </row>
    <row r="1111" spans="1:7" ht="18" x14ac:dyDescent="0.2">
      <c r="A1111" s="7" t="s">
        <v>37</v>
      </c>
      <c r="B1111" s="7" t="s">
        <v>1</v>
      </c>
      <c r="C1111" s="7" t="s">
        <v>113</v>
      </c>
      <c r="D1111" s="7">
        <f t="shared" si="21"/>
        <v>644</v>
      </c>
      <c r="E1111" s="7">
        <v>2074</v>
      </c>
      <c r="F1111" s="7">
        <v>115</v>
      </c>
      <c r="G1111" s="7">
        <v>65604</v>
      </c>
    </row>
    <row r="1112" spans="1:7" ht="18" x14ac:dyDescent="0.2">
      <c r="A1112" s="7" t="s">
        <v>37</v>
      </c>
      <c r="B1112" s="7" t="s">
        <v>1</v>
      </c>
      <c r="C1112" s="7" t="s">
        <v>113</v>
      </c>
      <c r="D1112" s="7">
        <f t="shared" si="21"/>
        <v>651</v>
      </c>
      <c r="E1112" s="7">
        <v>2076</v>
      </c>
      <c r="F1112" s="7">
        <v>115</v>
      </c>
      <c r="G1112" s="7">
        <v>66409</v>
      </c>
    </row>
    <row r="1113" spans="1:7" ht="18" x14ac:dyDescent="0.2">
      <c r="A1113" s="7" t="s">
        <v>37</v>
      </c>
      <c r="B1113" s="7" t="s">
        <v>1</v>
      </c>
      <c r="C1113" s="7" t="s">
        <v>113</v>
      </c>
      <c r="D1113" s="7">
        <f t="shared" si="21"/>
        <v>658</v>
      </c>
      <c r="E1113" s="7">
        <v>2078</v>
      </c>
      <c r="F1113" s="7">
        <v>115</v>
      </c>
      <c r="G1113" s="7">
        <v>67214</v>
      </c>
    </row>
    <row r="1114" spans="1:7" ht="18" x14ac:dyDescent="0.2">
      <c r="A1114" s="7" t="s">
        <v>37</v>
      </c>
      <c r="B1114" s="7" t="s">
        <v>1</v>
      </c>
      <c r="C1114" s="7" t="s">
        <v>113</v>
      </c>
      <c r="D1114" s="7">
        <f t="shared" si="21"/>
        <v>665</v>
      </c>
      <c r="E1114" s="7">
        <v>2080</v>
      </c>
      <c r="F1114" s="7">
        <v>115</v>
      </c>
      <c r="G1114" s="7">
        <v>68019</v>
      </c>
    </row>
    <row r="1115" spans="1:7" ht="18" x14ac:dyDescent="0.2">
      <c r="A1115" s="7" t="s">
        <v>37</v>
      </c>
      <c r="B1115" s="7" t="s">
        <v>1</v>
      </c>
      <c r="C1115" s="7" t="s">
        <v>113</v>
      </c>
      <c r="D1115" s="7">
        <f t="shared" si="21"/>
        <v>672</v>
      </c>
      <c r="E1115" s="7">
        <v>2082</v>
      </c>
      <c r="F1115" s="7">
        <v>115</v>
      </c>
      <c r="G1115" s="7">
        <v>68824</v>
      </c>
    </row>
    <row r="1116" spans="1:7" ht="18" x14ac:dyDescent="0.2">
      <c r="A1116" s="7" t="s">
        <v>37</v>
      </c>
      <c r="B1116" s="7" t="s">
        <v>1</v>
      </c>
      <c r="C1116" s="7" t="s">
        <v>113</v>
      </c>
      <c r="D1116" s="7">
        <f t="shared" si="21"/>
        <v>679</v>
      </c>
      <c r="E1116" s="7">
        <v>2084</v>
      </c>
      <c r="F1116" s="7">
        <v>115</v>
      </c>
      <c r="G1116" s="7">
        <v>69629</v>
      </c>
    </row>
    <row r="1117" spans="1:7" ht="18" x14ac:dyDescent="0.2">
      <c r="A1117" s="7" t="s">
        <v>37</v>
      </c>
      <c r="B1117" s="7" t="s">
        <v>1</v>
      </c>
      <c r="C1117" s="7" t="s">
        <v>113</v>
      </c>
      <c r="D1117" s="7">
        <f t="shared" si="21"/>
        <v>686</v>
      </c>
      <c r="E1117" s="7">
        <v>2086</v>
      </c>
      <c r="F1117" s="7">
        <v>115</v>
      </c>
      <c r="G1117" s="7">
        <v>70434</v>
      </c>
    </row>
    <row r="1118" spans="1:7" ht="18" x14ac:dyDescent="0.2">
      <c r="A1118" s="7" t="s">
        <v>37</v>
      </c>
      <c r="B1118" s="7" t="s">
        <v>1</v>
      </c>
      <c r="C1118" s="7" t="s">
        <v>113</v>
      </c>
      <c r="D1118" s="7">
        <f t="shared" si="21"/>
        <v>693</v>
      </c>
      <c r="E1118" s="7">
        <v>2088</v>
      </c>
      <c r="F1118" s="7">
        <v>115</v>
      </c>
      <c r="G1118" s="7">
        <v>71239</v>
      </c>
    </row>
    <row r="1119" spans="1:7" ht="18" x14ac:dyDescent="0.2">
      <c r="A1119" s="7" t="s">
        <v>37</v>
      </c>
      <c r="B1119" s="7" t="s">
        <v>1</v>
      </c>
      <c r="C1119" s="7" t="s">
        <v>113</v>
      </c>
      <c r="D1119" s="7">
        <f t="shared" si="21"/>
        <v>700</v>
      </c>
      <c r="E1119" s="7">
        <v>2090</v>
      </c>
      <c r="F1119" s="7">
        <v>115</v>
      </c>
      <c r="G1119" s="7">
        <v>72044</v>
      </c>
    </row>
    <row r="1120" spans="1:7" ht="18" x14ac:dyDescent="0.2">
      <c r="A1120" s="7" t="s">
        <v>37</v>
      </c>
      <c r="B1120" s="7" t="s">
        <v>0</v>
      </c>
      <c r="C1120" s="7" t="s">
        <v>114</v>
      </c>
      <c r="D1120" s="7">
        <v>7</v>
      </c>
      <c r="E1120" s="7">
        <v>65</v>
      </c>
      <c r="F1120" s="7">
        <v>10</v>
      </c>
      <c r="G1120" s="7">
        <v>70</v>
      </c>
    </row>
    <row r="1121" spans="1:7" ht="18" x14ac:dyDescent="0.2">
      <c r="A1121" s="7" t="s">
        <v>37</v>
      </c>
      <c r="B1121" s="7" t="s">
        <v>0</v>
      </c>
      <c r="C1121" s="7" t="s">
        <v>114</v>
      </c>
      <c r="D1121" s="7">
        <v>14</v>
      </c>
      <c r="E1121" s="7">
        <v>116</v>
      </c>
      <c r="F1121" s="7">
        <v>16</v>
      </c>
      <c r="G1121" s="7">
        <v>182</v>
      </c>
    </row>
    <row r="1122" spans="1:7" ht="18" x14ac:dyDescent="0.2">
      <c r="A1122" s="7" t="s">
        <v>37</v>
      </c>
      <c r="B1122" s="7" t="s">
        <v>0</v>
      </c>
      <c r="C1122" s="7" t="s">
        <v>114</v>
      </c>
      <c r="D1122" s="7">
        <f>D1121+7</f>
        <v>21</v>
      </c>
      <c r="E1122" s="7">
        <v>175</v>
      </c>
      <c r="F1122" s="7">
        <v>22</v>
      </c>
      <c r="G1122" s="7">
        <v>336</v>
      </c>
    </row>
    <row r="1123" spans="1:7" ht="18" x14ac:dyDescent="0.2">
      <c r="A1123" s="7" t="s">
        <v>37</v>
      </c>
      <c r="B1123" s="7" t="s">
        <v>0</v>
      </c>
      <c r="C1123" s="7" t="s">
        <v>114</v>
      </c>
      <c r="D1123" s="7">
        <f>D1122+7</f>
        <v>28</v>
      </c>
      <c r="E1123" s="7">
        <v>245</v>
      </c>
      <c r="F1123" s="7">
        <v>28</v>
      </c>
      <c r="G1123" s="7">
        <v>532</v>
      </c>
    </row>
    <row r="1124" spans="1:7" ht="18" x14ac:dyDescent="0.2">
      <c r="A1124" s="7" t="s">
        <v>37</v>
      </c>
      <c r="B1124" s="7" t="s">
        <v>0</v>
      </c>
      <c r="C1124" s="7" t="s">
        <v>114</v>
      </c>
      <c r="D1124" s="7">
        <f t="shared" ref="D1124:D1187" si="22">D1123+7</f>
        <v>35</v>
      </c>
      <c r="E1124" s="7">
        <v>325</v>
      </c>
      <c r="F1124" s="7">
        <v>32</v>
      </c>
      <c r="G1124" s="7">
        <v>756</v>
      </c>
    </row>
    <row r="1125" spans="1:7" ht="18" x14ac:dyDescent="0.2">
      <c r="A1125" s="7" t="s">
        <v>37</v>
      </c>
      <c r="B1125" s="7" t="s">
        <v>0</v>
      </c>
      <c r="C1125" s="7" t="s">
        <v>114</v>
      </c>
      <c r="D1125" s="7">
        <f t="shared" si="22"/>
        <v>42</v>
      </c>
      <c r="E1125" s="7">
        <v>410</v>
      </c>
      <c r="F1125" s="7">
        <v>38</v>
      </c>
      <c r="G1125" s="7">
        <v>1022</v>
      </c>
    </row>
    <row r="1126" spans="1:7" ht="18" x14ac:dyDescent="0.2">
      <c r="A1126" s="7" t="s">
        <v>37</v>
      </c>
      <c r="B1126" s="7" t="s">
        <v>0</v>
      </c>
      <c r="C1126" s="7" t="s">
        <v>114</v>
      </c>
      <c r="D1126" s="7">
        <f t="shared" si="22"/>
        <v>49</v>
      </c>
      <c r="E1126" s="7">
        <v>496</v>
      </c>
      <c r="F1126" s="7">
        <v>42</v>
      </c>
      <c r="G1126" s="7">
        <v>1316</v>
      </c>
    </row>
    <row r="1127" spans="1:7" ht="18" x14ac:dyDescent="0.2">
      <c r="A1127" s="7" t="s">
        <v>37</v>
      </c>
      <c r="B1127" s="7" t="s">
        <v>0</v>
      </c>
      <c r="C1127" s="7" t="s">
        <v>114</v>
      </c>
      <c r="D1127" s="7">
        <f t="shared" si="22"/>
        <v>56</v>
      </c>
      <c r="E1127" s="7">
        <v>582</v>
      </c>
      <c r="F1127" s="7">
        <v>46</v>
      </c>
      <c r="G1127" s="7">
        <v>1638</v>
      </c>
    </row>
    <row r="1128" spans="1:7" ht="18" x14ac:dyDescent="0.2">
      <c r="A1128" s="7" t="s">
        <v>37</v>
      </c>
      <c r="B1128" s="7" t="s">
        <v>0</v>
      </c>
      <c r="C1128" s="7" t="s">
        <v>114</v>
      </c>
      <c r="D1128" s="7">
        <f t="shared" si="22"/>
        <v>63</v>
      </c>
      <c r="E1128" s="7">
        <v>665</v>
      </c>
      <c r="F1128" s="7">
        <v>50</v>
      </c>
      <c r="G1128" s="7">
        <v>1988</v>
      </c>
    </row>
    <row r="1129" spans="1:7" ht="18" x14ac:dyDescent="0.2">
      <c r="A1129" s="7" t="s">
        <v>37</v>
      </c>
      <c r="B1129" s="7" t="s">
        <v>0</v>
      </c>
      <c r="C1129" s="7" t="s">
        <v>114</v>
      </c>
      <c r="D1129" s="7">
        <f t="shared" si="22"/>
        <v>70</v>
      </c>
      <c r="E1129" s="7">
        <v>745</v>
      </c>
      <c r="F1129" s="7">
        <v>53</v>
      </c>
      <c r="G1129" s="7">
        <v>2359</v>
      </c>
    </row>
    <row r="1130" spans="1:7" ht="18" x14ac:dyDescent="0.2">
      <c r="A1130" s="7" t="s">
        <v>37</v>
      </c>
      <c r="B1130" s="7" t="s">
        <v>0</v>
      </c>
      <c r="C1130" s="7" t="s">
        <v>114</v>
      </c>
      <c r="D1130" s="7">
        <f t="shared" si="22"/>
        <v>77</v>
      </c>
      <c r="E1130" s="7">
        <v>822</v>
      </c>
      <c r="F1130" s="7">
        <v>55</v>
      </c>
      <c r="G1130" s="7">
        <v>2744</v>
      </c>
    </row>
    <row r="1131" spans="1:7" ht="18" x14ac:dyDescent="0.2">
      <c r="A1131" s="7" t="s">
        <v>37</v>
      </c>
      <c r="B1131" s="7" t="s">
        <v>0</v>
      </c>
      <c r="C1131" s="7" t="s">
        <v>114</v>
      </c>
      <c r="D1131" s="7">
        <f t="shared" si="22"/>
        <v>84</v>
      </c>
      <c r="E1131" s="7">
        <v>896</v>
      </c>
      <c r="F1131" s="7">
        <v>58</v>
      </c>
      <c r="G1131" s="7">
        <v>3150</v>
      </c>
    </row>
    <row r="1132" spans="1:7" ht="18" x14ac:dyDescent="0.2">
      <c r="A1132" s="7" t="s">
        <v>37</v>
      </c>
      <c r="B1132" s="7" t="s">
        <v>0</v>
      </c>
      <c r="C1132" s="7" t="s">
        <v>114</v>
      </c>
      <c r="D1132" s="7">
        <f t="shared" si="22"/>
        <v>91</v>
      </c>
      <c r="E1132" s="7">
        <v>967</v>
      </c>
      <c r="F1132" s="7">
        <v>61</v>
      </c>
      <c r="G1132" s="7">
        <v>3577</v>
      </c>
    </row>
    <row r="1133" spans="1:7" ht="18" x14ac:dyDescent="0.2">
      <c r="A1133" s="7" t="s">
        <v>37</v>
      </c>
      <c r="B1133" s="7" t="s">
        <v>0</v>
      </c>
      <c r="C1133" s="7" t="s">
        <v>114</v>
      </c>
      <c r="D1133" s="7">
        <f t="shared" si="22"/>
        <v>98</v>
      </c>
      <c r="E1133" s="7">
        <v>1035</v>
      </c>
      <c r="F1133" s="7">
        <v>64</v>
      </c>
      <c r="G1133" s="7">
        <v>4025</v>
      </c>
    </row>
    <row r="1134" spans="1:7" ht="18" x14ac:dyDescent="0.2">
      <c r="A1134" s="7" t="s">
        <v>37</v>
      </c>
      <c r="B1134" s="7" t="s">
        <v>0</v>
      </c>
      <c r="C1134" s="7" t="s">
        <v>114</v>
      </c>
      <c r="D1134" s="7">
        <f t="shared" si="22"/>
        <v>105</v>
      </c>
      <c r="E1134" s="7">
        <v>1101</v>
      </c>
      <c r="F1134" s="7">
        <v>67</v>
      </c>
      <c r="G1134" s="7">
        <v>4494</v>
      </c>
    </row>
    <row r="1135" spans="1:7" ht="18" x14ac:dyDescent="0.2">
      <c r="A1135" s="7" t="s">
        <v>37</v>
      </c>
      <c r="B1135" s="7" t="s">
        <v>0</v>
      </c>
      <c r="C1135" s="7" t="s">
        <v>114</v>
      </c>
      <c r="D1135" s="7">
        <f t="shared" si="22"/>
        <v>112</v>
      </c>
      <c r="E1135" s="7">
        <v>1168</v>
      </c>
      <c r="F1135" s="7">
        <v>71</v>
      </c>
      <c r="G1135" s="7">
        <v>4991</v>
      </c>
    </row>
    <row r="1136" spans="1:7" ht="18" x14ac:dyDescent="0.2">
      <c r="A1136" s="7" t="s">
        <v>37</v>
      </c>
      <c r="B1136" s="7" t="s">
        <v>0</v>
      </c>
      <c r="C1136" s="7" t="s">
        <v>114</v>
      </c>
      <c r="D1136" s="7">
        <f t="shared" si="22"/>
        <v>119</v>
      </c>
      <c r="E1136" s="7">
        <v>1235</v>
      </c>
      <c r="F1136" s="7">
        <v>75</v>
      </c>
      <c r="G1136" s="7">
        <v>5516</v>
      </c>
    </row>
    <row r="1137" spans="1:7" ht="18" x14ac:dyDescent="0.2">
      <c r="A1137" s="7" t="s">
        <v>37</v>
      </c>
      <c r="B1137" s="7" t="s">
        <v>0</v>
      </c>
      <c r="C1137" s="7" t="s">
        <v>114</v>
      </c>
      <c r="D1137" s="7">
        <f t="shared" si="22"/>
        <v>126</v>
      </c>
      <c r="E1137" s="7">
        <v>1300</v>
      </c>
      <c r="F1137" s="7">
        <v>80</v>
      </c>
      <c r="G1137" s="7">
        <v>6076</v>
      </c>
    </row>
    <row r="1138" spans="1:7" ht="18" x14ac:dyDescent="0.2">
      <c r="A1138" s="7" t="s">
        <v>37</v>
      </c>
      <c r="B1138" s="7" t="s">
        <v>0</v>
      </c>
      <c r="C1138" s="7" t="s">
        <v>114</v>
      </c>
      <c r="D1138" s="7">
        <f t="shared" si="22"/>
        <v>133</v>
      </c>
      <c r="E1138" s="7">
        <v>1358</v>
      </c>
      <c r="F1138" s="7">
        <v>84</v>
      </c>
      <c r="G1138" s="7">
        <v>6664</v>
      </c>
    </row>
    <row r="1139" spans="1:7" ht="18" x14ac:dyDescent="0.2">
      <c r="A1139" s="7" t="s">
        <v>37</v>
      </c>
      <c r="B1139" s="7" t="s">
        <v>0</v>
      </c>
      <c r="C1139" s="7" t="s">
        <v>114</v>
      </c>
      <c r="D1139" s="7">
        <f t="shared" si="22"/>
        <v>140</v>
      </c>
      <c r="E1139" s="7">
        <v>1408</v>
      </c>
      <c r="F1139" s="7">
        <v>91</v>
      </c>
      <c r="G1139" s="7">
        <v>7301</v>
      </c>
    </row>
    <row r="1140" spans="1:7" ht="18" x14ac:dyDescent="0.2">
      <c r="A1140" s="7" t="s">
        <v>37</v>
      </c>
      <c r="B1140" s="7" t="s">
        <v>0</v>
      </c>
      <c r="C1140" s="7" t="s">
        <v>114</v>
      </c>
      <c r="D1140" s="7">
        <f t="shared" si="22"/>
        <v>147</v>
      </c>
      <c r="E1140" s="7">
        <v>1450</v>
      </c>
      <c r="F1140" s="7">
        <v>96</v>
      </c>
      <c r="G1140" s="7">
        <v>7973</v>
      </c>
    </row>
    <row r="1141" spans="1:7" ht="18" x14ac:dyDescent="0.2">
      <c r="A1141" s="7" t="s">
        <v>37</v>
      </c>
      <c r="B1141" s="7" t="s">
        <v>0</v>
      </c>
      <c r="C1141" s="7" t="s">
        <v>114</v>
      </c>
      <c r="D1141" s="7">
        <f t="shared" si="22"/>
        <v>154</v>
      </c>
      <c r="E1141" s="7">
        <v>1486</v>
      </c>
      <c r="F1141" s="7">
        <v>101</v>
      </c>
      <c r="G1141" s="7">
        <v>8680</v>
      </c>
    </row>
    <row r="1142" spans="1:7" ht="18" x14ac:dyDescent="0.2">
      <c r="A1142" s="7" t="s">
        <v>37</v>
      </c>
      <c r="B1142" s="7" t="s">
        <v>0</v>
      </c>
      <c r="C1142" s="7" t="s">
        <v>114</v>
      </c>
      <c r="D1142" s="7">
        <f t="shared" si="22"/>
        <v>161</v>
      </c>
      <c r="E1142" s="7">
        <v>1516</v>
      </c>
      <c r="F1142" s="7">
        <v>104</v>
      </c>
      <c r="G1142" s="7">
        <v>9408</v>
      </c>
    </row>
    <row r="1143" spans="1:7" ht="18" x14ac:dyDescent="0.2">
      <c r="A1143" s="7" t="s">
        <v>37</v>
      </c>
      <c r="B1143" s="7" t="s">
        <v>0</v>
      </c>
      <c r="C1143" s="7" t="s">
        <v>114</v>
      </c>
      <c r="D1143" s="7">
        <f t="shared" si="22"/>
        <v>168</v>
      </c>
      <c r="E1143" s="7">
        <v>1540</v>
      </c>
      <c r="F1143" s="7">
        <v>105</v>
      </c>
      <c r="G1143" s="7">
        <v>10143</v>
      </c>
    </row>
    <row r="1144" spans="1:7" ht="18" x14ac:dyDescent="0.2">
      <c r="A1144" s="7" t="s">
        <v>37</v>
      </c>
      <c r="B1144" s="7" t="s">
        <v>0</v>
      </c>
      <c r="C1144" s="7" t="s">
        <v>114</v>
      </c>
      <c r="D1144" s="7">
        <f t="shared" si="22"/>
        <v>175</v>
      </c>
      <c r="E1144" s="7">
        <v>1559</v>
      </c>
      <c r="F1144" s="7">
        <v>105</v>
      </c>
      <c r="G1144" s="7">
        <v>10878</v>
      </c>
    </row>
    <row r="1145" spans="1:7" ht="18" x14ac:dyDescent="0.2">
      <c r="A1145" s="7" t="s">
        <v>37</v>
      </c>
      <c r="B1145" s="7" t="s">
        <v>0</v>
      </c>
      <c r="C1145" s="7" t="s">
        <v>114</v>
      </c>
      <c r="D1145" s="7">
        <f t="shared" si="22"/>
        <v>182</v>
      </c>
      <c r="E1145" s="7">
        <v>1574</v>
      </c>
      <c r="F1145" s="7">
        <v>105</v>
      </c>
      <c r="G1145" s="7">
        <v>11613</v>
      </c>
    </row>
    <row r="1146" spans="1:7" ht="18" x14ac:dyDescent="0.2">
      <c r="A1146" s="7" t="s">
        <v>37</v>
      </c>
      <c r="B1146" s="7" t="s">
        <v>0</v>
      </c>
      <c r="C1146" s="7" t="s">
        <v>114</v>
      </c>
      <c r="D1146" s="7">
        <f t="shared" si="22"/>
        <v>189</v>
      </c>
      <c r="E1146" s="7">
        <v>1584</v>
      </c>
      <c r="F1146" s="7">
        <v>105</v>
      </c>
      <c r="G1146" s="7">
        <v>12348</v>
      </c>
    </row>
    <row r="1147" spans="1:7" ht="18" x14ac:dyDescent="0.2">
      <c r="A1147" s="7" t="s">
        <v>37</v>
      </c>
      <c r="B1147" s="7" t="s">
        <v>0</v>
      </c>
      <c r="C1147" s="7" t="s">
        <v>114</v>
      </c>
      <c r="D1147" s="7">
        <f t="shared" si="22"/>
        <v>196</v>
      </c>
      <c r="E1147" s="7">
        <v>1590</v>
      </c>
      <c r="F1147" s="7">
        <v>105</v>
      </c>
      <c r="G1147" s="7">
        <v>13083</v>
      </c>
    </row>
    <row r="1148" spans="1:7" ht="18" x14ac:dyDescent="0.2">
      <c r="A1148" s="7" t="s">
        <v>37</v>
      </c>
      <c r="B1148" s="7" t="s">
        <v>0</v>
      </c>
      <c r="C1148" s="7" t="s">
        <v>114</v>
      </c>
      <c r="D1148" s="7">
        <f t="shared" si="22"/>
        <v>203</v>
      </c>
      <c r="E1148" s="7">
        <v>1594</v>
      </c>
      <c r="F1148" s="7">
        <v>105</v>
      </c>
      <c r="G1148" s="7">
        <v>13818</v>
      </c>
    </row>
    <row r="1149" spans="1:7" ht="18" x14ac:dyDescent="0.2">
      <c r="A1149" s="7" t="s">
        <v>37</v>
      </c>
      <c r="B1149" s="7" t="s">
        <v>0</v>
      </c>
      <c r="C1149" s="7" t="s">
        <v>114</v>
      </c>
      <c r="D1149" s="7">
        <f t="shared" si="22"/>
        <v>210</v>
      </c>
      <c r="E1149" s="7">
        <v>1597</v>
      </c>
      <c r="F1149" s="7">
        <v>105</v>
      </c>
      <c r="G1149" s="7">
        <v>14553</v>
      </c>
    </row>
    <row r="1150" spans="1:7" ht="18" x14ac:dyDescent="0.2">
      <c r="A1150" s="7" t="s">
        <v>37</v>
      </c>
      <c r="B1150" s="7" t="s">
        <v>0</v>
      </c>
      <c r="C1150" s="7" t="s">
        <v>114</v>
      </c>
      <c r="D1150" s="7">
        <f t="shared" si="22"/>
        <v>217</v>
      </c>
      <c r="E1150" s="7">
        <v>1600</v>
      </c>
      <c r="F1150" s="7">
        <v>105</v>
      </c>
      <c r="G1150" s="7">
        <v>15288</v>
      </c>
    </row>
    <row r="1151" spans="1:7" ht="18" x14ac:dyDescent="0.2">
      <c r="A1151" s="7" t="s">
        <v>37</v>
      </c>
      <c r="B1151" s="7" t="s">
        <v>0</v>
      </c>
      <c r="C1151" s="7" t="s">
        <v>114</v>
      </c>
      <c r="D1151" s="7">
        <f t="shared" si="22"/>
        <v>224</v>
      </c>
      <c r="E1151" s="7">
        <v>1603</v>
      </c>
      <c r="F1151" s="7">
        <v>105</v>
      </c>
      <c r="G1151" s="7">
        <v>16023</v>
      </c>
    </row>
    <row r="1152" spans="1:7" ht="18" x14ac:dyDescent="0.2">
      <c r="A1152" s="7" t="s">
        <v>37</v>
      </c>
      <c r="B1152" s="7" t="s">
        <v>0</v>
      </c>
      <c r="C1152" s="7" t="s">
        <v>114</v>
      </c>
      <c r="D1152" s="7">
        <f t="shared" si="22"/>
        <v>231</v>
      </c>
      <c r="E1152" s="7">
        <v>1606</v>
      </c>
      <c r="F1152" s="7">
        <v>105</v>
      </c>
      <c r="G1152" s="7">
        <v>16758</v>
      </c>
    </row>
    <row r="1153" spans="1:7" ht="18" x14ac:dyDescent="0.2">
      <c r="A1153" s="7" t="s">
        <v>37</v>
      </c>
      <c r="B1153" s="7" t="s">
        <v>0</v>
      </c>
      <c r="C1153" s="7" t="s">
        <v>114</v>
      </c>
      <c r="D1153" s="7">
        <f t="shared" si="22"/>
        <v>238</v>
      </c>
      <c r="E1153" s="7">
        <v>1609</v>
      </c>
      <c r="F1153" s="7">
        <v>105</v>
      </c>
      <c r="G1153" s="7">
        <v>17493</v>
      </c>
    </row>
    <row r="1154" spans="1:7" ht="18" x14ac:dyDescent="0.2">
      <c r="A1154" s="7" t="s">
        <v>37</v>
      </c>
      <c r="B1154" s="7" t="s">
        <v>0</v>
      </c>
      <c r="C1154" s="7" t="s">
        <v>114</v>
      </c>
      <c r="D1154" s="7">
        <f t="shared" si="22"/>
        <v>245</v>
      </c>
      <c r="E1154" s="7">
        <v>1612</v>
      </c>
      <c r="F1154" s="7">
        <v>105</v>
      </c>
      <c r="G1154" s="7">
        <v>18228</v>
      </c>
    </row>
    <row r="1155" spans="1:7" ht="18" x14ac:dyDescent="0.2">
      <c r="A1155" s="7" t="s">
        <v>37</v>
      </c>
      <c r="B1155" s="7" t="s">
        <v>0</v>
      </c>
      <c r="C1155" s="7" t="s">
        <v>114</v>
      </c>
      <c r="D1155" s="7">
        <f t="shared" si="22"/>
        <v>252</v>
      </c>
      <c r="E1155" s="7">
        <v>1615</v>
      </c>
      <c r="F1155" s="7">
        <v>105</v>
      </c>
      <c r="G1155" s="7">
        <v>18963</v>
      </c>
    </row>
    <row r="1156" spans="1:7" ht="18" x14ac:dyDescent="0.2">
      <c r="A1156" s="7" t="s">
        <v>37</v>
      </c>
      <c r="B1156" s="7" t="s">
        <v>0</v>
      </c>
      <c r="C1156" s="7" t="s">
        <v>114</v>
      </c>
      <c r="D1156" s="7">
        <f t="shared" si="22"/>
        <v>259</v>
      </c>
      <c r="E1156" s="7">
        <v>1618</v>
      </c>
      <c r="F1156" s="7">
        <v>105</v>
      </c>
      <c r="G1156" s="7">
        <v>19698</v>
      </c>
    </row>
    <row r="1157" spans="1:7" ht="18" x14ac:dyDescent="0.2">
      <c r="A1157" s="7" t="s">
        <v>37</v>
      </c>
      <c r="B1157" s="7" t="s">
        <v>0</v>
      </c>
      <c r="C1157" s="7" t="s">
        <v>114</v>
      </c>
      <c r="D1157" s="7">
        <f t="shared" si="22"/>
        <v>266</v>
      </c>
      <c r="E1157" s="7">
        <v>1621</v>
      </c>
      <c r="F1157" s="7">
        <v>105</v>
      </c>
      <c r="G1157" s="7">
        <v>20433</v>
      </c>
    </row>
    <row r="1158" spans="1:7" ht="18" x14ac:dyDescent="0.2">
      <c r="A1158" s="7" t="s">
        <v>37</v>
      </c>
      <c r="B1158" s="7" t="s">
        <v>0</v>
      </c>
      <c r="C1158" s="7" t="s">
        <v>114</v>
      </c>
      <c r="D1158" s="7">
        <f t="shared" si="22"/>
        <v>273</v>
      </c>
      <c r="E1158" s="7">
        <v>1624</v>
      </c>
      <c r="F1158" s="7">
        <v>105</v>
      </c>
      <c r="G1158" s="7">
        <v>21168</v>
      </c>
    </row>
    <row r="1159" spans="1:7" ht="18" x14ac:dyDescent="0.2">
      <c r="A1159" s="7" t="s">
        <v>37</v>
      </c>
      <c r="B1159" s="7" t="s">
        <v>0</v>
      </c>
      <c r="C1159" s="7" t="s">
        <v>114</v>
      </c>
      <c r="D1159" s="7">
        <f t="shared" si="22"/>
        <v>280</v>
      </c>
      <c r="E1159" s="7">
        <v>1626</v>
      </c>
      <c r="F1159" s="7">
        <v>105</v>
      </c>
      <c r="G1159" s="7">
        <v>21903</v>
      </c>
    </row>
    <row r="1160" spans="1:7" ht="18" x14ac:dyDescent="0.2">
      <c r="A1160" s="7" t="s">
        <v>37</v>
      </c>
      <c r="B1160" s="7" t="s">
        <v>0</v>
      </c>
      <c r="C1160" s="7" t="s">
        <v>114</v>
      </c>
      <c r="D1160" s="7">
        <f t="shared" si="22"/>
        <v>287</v>
      </c>
      <c r="E1160" s="7">
        <v>1628</v>
      </c>
      <c r="F1160" s="7">
        <v>105</v>
      </c>
      <c r="G1160" s="7">
        <v>22638</v>
      </c>
    </row>
    <row r="1161" spans="1:7" ht="18" x14ac:dyDescent="0.2">
      <c r="A1161" s="7" t="s">
        <v>37</v>
      </c>
      <c r="B1161" s="7" t="s">
        <v>0</v>
      </c>
      <c r="C1161" s="7" t="s">
        <v>114</v>
      </c>
      <c r="D1161" s="7">
        <f t="shared" si="22"/>
        <v>294</v>
      </c>
      <c r="E1161" s="7">
        <v>1630</v>
      </c>
      <c r="F1161" s="7">
        <v>105</v>
      </c>
      <c r="G1161" s="7">
        <v>23373</v>
      </c>
    </row>
    <row r="1162" spans="1:7" ht="18" x14ac:dyDescent="0.2">
      <c r="A1162" s="7" t="s">
        <v>37</v>
      </c>
      <c r="B1162" s="7" t="s">
        <v>0</v>
      </c>
      <c r="C1162" s="7" t="s">
        <v>114</v>
      </c>
      <c r="D1162" s="7">
        <f t="shared" si="22"/>
        <v>301</v>
      </c>
      <c r="E1162" s="7">
        <v>1632</v>
      </c>
      <c r="F1162" s="7">
        <v>105</v>
      </c>
      <c r="G1162" s="7">
        <v>24108</v>
      </c>
    </row>
    <row r="1163" spans="1:7" ht="18" x14ac:dyDescent="0.2">
      <c r="A1163" s="7" t="s">
        <v>37</v>
      </c>
      <c r="B1163" s="7" t="s">
        <v>0</v>
      </c>
      <c r="C1163" s="7" t="s">
        <v>114</v>
      </c>
      <c r="D1163" s="7">
        <f t="shared" si="22"/>
        <v>308</v>
      </c>
      <c r="E1163" s="7">
        <v>1634</v>
      </c>
      <c r="F1163" s="7">
        <v>105</v>
      </c>
      <c r="G1163" s="7">
        <v>24843</v>
      </c>
    </row>
    <row r="1164" spans="1:7" ht="18" x14ac:dyDescent="0.2">
      <c r="A1164" s="7" t="s">
        <v>37</v>
      </c>
      <c r="B1164" s="7" t="s">
        <v>0</v>
      </c>
      <c r="C1164" s="7" t="s">
        <v>114</v>
      </c>
      <c r="D1164" s="7">
        <f t="shared" si="22"/>
        <v>315</v>
      </c>
      <c r="E1164" s="7">
        <v>1636</v>
      </c>
      <c r="F1164" s="7">
        <v>105</v>
      </c>
      <c r="G1164" s="7">
        <v>25578</v>
      </c>
    </row>
    <row r="1165" spans="1:7" ht="18" x14ac:dyDescent="0.2">
      <c r="A1165" s="7" t="s">
        <v>37</v>
      </c>
      <c r="B1165" s="7" t="s">
        <v>0</v>
      </c>
      <c r="C1165" s="7" t="s">
        <v>114</v>
      </c>
      <c r="D1165" s="7">
        <f t="shared" si="22"/>
        <v>322</v>
      </c>
      <c r="E1165" s="7">
        <v>1638</v>
      </c>
      <c r="F1165" s="7">
        <v>105</v>
      </c>
      <c r="G1165" s="7">
        <v>26313</v>
      </c>
    </row>
    <row r="1166" spans="1:7" ht="18" x14ac:dyDescent="0.2">
      <c r="A1166" s="7" t="s">
        <v>37</v>
      </c>
      <c r="B1166" s="7" t="s">
        <v>0</v>
      </c>
      <c r="C1166" s="7" t="s">
        <v>114</v>
      </c>
      <c r="D1166" s="7">
        <f t="shared" si="22"/>
        <v>329</v>
      </c>
      <c r="E1166" s="7">
        <v>1640</v>
      </c>
      <c r="F1166" s="7">
        <v>105</v>
      </c>
      <c r="G1166" s="7">
        <v>27048</v>
      </c>
    </row>
    <row r="1167" spans="1:7" ht="18" x14ac:dyDescent="0.2">
      <c r="A1167" s="7" t="s">
        <v>37</v>
      </c>
      <c r="B1167" s="7" t="s">
        <v>0</v>
      </c>
      <c r="C1167" s="7" t="s">
        <v>114</v>
      </c>
      <c r="D1167" s="7">
        <f t="shared" si="22"/>
        <v>336</v>
      </c>
      <c r="E1167" s="7">
        <v>1642</v>
      </c>
      <c r="F1167" s="7">
        <v>105</v>
      </c>
      <c r="G1167" s="7">
        <v>27783</v>
      </c>
    </row>
    <row r="1168" spans="1:7" ht="18" x14ac:dyDescent="0.2">
      <c r="A1168" s="7" t="s">
        <v>37</v>
      </c>
      <c r="B1168" s="7" t="s">
        <v>0</v>
      </c>
      <c r="C1168" s="7" t="s">
        <v>114</v>
      </c>
      <c r="D1168" s="7">
        <f t="shared" si="22"/>
        <v>343</v>
      </c>
      <c r="E1168" s="7">
        <v>1644</v>
      </c>
      <c r="F1168" s="7">
        <v>105</v>
      </c>
      <c r="G1168" s="7">
        <v>28518</v>
      </c>
    </row>
    <row r="1169" spans="1:7" ht="18" x14ac:dyDescent="0.2">
      <c r="A1169" s="7" t="s">
        <v>37</v>
      </c>
      <c r="B1169" s="7" t="s">
        <v>0</v>
      </c>
      <c r="C1169" s="7" t="s">
        <v>114</v>
      </c>
      <c r="D1169" s="7">
        <f t="shared" si="22"/>
        <v>350</v>
      </c>
      <c r="E1169" s="7">
        <v>1646</v>
      </c>
      <c r="F1169" s="7">
        <v>105</v>
      </c>
      <c r="G1169" s="7">
        <v>29253</v>
      </c>
    </row>
    <row r="1170" spans="1:7" ht="18" x14ac:dyDescent="0.2">
      <c r="A1170" s="7" t="s">
        <v>37</v>
      </c>
      <c r="B1170" s="7" t="s">
        <v>0</v>
      </c>
      <c r="C1170" s="7" t="s">
        <v>114</v>
      </c>
      <c r="D1170" s="7">
        <f t="shared" si="22"/>
        <v>357</v>
      </c>
      <c r="E1170" s="7">
        <v>1648</v>
      </c>
      <c r="F1170" s="7">
        <v>105</v>
      </c>
      <c r="G1170" s="7">
        <v>29988</v>
      </c>
    </row>
    <row r="1171" spans="1:7" ht="18" x14ac:dyDescent="0.2">
      <c r="A1171" s="7" t="s">
        <v>37</v>
      </c>
      <c r="B1171" s="7" t="s">
        <v>0</v>
      </c>
      <c r="C1171" s="7" t="s">
        <v>114</v>
      </c>
      <c r="D1171" s="7">
        <f t="shared" si="22"/>
        <v>364</v>
      </c>
      <c r="E1171" s="7">
        <v>1650</v>
      </c>
      <c r="F1171" s="7">
        <v>105</v>
      </c>
      <c r="G1171" s="7">
        <v>30723</v>
      </c>
    </row>
    <row r="1172" spans="1:7" ht="18" x14ac:dyDescent="0.2">
      <c r="A1172" s="7" t="s">
        <v>37</v>
      </c>
      <c r="B1172" s="7" t="s">
        <v>0</v>
      </c>
      <c r="C1172" s="7" t="s">
        <v>114</v>
      </c>
      <c r="D1172" s="7">
        <f t="shared" si="22"/>
        <v>371</v>
      </c>
      <c r="E1172" s="7">
        <v>1652</v>
      </c>
      <c r="F1172" s="7">
        <v>105</v>
      </c>
      <c r="G1172" s="7">
        <v>31458</v>
      </c>
    </row>
    <row r="1173" spans="1:7" ht="18" x14ac:dyDescent="0.2">
      <c r="A1173" s="7" t="s">
        <v>37</v>
      </c>
      <c r="B1173" s="7" t="s">
        <v>0</v>
      </c>
      <c r="C1173" s="7" t="s">
        <v>114</v>
      </c>
      <c r="D1173" s="7">
        <f t="shared" si="22"/>
        <v>378</v>
      </c>
      <c r="E1173" s="7">
        <v>1654</v>
      </c>
      <c r="F1173" s="7">
        <v>105</v>
      </c>
      <c r="G1173" s="7">
        <v>32193</v>
      </c>
    </row>
    <row r="1174" spans="1:7" ht="18" x14ac:dyDescent="0.2">
      <c r="A1174" s="7" t="s">
        <v>37</v>
      </c>
      <c r="B1174" s="7" t="s">
        <v>0</v>
      </c>
      <c r="C1174" s="7" t="s">
        <v>114</v>
      </c>
      <c r="D1174" s="7">
        <f t="shared" si="22"/>
        <v>385</v>
      </c>
      <c r="E1174" s="7">
        <v>1656</v>
      </c>
      <c r="F1174" s="7">
        <v>105</v>
      </c>
      <c r="G1174" s="7">
        <v>32928</v>
      </c>
    </row>
    <row r="1175" spans="1:7" ht="18" x14ac:dyDescent="0.2">
      <c r="A1175" s="7" t="s">
        <v>37</v>
      </c>
      <c r="B1175" s="7" t="s">
        <v>0</v>
      </c>
      <c r="C1175" s="7" t="s">
        <v>114</v>
      </c>
      <c r="D1175" s="7">
        <f t="shared" si="22"/>
        <v>392</v>
      </c>
      <c r="E1175" s="7">
        <v>1658</v>
      </c>
      <c r="F1175" s="7">
        <v>105</v>
      </c>
      <c r="G1175" s="7">
        <v>33663</v>
      </c>
    </row>
    <row r="1176" spans="1:7" ht="18" x14ac:dyDescent="0.2">
      <c r="A1176" s="7" t="s">
        <v>37</v>
      </c>
      <c r="B1176" s="7" t="s">
        <v>0</v>
      </c>
      <c r="C1176" s="7" t="s">
        <v>114</v>
      </c>
      <c r="D1176" s="7">
        <f t="shared" si="22"/>
        <v>399</v>
      </c>
      <c r="E1176" s="7">
        <v>1660</v>
      </c>
      <c r="F1176" s="7">
        <v>105</v>
      </c>
      <c r="G1176" s="7">
        <v>34398</v>
      </c>
    </row>
    <row r="1177" spans="1:7" ht="18" x14ac:dyDescent="0.2">
      <c r="A1177" s="7" t="s">
        <v>37</v>
      </c>
      <c r="B1177" s="7" t="s">
        <v>0</v>
      </c>
      <c r="C1177" s="7" t="s">
        <v>114</v>
      </c>
      <c r="D1177" s="7">
        <f t="shared" si="22"/>
        <v>406</v>
      </c>
      <c r="E1177" s="7">
        <v>1662</v>
      </c>
      <c r="F1177" s="7">
        <v>105</v>
      </c>
      <c r="G1177" s="7">
        <v>35133</v>
      </c>
    </row>
    <row r="1178" spans="1:7" ht="18" x14ac:dyDescent="0.2">
      <c r="A1178" s="7" t="s">
        <v>37</v>
      </c>
      <c r="B1178" s="7" t="s">
        <v>0</v>
      </c>
      <c r="C1178" s="7" t="s">
        <v>114</v>
      </c>
      <c r="D1178" s="7">
        <f t="shared" si="22"/>
        <v>413</v>
      </c>
      <c r="E1178" s="7">
        <v>1664</v>
      </c>
      <c r="F1178" s="7">
        <v>105</v>
      </c>
      <c r="G1178" s="7">
        <v>35868</v>
      </c>
    </row>
    <row r="1179" spans="1:7" ht="18" x14ac:dyDescent="0.2">
      <c r="A1179" s="7" t="s">
        <v>37</v>
      </c>
      <c r="B1179" s="7" t="s">
        <v>0</v>
      </c>
      <c r="C1179" s="7" t="s">
        <v>114</v>
      </c>
      <c r="D1179" s="7">
        <f t="shared" si="22"/>
        <v>420</v>
      </c>
      <c r="E1179" s="7">
        <v>1666</v>
      </c>
      <c r="F1179" s="7">
        <v>105</v>
      </c>
      <c r="G1179" s="7">
        <v>36603</v>
      </c>
    </row>
    <row r="1180" spans="1:7" ht="18" x14ac:dyDescent="0.2">
      <c r="A1180" s="7" t="s">
        <v>37</v>
      </c>
      <c r="B1180" s="7" t="s">
        <v>0</v>
      </c>
      <c r="C1180" s="7" t="s">
        <v>114</v>
      </c>
      <c r="D1180" s="7">
        <f t="shared" si="22"/>
        <v>427</v>
      </c>
      <c r="E1180" s="7">
        <v>1668</v>
      </c>
      <c r="F1180" s="7">
        <v>105</v>
      </c>
      <c r="G1180" s="7">
        <v>37338</v>
      </c>
    </row>
    <row r="1181" spans="1:7" ht="18" x14ac:dyDescent="0.2">
      <c r="A1181" s="7" t="s">
        <v>37</v>
      </c>
      <c r="B1181" s="7" t="s">
        <v>0</v>
      </c>
      <c r="C1181" s="7" t="s">
        <v>114</v>
      </c>
      <c r="D1181" s="7">
        <f t="shared" si="22"/>
        <v>434</v>
      </c>
      <c r="E1181" s="7">
        <v>1670</v>
      </c>
      <c r="F1181" s="7">
        <v>105</v>
      </c>
      <c r="G1181" s="7">
        <v>38073</v>
      </c>
    </row>
    <row r="1182" spans="1:7" ht="18" x14ac:dyDescent="0.2">
      <c r="A1182" s="7" t="s">
        <v>37</v>
      </c>
      <c r="B1182" s="7" t="s">
        <v>0</v>
      </c>
      <c r="C1182" s="7" t="s">
        <v>114</v>
      </c>
      <c r="D1182" s="7">
        <f t="shared" si="22"/>
        <v>441</v>
      </c>
      <c r="E1182" s="7">
        <v>1672</v>
      </c>
      <c r="F1182" s="7">
        <v>105</v>
      </c>
      <c r="G1182" s="7">
        <v>38808</v>
      </c>
    </row>
    <row r="1183" spans="1:7" ht="18" x14ac:dyDescent="0.2">
      <c r="A1183" s="7" t="s">
        <v>37</v>
      </c>
      <c r="B1183" s="7" t="s">
        <v>0</v>
      </c>
      <c r="C1183" s="7" t="s">
        <v>114</v>
      </c>
      <c r="D1183" s="7">
        <f t="shared" si="22"/>
        <v>448</v>
      </c>
      <c r="E1183" s="7">
        <v>1674</v>
      </c>
      <c r="F1183" s="7">
        <v>105</v>
      </c>
      <c r="G1183" s="7">
        <v>39543</v>
      </c>
    </row>
    <row r="1184" spans="1:7" ht="18" x14ac:dyDescent="0.2">
      <c r="A1184" s="7" t="s">
        <v>37</v>
      </c>
      <c r="B1184" s="7" t="s">
        <v>0</v>
      </c>
      <c r="C1184" s="7" t="s">
        <v>114</v>
      </c>
      <c r="D1184" s="7">
        <f t="shared" si="22"/>
        <v>455</v>
      </c>
      <c r="E1184" s="7">
        <v>1676</v>
      </c>
      <c r="F1184" s="7">
        <v>105</v>
      </c>
      <c r="G1184" s="7">
        <v>40278</v>
      </c>
    </row>
    <row r="1185" spans="1:7" ht="18" x14ac:dyDescent="0.2">
      <c r="A1185" s="7" t="s">
        <v>37</v>
      </c>
      <c r="B1185" s="7" t="s">
        <v>0</v>
      </c>
      <c r="C1185" s="7" t="s">
        <v>114</v>
      </c>
      <c r="D1185" s="7">
        <f t="shared" si="22"/>
        <v>462</v>
      </c>
      <c r="E1185" s="7">
        <v>1678</v>
      </c>
      <c r="F1185" s="7">
        <v>105</v>
      </c>
      <c r="G1185" s="7">
        <v>41013</v>
      </c>
    </row>
    <row r="1186" spans="1:7" ht="18" x14ac:dyDescent="0.2">
      <c r="A1186" s="7" t="s">
        <v>37</v>
      </c>
      <c r="B1186" s="7" t="s">
        <v>0</v>
      </c>
      <c r="C1186" s="7" t="s">
        <v>114</v>
      </c>
      <c r="D1186" s="7">
        <f t="shared" si="22"/>
        <v>469</v>
      </c>
      <c r="E1186" s="7">
        <v>1680</v>
      </c>
      <c r="F1186" s="7">
        <v>105</v>
      </c>
      <c r="G1186" s="7">
        <v>41748</v>
      </c>
    </row>
    <row r="1187" spans="1:7" ht="18" x14ac:dyDescent="0.2">
      <c r="A1187" s="7" t="s">
        <v>37</v>
      </c>
      <c r="B1187" s="7" t="s">
        <v>0</v>
      </c>
      <c r="C1187" s="7" t="s">
        <v>114</v>
      </c>
      <c r="D1187" s="7">
        <f t="shared" si="22"/>
        <v>476</v>
      </c>
      <c r="E1187" s="7">
        <v>1682</v>
      </c>
      <c r="F1187" s="7">
        <v>105</v>
      </c>
      <c r="G1187" s="7">
        <v>42483</v>
      </c>
    </row>
    <row r="1188" spans="1:7" ht="18" x14ac:dyDescent="0.2">
      <c r="A1188" s="7" t="s">
        <v>37</v>
      </c>
      <c r="B1188" s="7" t="s">
        <v>0</v>
      </c>
      <c r="C1188" s="7" t="s">
        <v>114</v>
      </c>
      <c r="D1188" s="7">
        <f t="shared" ref="D1188:D1219" si="23">D1187+7</f>
        <v>483</v>
      </c>
      <c r="E1188" s="7">
        <v>1684</v>
      </c>
      <c r="F1188" s="7">
        <v>105</v>
      </c>
      <c r="G1188" s="7">
        <v>43218</v>
      </c>
    </row>
    <row r="1189" spans="1:7" ht="18" x14ac:dyDescent="0.2">
      <c r="A1189" s="7" t="s">
        <v>37</v>
      </c>
      <c r="B1189" s="7" t="s">
        <v>0</v>
      </c>
      <c r="C1189" s="7" t="s">
        <v>114</v>
      </c>
      <c r="D1189" s="7">
        <f t="shared" si="23"/>
        <v>490</v>
      </c>
      <c r="E1189" s="7">
        <v>1686</v>
      </c>
      <c r="F1189" s="7">
        <v>105</v>
      </c>
      <c r="G1189" s="7">
        <v>43953</v>
      </c>
    </row>
    <row r="1190" spans="1:7" ht="18" x14ac:dyDescent="0.2">
      <c r="A1190" s="7" t="s">
        <v>37</v>
      </c>
      <c r="B1190" s="7" t="s">
        <v>0</v>
      </c>
      <c r="C1190" s="7" t="s">
        <v>114</v>
      </c>
      <c r="D1190" s="7">
        <f t="shared" si="23"/>
        <v>497</v>
      </c>
      <c r="E1190" s="7">
        <v>1688</v>
      </c>
      <c r="F1190" s="7">
        <v>105</v>
      </c>
      <c r="G1190" s="7">
        <v>44688</v>
      </c>
    </row>
    <row r="1191" spans="1:7" ht="18" x14ac:dyDescent="0.2">
      <c r="A1191" s="7" t="s">
        <v>37</v>
      </c>
      <c r="B1191" s="7" t="s">
        <v>0</v>
      </c>
      <c r="C1191" s="7" t="s">
        <v>114</v>
      </c>
      <c r="D1191" s="7">
        <f t="shared" si="23"/>
        <v>504</v>
      </c>
      <c r="E1191" s="7">
        <v>1690</v>
      </c>
      <c r="F1191" s="7">
        <v>105</v>
      </c>
      <c r="G1191" s="7">
        <v>45423</v>
      </c>
    </row>
    <row r="1192" spans="1:7" ht="18" x14ac:dyDescent="0.2">
      <c r="A1192" s="7" t="s">
        <v>37</v>
      </c>
      <c r="B1192" s="7" t="s">
        <v>0</v>
      </c>
      <c r="C1192" s="7" t="s">
        <v>114</v>
      </c>
      <c r="D1192" s="7">
        <f t="shared" si="23"/>
        <v>511</v>
      </c>
      <c r="E1192" s="7">
        <v>1692</v>
      </c>
      <c r="F1192" s="7">
        <v>105</v>
      </c>
      <c r="G1192" s="7">
        <v>46158</v>
      </c>
    </row>
    <row r="1193" spans="1:7" ht="18" x14ac:dyDescent="0.2">
      <c r="A1193" s="7" t="s">
        <v>37</v>
      </c>
      <c r="B1193" s="7" t="s">
        <v>0</v>
      </c>
      <c r="C1193" s="7" t="s">
        <v>114</v>
      </c>
      <c r="D1193" s="7">
        <f t="shared" si="23"/>
        <v>518</v>
      </c>
      <c r="E1193" s="7">
        <v>1694</v>
      </c>
      <c r="F1193" s="7">
        <v>105</v>
      </c>
      <c r="G1193" s="7">
        <v>46893</v>
      </c>
    </row>
    <row r="1194" spans="1:7" ht="18" x14ac:dyDescent="0.2">
      <c r="A1194" s="7" t="s">
        <v>37</v>
      </c>
      <c r="B1194" s="7" t="s">
        <v>0</v>
      </c>
      <c r="C1194" s="7" t="s">
        <v>114</v>
      </c>
      <c r="D1194" s="7">
        <f t="shared" si="23"/>
        <v>525</v>
      </c>
      <c r="E1194" s="7">
        <v>1696</v>
      </c>
      <c r="F1194" s="7">
        <v>105</v>
      </c>
      <c r="G1194" s="7">
        <v>47628</v>
      </c>
    </row>
    <row r="1195" spans="1:7" ht="18" x14ac:dyDescent="0.2">
      <c r="A1195" s="7" t="s">
        <v>37</v>
      </c>
      <c r="B1195" s="7" t="s">
        <v>0</v>
      </c>
      <c r="C1195" s="7" t="s">
        <v>114</v>
      </c>
      <c r="D1195" s="7">
        <f t="shared" si="23"/>
        <v>532</v>
      </c>
      <c r="E1195" s="7">
        <v>1698</v>
      </c>
      <c r="F1195" s="7">
        <v>105</v>
      </c>
      <c r="G1195" s="7">
        <v>48363</v>
      </c>
    </row>
    <row r="1196" spans="1:7" ht="18" x14ac:dyDescent="0.2">
      <c r="A1196" s="7" t="s">
        <v>37</v>
      </c>
      <c r="B1196" s="7" t="s">
        <v>0</v>
      </c>
      <c r="C1196" s="7" t="s">
        <v>114</v>
      </c>
      <c r="D1196" s="7">
        <f t="shared" si="23"/>
        <v>539</v>
      </c>
      <c r="E1196" s="7">
        <v>1700</v>
      </c>
      <c r="F1196" s="7">
        <v>105</v>
      </c>
      <c r="G1196" s="7">
        <v>49098</v>
      </c>
    </row>
    <row r="1197" spans="1:7" ht="18" x14ac:dyDescent="0.2">
      <c r="A1197" s="7" t="s">
        <v>37</v>
      </c>
      <c r="B1197" s="7" t="s">
        <v>0</v>
      </c>
      <c r="C1197" s="7" t="s">
        <v>114</v>
      </c>
      <c r="D1197" s="7">
        <f t="shared" si="23"/>
        <v>546</v>
      </c>
      <c r="E1197" s="7">
        <v>1702</v>
      </c>
      <c r="F1197" s="7">
        <v>105</v>
      </c>
      <c r="G1197" s="7">
        <v>49833</v>
      </c>
    </row>
    <row r="1198" spans="1:7" ht="18" x14ac:dyDescent="0.2">
      <c r="A1198" s="7" t="s">
        <v>37</v>
      </c>
      <c r="B1198" s="7" t="s">
        <v>0</v>
      </c>
      <c r="C1198" s="7" t="s">
        <v>114</v>
      </c>
      <c r="D1198" s="7">
        <f t="shared" si="23"/>
        <v>553</v>
      </c>
      <c r="E1198" s="7">
        <v>1704</v>
      </c>
      <c r="F1198" s="7">
        <v>105</v>
      </c>
      <c r="G1198" s="7">
        <v>50568</v>
      </c>
    </row>
    <row r="1199" spans="1:7" ht="18" x14ac:dyDescent="0.2">
      <c r="A1199" s="7" t="s">
        <v>37</v>
      </c>
      <c r="B1199" s="7" t="s">
        <v>0</v>
      </c>
      <c r="C1199" s="7" t="s">
        <v>114</v>
      </c>
      <c r="D1199" s="7">
        <f t="shared" si="23"/>
        <v>560</v>
      </c>
      <c r="E1199" s="7">
        <v>1705</v>
      </c>
      <c r="F1199" s="7">
        <v>105</v>
      </c>
      <c r="G1199" s="7">
        <v>51303</v>
      </c>
    </row>
    <row r="1200" spans="1:7" ht="18" x14ac:dyDescent="0.2">
      <c r="A1200" s="7" t="s">
        <v>37</v>
      </c>
      <c r="B1200" s="7" t="s">
        <v>0</v>
      </c>
      <c r="C1200" s="7" t="s">
        <v>114</v>
      </c>
      <c r="D1200" s="7">
        <f t="shared" si="23"/>
        <v>567</v>
      </c>
      <c r="E1200" s="7">
        <v>1706</v>
      </c>
      <c r="F1200" s="7">
        <v>105</v>
      </c>
      <c r="G1200" s="7">
        <v>52038</v>
      </c>
    </row>
    <row r="1201" spans="1:7" ht="18" x14ac:dyDescent="0.2">
      <c r="A1201" s="7" t="s">
        <v>37</v>
      </c>
      <c r="B1201" s="7" t="s">
        <v>0</v>
      </c>
      <c r="C1201" s="7" t="s">
        <v>114</v>
      </c>
      <c r="D1201" s="7">
        <f t="shared" si="23"/>
        <v>574</v>
      </c>
      <c r="E1201" s="7">
        <v>1707</v>
      </c>
      <c r="F1201" s="7">
        <v>105</v>
      </c>
      <c r="G1201" s="7">
        <v>52773</v>
      </c>
    </row>
    <row r="1202" spans="1:7" ht="18" x14ac:dyDescent="0.2">
      <c r="A1202" s="7" t="s">
        <v>37</v>
      </c>
      <c r="B1202" s="7" t="s">
        <v>0</v>
      </c>
      <c r="C1202" s="7" t="s">
        <v>114</v>
      </c>
      <c r="D1202" s="7">
        <f t="shared" si="23"/>
        <v>581</v>
      </c>
      <c r="E1202" s="7">
        <v>1708</v>
      </c>
      <c r="F1202" s="7">
        <v>105</v>
      </c>
      <c r="G1202" s="7">
        <v>53508</v>
      </c>
    </row>
    <row r="1203" spans="1:7" ht="18" x14ac:dyDescent="0.2">
      <c r="A1203" s="7" t="s">
        <v>37</v>
      </c>
      <c r="B1203" s="7" t="s">
        <v>0</v>
      </c>
      <c r="C1203" s="7" t="s">
        <v>114</v>
      </c>
      <c r="D1203" s="7">
        <f t="shared" si="23"/>
        <v>588</v>
      </c>
      <c r="E1203" s="7">
        <v>1709</v>
      </c>
      <c r="F1203" s="7">
        <v>105</v>
      </c>
      <c r="G1203" s="7">
        <v>54243</v>
      </c>
    </row>
    <row r="1204" spans="1:7" ht="18" x14ac:dyDescent="0.2">
      <c r="A1204" s="7" t="s">
        <v>37</v>
      </c>
      <c r="B1204" s="7" t="s">
        <v>0</v>
      </c>
      <c r="C1204" s="7" t="s">
        <v>114</v>
      </c>
      <c r="D1204" s="7">
        <f t="shared" si="23"/>
        <v>595</v>
      </c>
      <c r="E1204" s="7">
        <v>1710</v>
      </c>
      <c r="F1204" s="7">
        <v>105</v>
      </c>
      <c r="G1204" s="7">
        <v>54978</v>
      </c>
    </row>
    <row r="1205" spans="1:7" ht="18" x14ac:dyDescent="0.2">
      <c r="A1205" s="7" t="s">
        <v>37</v>
      </c>
      <c r="B1205" s="7" t="s">
        <v>0</v>
      </c>
      <c r="C1205" s="7" t="s">
        <v>114</v>
      </c>
      <c r="D1205" s="7">
        <f t="shared" si="23"/>
        <v>602</v>
      </c>
      <c r="E1205" s="7">
        <v>1711</v>
      </c>
      <c r="F1205" s="7">
        <v>105</v>
      </c>
      <c r="G1205" s="7">
        <v>55713</v>
      </c>
    </row>
    <row r="1206" spans="1:7" ht="18" x14ac:dyDescent="0.2">
      <c r="A1206" s="7" t="s">
        <v>37</v>
      </c>
      <c r="B1206" s="7" t="s">
        <v>0</v>
      </c>
      <c r="C1206" s="7" t="s">
        <v>114</v>
      </c>
      <c r="D1206" s="7">
        <f t="shared" si="23"/>
        <v>609</v>
      </c>
      <c r="E1206" s="7">
        <v>1712</v>
      </c>
      <c r="F1206" s="7">
        <v>105</v>
      </c>
      <c r="G1206" s="7">
        <v>56448</v>
      </c>
    </row>
    <row r="1207" spans="1:7" ht="18" x14ac:dyDescent="0.2">
      <c r="A1207" s="7" t="s">
        <v>37</v>
      </c>
      <c r="B1207" s="7" t="s">
        <v>0</v>
      </c>
      <c r="C1207" s="7" t="s">
        <v>114</v>
      </c>
      <c r="D1207" s="7">
        <f t="shared" si="23"/>
        <v>616</v>
      </c>
      <c r="E1207" s="7">
        <v>1713</v>
      </c>
      <c r="F1207" s="7">
        <v>105</v>
      </c>
      <c r="G1207" s="7">
        <v>57183</v>
      </c>
    </row>
    <row r="1208" spans="1:7" ht="18" x14ac:dyDescent="0.2">
      <c r="A1208" s="7" t="s">
        <v>37</v>
      </c>
      <c r="B1208" s="7" t="s">
        <v>0</v>
      </c>
      <c r="C1208" s="7" t="s">
        <v>114</v>
      </c>
      <c r="D1208" s="7">
        <f t="shared" si="23"/>
        <v>623</v>
      </c>
      <c r="E1208" s="7">
        <v>1714</v>
      </c>
      <c r="F1208" s="7">
        <v>105</v>
      </c>
      <c r="G1208" s="7">
        <v>57918</v>
      </c>
    </row>
    <row r="1209" spans="1:7" ht="18" x14ac:dyDescent="0.2">
      <c r="A1209" s="7" t="s">
        <v>37</v>
      </c>
      <c r="B1209" s="7" t="s">
        <v>0</v>
      </c>
      <c r="C1209" s="7" t="s">
        <v>114</v>
      </c>
      <c r="D1209" s="7">
        <f t="shared" si="23"/>
        <v>630</v>
      </c>
      <c r="E1209" s="7">
        <v>1715</v>
      </c>
      <c r="F1209" s="7">
        <v>105</v>
      </c>
      <c r="G1209" s="7">
        <v>58653</v>
      </c>
    </row>
    <row r="1210" spans="1:7" ht="18" x14ac:dyDescent="0.2">
      <c r="A1210" s="7" t="s">
        <v>37</v>
      </c>
      <c r="B1210" s="7" t="s">
        <v>0</v>
      </c>
      <c r="C1210" s="7" t="s">
        <v>114</v>
      </c>
      <c r="D1210" s="7">
        <f t="shared" si="23"/>
        <v>637</v>
      </c>
      <c r="E1210" s="7">
        <v>1716</v>
      </c>
      <c r="F1210" s="7">
        <v>105</v>
      </c>
      <c r="G1210" s="7">
        <v>59388</v>
      </c>
    </row>
    <row r="1211" spans="1:7" ht="18" x14ac:dyDescent="0.2">
      <c r="A1211" s="7" t="s">
        <v>37</v>
      </c>
      <c r="B1211" s="7" t="s">
        <v>0</v>
      </c>
      <c r="C1211" s="7" t="s">
        <v>114</v>
      </c>
      <c r="D1211" s="7">
        <f t="shared" si="23"/>
        <v>644</v>
      </c>
      <c r="E1211" s="7">
        <v>1717</v>
      </c>
      <c r="F1211" s="7">
        <v>105</v>
      </c>
      <c r="G1211" s="7">
        <v>60123</v>
      </c>
    </row>
    <row r="1212" spans="1:7" ht="18" x14ac:dyDescent="0.2">
      <c r="A1212" s="7" t="s">
        <v>37</v>
      </c>
      <c r="B1212" s="7" t="s">
        <v>0</v>
      </c>
      <c r="C1212" s="7" t="s">
        <v>114</v>
      </c>
      <c r="D1212" s="7">
        <f t="shared" si="23"/>
        <v>651</v>
      </c>
      <c r="E1212" s="7">
        <v>1718</v>
      </c>
      <c r="F1212" s="7">
        <v>105</v>
      </c>
      <c r="G1212" s="7">
        <v>60858</v>
      </c>
    </row>
    <row r="1213" spans="1:7" ht="18" x14ac:dyDescent="0.2">
      <c r="A1213" s="7" t="s">
        <v>37</v>
      </c>
      <c r="B1213" s="7" t="s">
        <v>0</v>
      </c>
      <c r="C1213" s="7" t="s">
        <v>114</v>
      </c>
      <c r="D1213" s="7">
        <f t="shared" si="23"/>
        <v>658</v>
      </c>
      <c r="E1213" s="7">
        <v>1719</v>
      </c>
      <c r="F1213" s="7">
        <v>105</v>
      </c>
      <c r="G1213" s="7">
        <v>61593</v>
      </c>
    </row>
    <row r="1214" spans="1:7" ht="18" x14ac:dyDescent="0.2">
      <c r="A1214" s="7" t="s">
        <v>37</v>
      </c>
      <c r="B1214" s="7" t="s">
        <v>0</v>
      </c>
      <c r="C1214" s="7" t="s">
        <v>114</v>
      </c>
      <c r="D1214" s="7">
        <f t="shared" si="23"/>
        <v>665</v>
      </c>
      <c r="E1214" s="7">
        <v>1720</v>
      </c>
      <c r="F1214" s="7">
        <v>105</v>
      </c>
      <c r="G1214" s="7">
        <v>62328</v>
      </c>
    </row>
    <row r="1215" spans="1:7" ht="18" x14ac:dyDescent="0.2">
      <c r="A1215" s="7" t="s">
        <v>37</v>
      </c>
      <c r="B1215" s="7" t="s">
        <v>0</v>
      </c>
      <c r="C1215" s="7" t="s">
        <v>114</v>
      </c>
      <c r="D1215" s="7">
        <f t="shared" si="23"/>
        <v>672</v>
      </c>
      <c r="E1215" s="7">
        <v>1721</v>
      </c>
      <c r="F1215" s="7">
        <v>105</v>
      </c>
      <c r="G1215" s="7">
        <v>63063</v>
      </c>
    </row>
    <row r="1216" spans="1:7" ht="18" x14ac:dyDescent="0.2">
      <c r="A1216" s="7" t="s">
        <v>37</v>
      </c>
      <c r="B1216" s="7" t="s">
        <v>0</v>
      </c>
      <c r="C1216" s="7" t="s">
        <v>114</v>
      </c>
      <c r="D1216" s="7">
        <f t="shared" si="23"/>
        <v>679</v>
      </c>
      <c r="E1216" s="7">
        <v>1722</v>
      </c>
      <c r="F1216" s="7">
        <v>105</v>
      </c>
      <c r="G1216" s="7">
        <v>63798</v>
      </c>
    </row>
    <row r="1217" spans="1:7" ht="18" x14ac:dyDescent="0.2">
      <c r="A1217" s="7" t="s">
        <v>37</v>
      </c>
      <c r="B1217" s="7" t="s">
        <v>0</v>
      </c>
      <c r="C1217" s="7" t="s">
        <v>114</v>
      </c>
      <c r="D1217" s="7">
        <f t="shared" si="23"/>
        <v>686</v>
      </c>
      <c r="E1217" s="7">
        <v>1723</v>
      </c>
      <c r="F1217" s="7">
        <v>105</v>
      </c>
      <c r="G1217" s="7">
        <v>64533</v>
      </c>
    </row>
    <row r="1218" spans="1:7" ht="18" x14ac:dyDescent="0.2">
      <c r="A1218" s="7" t="s">
        <v>37</v>
      </c>
      <c r="B1218" s="7" t="s">
        <v>0</v>
      </c>
      <c r="C1218" s="7" t="s">
        <v>114</v>
      </c>
      <c r="D1218" s="7">
        <f t="shared" si="23"/>
        <v>693</v>
      </c>
      <c r="E1218" s="7">
        <v>1724</v>
      </c>
      <c r="F1218" s="7">
        <v>105</v>
      </c>
      <c r="G1218" s="7">
        <v>65268</v>
      </c>
    </row>
    <row r="1219" spans="1:7" ht="18" x14ac:dyDescent="0.2">
      <c r="A1219" s="7" t="s">
        <v>37</v>
      </c>
      <c r="B1219" s="7" t="s">
        <v>0</v>
      </c>
      <c r="C1219" s="7" t="s">
        <v>114</v>
      </c>
      <c r="D1219" s="7">
        <f t="shared" si="23"/>
        <v>700</v>
      </c>
      <c r="E1219" s="7">
        <v>1724</v>
      </c>
      <c r="F1219" s="7">
        <v>105</v>
      </c>
      <c r="G1219" s="7">
        <v>66003</v>
      </c>
    </row>
    <row r="1220" spans="1:7" ht="18" x14ac:dyDescent="0.2">
      <c r="A1220" s="7" t="s">
        <v>37</v>
      </c>
      <c r="B1220" s="7" t="s">
        <v>1</v>
      </c>
      <c r="C1220" s="7" t="s">
        <v>20</v>
      </c>
      <c r="D1220" s="7">
        <v>7</v>
      </c>
      <c r="E1220" s="7">
        <v>68</v>
      </c>
      <c r="F1220" s="7">
        <v>11</v>
      </c>
      <c r="G1220" s="7">
        <v>77</v>
      </c>
    </row>
    <row r="1221" spans="1:7" ht="18" x14ac:dyDescent="0.2">
      <c r="A1221" s="7" t="s">
        <v>37</v>
      </c>
      <c r="B1221" s="7" t="s">
        <v>1</v>
      </c>
      <c r="C1221" s="7" t="s">
        <v>20</v>
      </c>
      <c r="D1221" s="7">
        <v>14</v>
      </c>
      <c r="E1221" s="7">
        <v>115</v>
      </c>
      <c r="F1221" s="7">
        <v>17</v>
      </c>
      <c r="G1221" s="7">
        <v>196</v>
      </c>
    </row>
    <row r="1222" spans="1:7" ht="18" x14ac:dyDescent="0.2">
      <c r="A1222" s="7" t="s">
        <v>37</v>
      </c>
      <c r="B1222" s="7" t="s">
        <v>1</v>
      </c>
      <c r="C1222" s="7" t="s">
        <v>20</v>
      </c>
      <c r="D1222" s="7">
        <f>D1221+7</f>
        <v>21</v>
      </c>
      <c r="E1222" s="7">
        <v>185</v>
      </c>
      <c r="F1222" s="7">
        <v>25</v>
      </c>
      <c r="G1222" s="7">
        <v>371</v>
      </c>
    </row>
    <row r="1223" spans="1:7" ht="18" x14ac:dyDescent="0.2">
      <c r="A1223" s="7" t="s">
        <v>37</v>
      </c>
      <c r="B1223" s="7" t="s">
        <v>1</v>
      </c>
      <c r="C1223" s="7" t="s">
        <v>20</v>
      </c>
      <c r="D1223" s="7">
        <f>D1222+7</f>
        <v>28</v>
      </c>
      <c r="E1223" s="7">
        <v>278</v>
      </c>
      <c r="F1223" s="7">
        <v>35</v>
      </c>
      <c r="G1223" s="7">
        <v>616</v>
      </c>
    </row>
    <row r="1224" spans="1:7" ht="18" x14ac:dyDescent="0.2">
      <c r="A1224" s="7" t="s">
        <v>37</v>
      </c>
      <c r="B1224" s="7" t="s">
        <v>1</v>
      </c>
      <c r="C1224" s="7" t="s">
        <v>20</v>
      </c>
      <c r="D1224" s="7">
        <f t="shared" ref="D1224:D1287" si="24">D1223+7</f>
        <v>35</v>
      </c>
      <c r="E1224" s="7">
        <v>372</v>
      </c>
      <c r="F1224" s="7">
        <v>40</v>
      </c>
      <c r="G1224" s="7">
        <v>896</v>
      </c>
    </row>
    <row r="1225" spans="1:7" ht="18" x14ac:dyDescent="0.2">
      <c r="A1225" s="7" t="s">
        <v>37</v>
      </c>
      <c r="B1225" s="7" t="s">
        <v>1</v>
      </c>
      <c r="C1225" s="7" t="s">
        <v>20</v>
      </c>
      <c r="D1225" s="7">
        <f t="shared" si="24"/>
        <v>42</v>
      </c>
      <c r="E1225" s="7">
        <v>482</v>
      </c>
      <c r="F1225" s="7">
        <v>47</v>
      </c>
      <c r="G1225" s="7">
        <v>1225</v>
      </c>
    </row>
    <row r="1226" spans="1:7" ht="18" x14ac:dyDescent="0.2">
      <c r="A1226" s="7" t="s">
        <v>37</v>
      </c>
      <c r="B1226" s="7" t="s">
        <v>1</v>
      </c>
      <c r="C1226" s="7" t="s">
        <v>20</v>
      </c>
      <c r="D1226" s="7">
        <f t="shared" si="24"/>
        <v>49</v>
      </c>
      <c r="E1226" s="7">
        <v>585</v>
      </c>
      <c r="F1226" s="7">
        <v>51</v>
      </c>
      <c r="G1226" s="7">
        <v>1582</v>
      </c>
    </row>
    <row r="1227" spans="1:7" ht="18" x14ac:dyDescent="0.2">
      <c r="A1227" s="7" t="s">
        <v>37</v>
      </c>
      <c r="B1227" s="7" t="s">
        <v>1</v>
      </c>
      <c r="C1227" s="7" t="s">
        <v>20</v>
      </c>
      <c r="D1227" s="7">
        <f t="shared" si="24"/>
        <v>56</v>
      </c>
      <c r="E1227" s="7">
        <v>678</v>
      </c>
      <c r="F1227" s="7">
        <v>55</v>
      </c>
      <c r="G1227" s="7">
        <v>1967</v>
      </c>
    </row>
    <row r="1228" spans="1:7" ht="18" x14ac:dyDescent="0.2">
      <c r="A1228" s="7" t="s">
        <v>37</v>
      </c>
      <c r="B1228" s="7" t="s">
        <v>1</v>
      </c>
      <c r="C1228" s="7" t="s">
        <v>20</v>
      </c>
      <c r="D1228" s="7">
        <f t="shared" si="24"/>
        <v>63</v>
      </c>
      <c r="E1228" s="7">
        <v>770</v>
      </c>
      <c r="F1228" s="7">
        <v>58</v>
      </c>
      <c r="G1228" s="7">
        <v>2373</v>
      </c>
    </row>
    <row r="1229" spans="1:7" ht="18" x14ac:dyDescent="0.2">
      <c r="A1229" s="7" t="s">
        <v>37</v>
      </c>
      <c r="B1229" s="7" t="s">
        <v>1</v>
      </c>
      <c r="C1229" s="7" t="s">
        <v>20</v>
      </c>
      <c r="D1229" s="7">
        <f t="shared" si="24"/>
        <v>70</v>
      </c>
      <c r="E1229" s="7">
        <v>870</v>
      </c>
      <c r="F1229" s="7">
        <v>60</v>
      </c>
      <c r="G1229" s="7">
        <v>2793</v>
      </c>
    </row>
    <row r="1230" spans="1:7" ht="18" x14ac:dyDescent="0.2">
      <c r="A1230" s="7" t="s">
        <v>37</v>
      </c>
      <c r="B1230" s="7" t="s">
        <v>1</v>
      </c>
      <c r="C1230" s="7" t="s">
        <v>20</v>
      </c>
      <c r="D1230" s="7">
        <f t="shared" si="24"/>
        <v>77</v>
      </c>
      <c r="E1230" s="7">
        <v>960</v>
      </c>
      <c r="F1230" s="7">
        <v>62</v>
      </c>
      <c r="G1230" s="7">
        <v>3227</v>
      </c>
    </row>
    <row r="1231" spans="1:7" ht="18" x14ac:dyDescent="0.2">
      <c r="A1231" s="7" t="s">
        <v>37</v>
      </c>
      <c r="B1231" s="7" t="s">
        <v>1</v>
      </c>
      <c r="C1231" s="7" t="s">
        <v>20</v>
      </c>
      <c r="D1231" s="7">
        <f t="shared" si="24"/>
        <v>84</v>
      </c>
      <c r="E1231" s="7">
        <v>1055</v>
      </c>
      <c r="F1231" s="7">
        <v>65</v>
      </c>
      <c r="G1231" s="7">
        <v>3682</v>
      </c>
    </row>
    <row r="1232" spans="1:7" ht="18" x14ac:dyDescent="0.2">
      <c r="A1232" s="7" t="s">
        <v>37</v>
      </c>
      <c r="B1232" s="7" t="s">
        <v>1</v>
      </c>
      <c r="C1232" s="7" t="s">
        <v>20</v>
      </c>
      <c r="D1232" s="7">
        <f t="shared" si="24"/>
        <v>91</v>
      </c>
      <c r="E1232" s="7">
        <v>1145</v>
      </c>
      <c r="F1232" s="7">
        <v>68</v>
      </c>
      <c r="G1232" s="7">
        <v>4158</v>
      </c>
    </row>
    <row r="1233" spans="1:7" ht="18" x14ac:dyDescent="0.2">
      <c r="A1233" s="7" t="s">
        <v>37</v>
      </c>
      <c r="B1233" s="7" t="s">
        <v>1</v>
      </c>
      <c r="C1233" s="7" t="s">
        <v>20</v>
      </c>
      <c r="D1233" s="7">
        <f t="shared" si="24"/>
        <v>98</v>
      </c>
      <c r="E1233" s="7">
        <v>1222</v>
      </c>
      <c r="F1233" s="7">
        <v>72</v>
      </c>
      <c r="G1233" s="7">
        <v>4662</v>
      </c>
    </row>
    <row r="1234" spans="1:7" ht="18" x14ac:dyDescent="0.2">
      <c r="A1234" s="7" t="s">
        <v>37</v>
      </c>
      <c r="B1234" s="7" t="s">
        <v>1</v>
      </c>
      <c r="C1234" s="7" t="s">
        <v>20</v>
      </c>
      <c r="D1234" s="7">
        <f t="shared" si="24"/>
        <v>105</v>
      </c>
      <c r="E1234" s="7">
        <v>1305</v>
      </c>
      <c r="F1234" s="7">
        <v>75</v>
      </c>
      <c r="G1234" s="7">
        <v>5187</v>
      </c>
    </row>
    <row r="1235" spans="1:7" ht="18" x14ac:dyDescent="0.2">
      <c r="A1235" s="7" t="s">
        <v>37</v>
      </c>
      <c r="B1235" s="7" t="s">
        <v>1</v>
      </c>
      <c r="C1235" s="7" t="s">
        <v>20</v>
      </c>
      <c r="D1235" s="7">
        <f t="shared" si="24"/>
        <v>112</v>
      </c>
      <c r="E1235" s="7">
        <v>1388</v>
      </c>
      <c r="F1235" s="7">
        <v>78</v>
      </c>
      <c r="G1235" s="7">
        <v>5733</v>
      </c>
    </row>
    <row r="1236" spans="1:7" ht="18" x14ac:dyDescent="0.2">
      <c r="A1236" s="7" t="s">
        <v>37</v>
      </c>
      <c r="B1236" s="7" t="s">
        <v>1</v>
      </c>
      <c r="C1236" s="7" t="s">
        <v>20</v>
      </c>
      <c r="D1236" s="7">
        <f t="shared" si="24"/>
        <v>119</v>
      </c>
      <c r="E1236" s="7">
        <v>1470</v>
      </c>
      <c r="F1236" s="7">
        <v>82</v>
      </c>
      <c r="G1236" s="7">
        <v>6307</v>
      </c>
    </row>
    <row r="1237" spans="1:7" ht="18" x14ac:dyDescent="0.2">
      <c r="A1237" s="7" t="s">
        <v>37</v>
      </c>
      <c r="B1237" s="7" t="s">
        <v>1</v>
      </c>
      <c r="C1237" s="7" t="s">
        <v>20</v>
      </c>
      <c r="D1237" s="7">
        <f t="shared" si="24"/>
        <v>126</v>
      </c>
      <c r="E1237" s="7">
        <v>1500</v>
      </c>
      <c r="F1237" s="7">
        <v>85</v>
      </c>
      <c r="G1237" s="7">
        <v>6902</v>
      </c>
    </row>
    <row r="1238" spans="1:7" ht="18" x14ac:dyDescent="0.2">
      <c r="A1238" s="7" t="s">
        <v>37</v>
      </c>
      <c r="B1238" s="7" t="s">
        <v>1</v>
      </c>
      <c r="C1238" s="7" t="s">
        <v>20</v>
      </c>
      <c r="D1238" s="7">
        <f t="shared" si="24"/>
        <v>133</v>
      </c>
      <c r="E1238" s="7">
        <v>1580</v>
      </c>
      <c r="F1238" s="7">
        <v>87</v>
      </c>
      <c r="G1238" s="7">
        <v>7511</v>
      </c>
    </row>
    <row r="1239" spans="1:7" ht="18" x14ac:dyDescent="0.2">
      <c r="A1239" s="7" t="s">
        <v>37</v>
      </c>
      <c r="B1239" s="7" t="s">
        <v>1</v>
      </c>
      <c r="C1239" s="7" t="s">
        <v>20</v>
      </c>
      <c r="D1239" s="7">
        <f t="shared" si="24"/>
        <v>140</v>
      </c>
      <c r="E1239" s="7">
        <v>1640</v>
      </c>
      <c r="F1239" s="7">
        <v>94</v>
      </c>
      <c r="G1239" s="7">
        <v>8169</v>
      </c>
    </row>
    <row r="1240" spans="1:7" ht="18" x14ac:dyDescent="0.2">
      <c r="A1240" s="7" t="s">
        <v>37</v>
      </c>
      <c r="B1240" s="7" t="s">
        <v>1</v>
      </c>
      <c r="C1240" s="7" t="s">
        <v>20</v>
      </c>
      <c r="D1240" s="7">
        <f t="shared" si="24"/>
        <v>147</v>
      </c>
      <c r="E1240" s="7">
        <v>1685</v>
      </c>
      <c r="F1240" s="7">
        <v>104</v>
      </c>
      <c r="G1240" s="7">
        <v>8897</v>
      </c>
    </row>
    <row r="1241" spans="1:7" ht="18" x14ac:dyDescent="0.2">
      <c r="A1241" s="7" t="s">
        <v>37</v>
      </c>
      <c r="B1241" s="7" t="s">
        <v>1</v>
      </c>
      <c r="C1241" s="7" t="s">
        <v>20</v>
      </c>
      <c r="D1241" s="7">
        <f t="shared" si="24"/>
        <v>154</v>
      </c>
      <c r="E1241" s="7">
        <v>1720</v>
      </c>
      <c r="F1241" s="7">
        <v>108</v>
      </c>
      <c r="G1241" s="7">
        <v>9653</v>
      </c>
    </row>
    <row r="1242" spans="1:7" ht="18" x14ac:dyDescent="0.2">
      <c r="A1242" s="7" t="s">
        <v>37</v>
      </c>
      <c r="B1242" s="7" t="s">
        <v>1</v>
      </c>
      <c r="C1242" s="7" t="s">
        <v>20</v>
      </c>
      <c r="D1242" s="7">
        <f t="shared" si="24"/>
        <v>161</v>
      </c>
      <c r="E1242" s="7">
        <v>1745</v>
      </c>
      <c r="F1242" s="7">
        <v>112</v>
      </c>
      <c r="G1242" s="7">
        <v>10437</v>
      </c>
    </row>
    <row r="1243" spans="1:7" ht="18" x14ac:dyDescent="0.2">
      <c r="A1243" s="7" t="s">
        <v>37</v>
      </c>
      <c r="B1243" s="7" t="s">
        <v>1</v>
      </c>
      <c r="C1243" s="7" t="s">
        <v>20</v>
      </c>
      <c r="D1243" s="7">
        <f t="shared" si="24"/>
        <v>168</v>
      </c>
      <c r="E1243" s="7">
        <v>1765</v>
      </c>
      <c r="F1243" s="7">
        <v>113</v>
      </c>
      <c r="G1243" s="7">
        <v>11228</v>
      </c>
    </row>
    <row r="1244" spans="1:7" ht="18" x14ac:dyDescent="0.2">
      <c r="A1244" s="7" t="s">
        <v>37</v>
      </c>
      <c r="B1244" s="7" t="s">
        <v>1</v>
      </c>
      <c r="C1244" s="7" t="s">
        <v>20</v>
      </c>
      <c r="D1244" s="7">
        <f t="shared" si="24"/>
        <v>175</v>
      </c>
      <c r="E1244" s="7">
        <v>1780</v>
      </c>
      <c r="F1244" s="7">
        <v>114</v>
      </c>
      <c r="G1244" s="7">
        <v>12026</v>
      </c>
    </row>
    <row r="1245" spans="1:7" ht="18" x14ac:dyDescent="0.2">
      <c r="A1245" s="7" t="s">
        <v>37</v>
      </c>
      <c r="B1245" s="7" t="s">
        <v>1</v>
      </c>
      <c r="C1245" s="7" t="s">
        <v>20</v>
      </c>
      <c r="D1245" s="7">
        <f t="shared" si="24"/>
        <v>182</v>
      </c>
      <c r="E1245" s="7">
        <v>1790</v>
      </c>
      <c r="F1245" s="7">
        <v>115</v>
      </c>
      <c r="G1245" s="7">
        <v>12831</v>
      </c>
    </row>
    <row r="1246" spans="1:7" ht="18" x14ac:dyDescent="0.2">
      <c r="A1246" s="7" t="s">
        <v>37</v>
      </c>
      <c r="B1246" s="7" t="s">
        <v>1</v>
      </c>
      <c r="C1246" s="7" t="s">
        <v>20</v>
      </c>
      <c r="D1246" s="7">
        <f t="shared" si="24"/>
        <v>189</v>
      </c>
      <c r="E1246" s="7">
        <v>1805</v>
      </c>
      <c r="F1246" s="7">
        <v>115</v>
      </c>
      <c r="G1246" s="7">
        <v>13636</v>
      </c>
    </row>
    <row r="1247" spans="1:7" ht="18" x14ac:dyDescent="0.2">
      <c r="A1247" s="7" t="s">
        <v>37</v>
      </c>
      <c r="B1247" s="7" t="s">
        <v>1</v>
      </c>
      <c r="C1247" s="7" t="s">
        <v>20</v>
      </c>
      <c r="D1247" s="7">
        <f t="shared" si="24"/>
        <v>196</v>
      </c>
      <c r="E1247" s="7">
        <v>1815</v>
      </c>
      <c r="F1247" s="7">
        <v>115</v>
      </c>
      <c r="G1247" s="7">
        <v>14441</v>
      </c>
    </row>
    <row r="1248" spans="1:7" ht="18" x14ac:dyDescent="0.2">
      <c r="A1248" s="7" t="s">
        <v>37</v>
      </c>
      <c r="B1248" s="7" t="s">
        <v>1</v>
      </c>
      <c r="C1248" s="7" t="s">
        <v>20</v>
      </c>
      <c r="D1248" s="7">
        <f t="shared" si="24"/>
        <v>203</v>
      </c>
      <c r="E1248" s="7">
        <v>1820</v>
      </c>
      <c r="F1248" s="7">
        <v>115</v>
      </c>
      <c r="G1248" s="7">
        <v>15246</v>
      </c>
    </row>
    <row r="1249" spans="1:7" ht="18" x14ac:dyDescent="0.2">
      <c r="A1249" s="7" t="s">
        <v>37</v>
      </c>
      <c r="B1249" s="7" t="s">
        <v>1</v>
      </c>
      <c r="C1249" s="7" t="s">
        <v>20</v>
      </c>
      <c r="D1249" s="7">
        <f t="shared" si="24"/>
        <v>210</v>
      </c>
      <c r="E1249" s="7">
        <v>1820</v>
      </c>
      <c r="F1249" s="7">
        <v>115</v>
      </c>
      <c r="G1249" s="7">
        <v>16051</v>
      </c>
    </row>
    <row r="1250" spans="1:7" ht="18" x14ac:dyDescent="0.2">
      <c r="A1250" s="7" t="s">
        <v>37</v>
      </c>
      <c r="B1250" s="7" t="s">
        <v>1</v>
      </c>
      <c r="C1250" s="7" t="s">
        <v>20</v>
      </c>
      <c r="D1250" s="7">
        <f t="shared" si="24"/>
        <v>217</v>
      </c>
      <c r="E1250" s="7">
        <v>1825</v>
      </c>
      <c r="F1250" s="7">
        <v>115</v>
      </c>
      <c r="G1250" s="7">
        <v>16856</v>
      </c>
    </row>
    <row r="1251" spans="1:7" ht="18" x14ac:dyDescent="0.2">
      <c r="A1251" s="7" t="s">
        <v>37</v>
      </c>
      <c r="B1251" s="7" t="s">
        <v>1</v>
      </c>
      <c r="C1251" s="7" t="s">
        <v>20</v>
      </c>
      <c r="D1251" s="7">
        <f t="shared" si="24"/>
        <v>224</v>
      </c>
      <c r="E1251" s="7">
        <v>1825</v>
      </c>
      <c r="F1251" s="7">
        <v>115</v>
      </c>
      <c r="G1251" s="7">
        <v>17661</v>
      </c>
    </row>
    <row r="1252" spans="1:7" ht="18" x14ac:dyDescent="0.2">
      <c r="A1252" s="7" t="s">
        <v>37</v>
      </c>
      <c r="B1252" s="7" t="s">
        <v>1</v>
      </c>
      <c r="C1252" s="7" t="s">
        <v>20</v>
      </c>
      <c r="D1252" s="7">
        <f t="shared" si="24"/>
        <v>231</v>
      </c>
      <c r="E1252" s="7">
        <v>1825</v>
      </c>
      <c r="F1252" s="7">
        <v>115</v>
      </c>
      <c r="G1252" s="7">
        <v>18466</v>
      </c>
    </row>
    <row r="1253" spans="1:7" ht="18" x14ac:dyDescent="0.2">
      <c r="A1253" s="7" t="s">
        <v>37</v>
      </c>
      <c r="B1253" s="7" t="s">
        <v>1</v>
      </c>
      <c r="C1253" s="7" t="s">
        <v>20</v>
      </c>
      <c r="D1253" s="7">
        <f t="shared" si="24"/>
        <v>238</v>
      </c>
      <c r="E1253" s="7">
        <v>1830</v>
      </c>
      <c r="F1253" s="7">
        <v>115</v>
      </c>
      <c r="G1253" s="7">
        <v>19271</v>
      </c>
    </row>
    <row r="1254" spans="1:7" ht="18" x14ac:dyDescent="0.2">
      <c r="A1254" s="7" t="s">
        <v>37</v>
      </c>
      <c r="B1254" s="7" t="s">
        <v>1</v>
      </c>
      <c r="C1254" s="7" t="s">
        <v>20</v>
      </c>
      <c r="D1254" s="7">
        <f t="shared" si="24"/>
        <v>245</v>
      </c>
      <c r="E1254" s="7">
        <v>1830</v>
      </c>
      <c r="F1254" s="7">
        <v>115</v>
      </c>
      <c r="G1254" s="7">
        <v>20076</v>
      </c>
    </row>
    <row r="1255" spans="1:7" ht="18" x14ac:dyDescent="0.2">
      <c r="A1255" s="7" t="s">
        <v>37</v>
      </c>
      <c r="B1255" s="7" t="s">
        <v>1</v>
      </c>
      <c r="C1255" s="7" t="s">
        <v>20</v>
      </c>
      <c r="D1255" s="7">
        <f t="shared" si="24"/>
        <v>252</v>
      </c>
      <c r="E1255" s="7">
        <v>1835</v>
      </c>
      <c r="F1255" s="7">
        <v>115</v>
      </c>
      <c r="G1255" s="7">
        <v>20881</v>
      </c>
    </row>
    <row r="1256" spans="1:7" ht="18" x14ac:dyDescent="0.2">
      <c r="A1256" s="7" t="s">
        <v>37</v>
      </c>
      <c r="B1256" s="7" t="s">
        <v>1</v>
      </c>
      <c r="C1256" s="7" t="s">
        <v>20</v>
      </c>
      <c r="D1256" s="7">
        <f t="shared" si="24"/>
        <v>259</v>
      </c>
      <c r="E1256" s="7">
        <v>1835</v>
      </c>
      <c r="F1256" s="7">
        <v>115</v>
      </c>
      <c r="G1256" s="7">
        <v>21686</v>
      </c>
    </row>
    <row r="1257" spans="1:7" ht="18" x14ac:dyDescent="0.2">
      <c r="A1257" s="7" t="s">
        <v>37</v>
      </c>
      <c r="B1257" s="7" t="s">
        <v>1</v>
      </c>
      <c r="C1257" s="7" t="s">
        <v>20</v>
      </c>
      <c r="D1257" s="7">
        <f t="shared" si="24"/>
        <v>266</v>
      </c>
      <c r="E1257" s="7">
        <v>1840</v>
      </c>
      <c r="F1257" s="7">
        <v>115</v>
      </c>
      <c r="G1257" s="7">
        <v>22491</v>
      </c>
    </row>
    <row r="1258" spans="1:7" ht="18" x14ac:dyDescent="0.2">
      <c r="A1258" s="7" t="s">
        <v>37</v>
      </c>
      <c r="B1258" s="7" t="s">
        <v>1</v>
      </c>
      <c r="C1258" s="7" t="s">
        <v>20</v>
      </c>
      <c r="D1258" s="7">
        <f t="shared" si="24"/>
        <v>273</v>
      </c>
      <c r="E1258" s="7">
        <v>1840</v>
      </c>
      <c r="F1258" s="7">
        <v>115</v>
      </c>
      <c r="G1258" s="7">
        <v>23296</v>
      </c>
    </row>
    <row r="1259" spans="1:7" ht="18" x14ac:dyDescent="0.2">
      <c r="A1259" s="7" t="s">
        <v>37</v>
      </c>
      <c r="B1259" s="7" t="s">
        <v>1</v>
      </c>
      <c r="C1259" s="7" t="s">
        <v>20</v>
      </c>
      <c r="D1259" s="7">
        <f t="shared" si="24"/>
        <v>280</v>
      </c>
      <c r="E1259" s="7">
        <v>1840</v>
      </c>
      <c r="F1259" s="7">
        <v>115</v>
      </c>
      <c r="G1259" s="7">
        <v>24101</v>
      </c>
    </row>
    <row r="1260" spans="1:7" ht="18" x14ac:dyDescent="0.2">
      <c r="A1260" s="7" t="s">
        <v>37</v>
      </c>
      <c r="B1260" s="7" t="s">
        <v>1</v>
      </c>
      <c r="C1260" s="7" t="s">
        <v>20</v>
      </c>
      <c r="D1260" s="7">
        <f t="shared" si="24"/>
        <v>287</v>
      </c>
      <c r="E1260" s="7">
        <v>1845</v>
      </c>
      <c r="F1260" s="7">
        <v>115</v>
      </c>
      <c r="G1260" s="7">
        <v>24906</v>
      </c>
    </row>
    <row r="1261" spans="1:7" ht="18" x14ac:dyDescent="0.2">
      <c r="A1261" s="7" t="s">
        <v>37</v>
      </c>
      <c r="B1261" s="7" t="s">
        <v>1</v>
      </c>
      <c r="C1261" s="7" t="s">
        <v>20</v>
      </c>
      <c r="D1261" s="7">
        <f t="shared" si="24"/>
        <v>294</v>
      </c>
      <c r="E1261" s="7">
        <v>1845</v>
      </c>
      <c r="F1261" s="7">
        <v>115</v>
      </c>
      <c r="G1261" s="7">
        <v>25711</v>
      </c>
    </row>
    <row r="1262" spans="1:7" ht="18" x14ac:dyDescent="0.2">
      <c r="A1262" s="7" t="s">
        <v>37</v>
      </c>
      <c r="B1262" s="7" t="s">
        <v>1</v>
      </c>
      <c r="C1262" s="7" t="s">
        <v>20</v>
      </c>
      <c r="D1262" s="7">
        <f t="shared" si="24"/>
        <v>301</v>
      </c>
      <c r="E1262" s="7">
        <v>1850</v>
      </c>
      <c r="F1262" s="7">
        <v>115</v>
      </c>
      <c r="G1262" s="7">
        <v>26516</v>
      </c>
    </row>
    <row r="1263" spans="1:7" ht="18" x14ac:dyDescent="0.2">
      <c r="A1263" s="7" t="s">
        <v>37</v>
      </c>
      <c r="B1263" s="7" t="s">
        <v>1</v>
      </c>
      <c r="C1263" s="7" t="s">
        <v>20</v>
      </c>
      <c r="D1263" s="7">
        <f t="shared" si="24"/>
        <v>308</v>
      </c>
      <c r="E1263" s="7">
        <v>1850</v>
      </c>
      <c r="F1263" s="7">
        <v>115</v>
      </c>
      <c r="G1263" s="7">
        <v>27321</v>
      </c>
    </row>
    <row r="1264" spans="1:7" ht="18" x14ac:dyDescent="0.2">
      <c r="A1264" s="7" t="s">
        <v>37</v>
      </c>
      <c r="B1264" s="7" t="s">
        <v>1</v>
      </c>
      <c r="C1264" s="7" t="s">
        <v>20</v>
      </c>
      <c r="D1264" s="7">
        <f t="shared" si="24"/>
        <v>315</v>
      </c>
      <c r="E1264" s="7">
        <v>1850</v>
      </c>
      <c r="F1264" s="7">
        <v>115</v>
      </c>
      <c r="G1264" s="7">
        <v>28126</v>
      </c>
    </row>
    <row r="1265" spans="1:7" ht="18" x14ac:dyDescent="0.2">
      <c r="A1265" s="7" t="s">
        <v>37</v>
      </c>
      <c r="B1265" s="7" t="s">
        <v>1</v>
      </c>
      <c r="C1265" s="7" t="s">
        <v>20</v>
      </c>
      <c r="D1265" s="7">
        <f t="shared" si="24"/>
        <v>322</v>
      </c>
      <c r="E1265" s="7">
        <v>1855</v>
      </c>
      <c r="F1265" s="7">
        <v>115</v>
      </c>
      <c r="G1265" s="7">
        <v>28931</v>
      </c>
    </row>
    <row r="1266" spans="1:7" ht="18" x14ac:dyDescent="0.2">
      <c r="A1266" s="7" t="s">
        <v>37</v>
      </c>
      <c r="B1266" s="7" t="s">
        <v>1</v>
      </c>
      <c r="C1266" s="7" t="s">
        <v>20</v>
      </c>
      <c r="D1266" s="7">
        <f t="shared" si="24"/>
        <v>329</v>
      </c>
      <c r="E1266" s="7">
        <v>1855</v>
      </c>
      <c r="F1266" s="7">
        <v>115</v>
      </c>
      <c r="G1266" s="7">
        <v>29736</v>
      </c>
    </row>
    <row r="1267" spans="1:7" ht="18" x14ac:dyDescent="0.2">
      <c r="A1267" s="7" t="s">
        <v>37</v>
      </c>
      <c r="B1267" s="7" t="s">
        <v>1</v>
      </c>
      <c r="C1267" s="7" t="s">
        <v>20</v>
      </c>
      <c r="D1267" s="7">
        <f t="shared" si="24"/>
        <v>336</v>
      </c>
      <c r="E1267" s="7">
        <v>1860</v>
      </c>
      <c r="F1267" s="7">
        <v>115</v>
      </c>
      <c r="G1267" s="7">
        <v>30541</v>
      </c>
    </row>
    <row r="1268" spans="1:7" ht="18" x14ac:dyDescent="0.2">
      <c r="A1268" s="7" t="s">
        <v>37</v>
      </c>
      <c r="B1268" s="7" t="s">
        <v>1</v>
      </c>
      <c r="C1268" s="7" t="s">
        <v>20</v>
      </c>
      <c r="D1268" s="7">
        <f t="shared" si="24"/>
        <v>343</v>
      </c>
      <c r="E1268" s="7">
        <v>1865</v>
      </c>
      <c r="F1268" s="7">
        <v>115</v>
      </c>
      <c r="G1268" s="7">
        <v>31346</v>
      </c>
    </row>
    <row r="1269" spans="1:7" ht="18" x14ac:dyDescent="0.2">
      <c r="A1269" s="7" t="s">
        <v>37</v>
      </c>
      <c r="B1269" s="7" t="s">
        <v>1</v>
      </c>
      <c r="C1269" s="7" t="s">
        <v>20</v>
      </c>
      <c r="D1269" s="7">
        <f t="shared" si="24"/>
        <v>350</v>
      </c>
      <c r="E1269" s="7">
        <v>1865</v>
      </c>
      <c r="F1269" s="7">
        <v>115</v>
      </c>
      <c r="G1269" s="7">
        <v>32151</v>
      </c>
    </row>
    <row r="1270" spans="1:7" ht="18" x14ac:dyDescent="0.2">
      <c r="A1270" s="7" t="s">
        <v>37</v>
      </c>
      <c r="B1270" s="7" t="s">
        <v>1</v>
      </c>
      <c r="C1270" s="7" t="s">
        <v>20</v>
      </c>
      <c r="D1270" s="7">
        <f t="shared" si="24"/>
        <v>357</v>
      </c>
      <c r="E1270" s="7">
        <v>1870</v>
      </c>
      <c r="F1270" s="7">
        <v>115</v>
      </c>
      <c r="G1270" s="7">
        <v>32956</v>
      </c>
    </row>
    <row r="1271" spans="1:7" ht="18" x14ac:dyDescent="0.2">
      <c r="A1271" s="7" t="s">
        <v>37</v>
      </c>
      <c r="B1271" s="7" t="s">
        <v>1</v>
      </c>
      <c r="C1271" s="7" t="s">
        <v>20</v>
      </c>
      <c r="D1271" s="7">
        <f t="shared" si="24"/>
        <v>364</v>
      </c>
      <c r="E1271" s="7">
        <v>1870</v>
      </c>
      <c r="F1271" s="7">
        <v>115</v>
      </c>
      <c r="G1271" s="7">
        <v>33761</v>
      </c>
    </row>
    <row r="1272" spans="1:7" ht="18" x14ac:dyDescent="0.2">
      <c r="A1272" s="7" t="s">
        <v>37</v>
      </c>
      <c r="B1272" s="7" t="s">
        <v>1</v>
      </c>
      <c r="C1272" s="7" t="s">
        <v>20</v>
      </c>
      <c r="D1272" s="7">
        <f t="shared" si="24"/>
        <v>371</v>
      </c>
      <c r="E1272" s="7">
        <v>1875</v>
      </c>
      <c r="F1272" s="7">
        <v>115</v>
      </c>
      <c r="G1272" s="7">
        <v>34566</v>
      </c>
    </row>
    <row r="1273" spans="1:7" ht="18" x14ac:dyDescent="0.2">
      <c r="A1273" s="7" t="s">
        <v>37</v>
      </c>
      <c r="B1273" s="7" t="s">
        <v>1</v>
      </c>
      <c r="C1273" s="7" t="s">
        <v>20</v>
      </c>
      <c r="D1273" s="7">
        <f t="shared" si="24"/>
        <v>378</v>
      </c>
      <c r="E1273" s="7">
        <v>1875</v>
      </c>
      <c r="F1273" s="7">
        <v>115</v>
      </c>
      <c r="G1273" s="7">
        <v>35371</v>
      </c>
    </row>
    <row r="1274" spans="1:7" ht="18" x14ac:dyDescent="0.2">
      <c r="A1274" s="7" t="s">
        <v>37</v>
      </c>
      <c r="B1274" s="7" t="s">
        <v>1</v>
      </c>
      <c r="C1274" s="7" t="s">
        <v>20</v>
      </c>
      <c r="D1274" s="7">
        <f t="shared" si="24"/>
        <v>385</v>
      </c>
      <c r="E1274" s="7">
        <v>1880</v>
      </c>
      <c r="F1274" s="7">
        <v>115</v>
      </c>
      <c r="G1274" s="7">
        <v>36176</v>
      </c>
    </row>
    <row r="1275" spans="1:7" ht="18" x14ac:dyDescent="0.2">
      <c r="A1275" s="7" t="s">
        <v>37</v>
      </c>
      <c r="B1275" s="7" t="s">
        <v>1</v>
      </c>
      <c r="C1275" s="7" t="s">
        <v>20</v>
      </c>
      <c r="D1275" s="7">
        <f t="shared" si="24"/>
        <v>392</v>
      </c>
      <c r="E1275" s="7">
        <v>1882</v>
      </c>
      <c r="F1275" s="7">
        <v>115</v>
      </c>
      <c r="G1275" s="7">
        <v>36981</v>
      </c>
    </row>
    <row r="1276" spans="1:7" ht="18" x14ac:dyDescent="0.2">
      <c r="A1276" s="7" t="s">
        <v>37</v>
      </c>
      <c r="B1276" s="7" t="s">
        <v>1</v>
      </c>
      <c r="C1276" s="7" t="s">
        <v>20</v>
      </c>
      <c r="D1276" s="7">
        <f t="shared" si="24"/>
        <v>399</v>
      </c>
      <c r="E1276" s="7">
        <v>1884</v>
      </c>
      <c r="F1276" s="7">
        <v>115</v>
      </c>
      <c r="G1276" s="7">
        <v>37786</v>
      </c>
    </row>
    <row r="1277" spans="1:7" ht="18" x14ac:dyDescent="0.2">
      <c r="A1277" s="7" t="s">
        <v>37</v>
      </c>
      <c r="B1277" s="7" t="s">
        <v>1</v>
      </c>
      <c r="C1277" s="7" t="s">
        <v>20</v>
      </c>
      <c r="D1277" s="7">
        <f t="shared" si="24"/>
        <v>406</v>
      </c>
      <c r="E1277" s="7">
        <v>1885</v>
      </c>
      <c r="F1277" s="7">
        <v>115</v>
      </c>
      <c r="G1277" s="7">
        <v>38591</v>
      </c>
    </row>
    <row r="1278" spans="1:7" ht="18" x14ac:dyDescent="0.2">
      <c r="A1278" s="7" t="s">
        <v>37</v>
      </c>
      <c r="B1278" s="7" t="s">
        <v>1</v>
      </c>
      <c r="C1278" s="7" t="s">
        <v>20</v>
      </c>
      <c r="D1278" s="7">
        <f t="shared" si="24"/>
        <v>413</v>
      </c>
      <c r="E1278" s="7">
        <v>1887</v>
      </c>
      <c r="F1278" s="7">
        <v>115</v>
      </c>
      <c r="G1278" s="7">
        <v>39396</v>
      </c>
    </row>
    <row r="1279" spans="1:7" ht="18" x14ac:dyDescent="0.2">
      <c r="A1279" s="7" t="s">
        <v>37</v>
      </c>
      <c r="B1279" s="7" t="s">
        <v>1</v>
      </c>
      <c r="C1279" s="7" t="s">
        <v>20</v>
      </c>
      <c r="D1279" s="7">
        <f t="shared" si="24"/>
        <v>420</v>
      </c>
      <c r="E1279" s="7">
        <v>1890</v>
      </c>
      <c r="F1279" s="7">
        <v>115</v>
      </c>
      <c r="G1279" s="7">
        <v>40201</v>
      </c>
    </row>
    <row r="1280" spans="1:7" ht="18" x14ac:dyDescent="0.2">
      <c r="A1280" s="7" t="s">
        <v>37</v>
      </c>
      <c r="B1280" s="7" t="s">
        <v>1</v>
      </c>
      <c r="C1280" s="7" t="s">
        <v>20</v>
      </c>
      <c r="D1280" s="7">
        <f t="shared" si="24"/>
        <v>427</v>
      </c>
      <c r="E1280" s="7">
        <v>1892</v>
      </c>
      <c r="F1280" s="7">
        <v>115</v>
      </c>
      <c r="G1280" s="7">
        <v>41006</v>
      </c>
    </row>
    <row r="1281" spans="1:7" ht="18" x14ac:dyDescent="0.2">
      <c r="A1281" s="7" t="s">
        <v>37</v>
      </c>
      <c r="B1281" s="7" t="s">
        <v>1</v>
      </c>
      <c r="C1281" s="7" t="s">
        <v>20</v>
      </c>
      <c r="D1281" s="7">
        <f t="shared" si="24"/>
        <v>434</v>
      </c>
      <c r="E1281" s="7">
        <v>1894</v>
      </c>
      <c r="F1281" s="7">
        <v>115</v>
      </c>
      <c r="G1281" s="7">
        <v>41811</v>
      </c>
    </row>
    <row r="1282" spans="1:7" ht="18" x14ac:dyDescent="0.2">
      <c r="A1282" s="7" t="s">
        <v>37</v>
      </c>
      <c r="B1282" s="7" t="s">
        <v>1</v>
      </c>
      <c r="C1282" s="7" t="s">
        <v>20</v>
      </c>
      <c r="D1282" s="7">
        <f t="shared" si="24"/>
        <v>441</v>
      </c>
      <c r="E1282" s="7">
        <v>1895</v>
      </c>
      <c r="F1282" s="7">
        <v>115</v>
      </c>
      <c r="G1282" s="7">
        <v>42616</v>
      </c>
    </row>
    <row r="1283" spans="1:7" ht="18" x14ac:dyDescent="0.2">
      <c r="A1283" s="7" t="s">
        <v>37</v>
      </c>
      <c r="B1283" s="7" t="s">
        <v>1</v>
      </c>
      <c r="C1283" s="7" t="s">
        <v>20</v>
      </c>
      <c r="D1283" s="7">
        <f t="shared" si="24"/>
        <v>448</v>
      </c>
      <c r="E1283" s="7">
        <v>1897</v>
      </c>
      <c r="F1283" s="7">
        <v>115</v>
      </c>
      <c r="G1283" s="7">
        <v>43421</v>
      </c>
    </row>
    <row r="1284" spans="1:7" ht="18" x14ac:dyDescent="0.2">
      <c r="A1284" s="7" t="s">
        <v>37</v>
      </c>
      <c r="B1284" s="7" t="s">
        <v>1</v>
      </c>
      <c r="C1284" s="7" t="s">
        <v>20</v>
      </c>
      <c r="D1284" s="7">
        <f t="shared" si="24"/>
        <v>455</v>
      </c>
      <c r="E1284" s="7">
        <v>1900</v>
      </c>
      <c r="F1284" s="7">
        <v>115</v>
      </c>
      <c r="G1284" s="7">
        <v>44226</v>
      </c>
    </row>
    <row r="1285" spans="1:7" ht="18" x14ac:dyDescent="0.2">
      <c r="A1285" s="7" t="s">
        <v>37</v>
      </c>
      <c r="B1285" s="7" t="s">
        <v>1</v>
      </c>
      <c r="C1285" s="7" t="s">
        <v>20</v>
      </c>
      <c r="D1285" s="7">
        <f t="shared" si="24"/>
        <v>462</v>
      </c>
      <c r="E1285" s="7">
        <v>1902</v>
      </c>
      <c r="F1285" s="7">
        <v>115</v>
      </c>
      <c r="G1285" s="7">
        <v>45031</v>
      </c>
    </row>
    <row r="1286" spans="1:7" ht="18" x14ac:dyDescent="0.2">
      <c r="A1286" s="7" t="s">
        <v>37</v>
      </c>
      <c r="B1286" s="7" t="s">
        <v>1</v>
      </c>
      <c r="C1286" s="7" t="s">
        <v>20</v>
      </c>
      <c r="D1286" s="7">
        <f t="shared" si="24"/>
        <v>469</v>
      </c>
      <c r="E1286" s="7">
        <v>1904</v>
      </c>
      <c r="F1286" s="7">
        <v>115</v>
      </c>
      <c r="G1286" s="7">
        <v>45836</v>
      </c>
    </row>
    <row r="1287" spans="1:7" ht="18" x14ac:dyDescent="0.2">
      <c r="A1287" s="7" t="s">
        <v>37</v>
      </c>
      <c r="B1287" s="7" t="s">
        <v>1</v>
      </c>
      <c r="C1287" s="7" t="s">
        <v>20</v>
      </c>
      <c r="D1287" s="7">
        <f t="shared" si="24"/>
        <v>476</v>
      </c>
      <c r="E1287" s="7">
        <v>1905</v>
      </c>
      <c r="F1287" s="7">
        <v>115</v>
      </c>
      <c r="G1287" s="7">
        <v>46641</v>
      </c>
    </row>
    <row r="1288" spans="1:7" ht="18" x14ac:dyDescent="0.2">
      <c r="A1288" s="7" t="s">
        <v>37</v>
      </c>
      <c r="B1288" s="7" t="s">
        <v>1</v>
      </c>
      <c r="C1288" s="7" t="s">
        <v>20</v>
      </c>
      <c r="D1288" s="7">
        <f t="shared" ref="D1288:D1319" si="25">D1287+7</f>
        <v>483</v>
      </c>
      <c r="E1288" s="7">
        <v>1910</v>
      </c>
      <c r="F1288" s="7">
        <v>115</v>
      </c>
      <c r="G1288" s="7">
        <v>47446</v>
      </c>
    </row>
    <row r="1289" spans="1:7" ht="18" x14ac:dyDescent="0.2">
      <c r="A1289" s="7" t="s">
        <v>37</v>
      </c>
      <c r="B1289" s="7" t="s">
        <v>1</v>
      </c>
      <c r="C1289" s="7" t="s">
        <v>20</v>
      </c>
      <c r="D1289" s="7">
        <f t="shared" si="25"/>
        <v>490</v>
      </c>
      <c r="E1289" s="7">
        <v>1915</v>
      </c>
      <c r="F1289" s="7">
        <v>115</v>
      </c>
      <c r="G1289" s="7">
        <v>48251</v>
      </c>
    </row>
    <row r="1290" spans="1:7" ht="18" x14ac:dyDescent="0.2">
      <c r="A1290" s="7" t="s">
        <v>37</v>
      </c>
      <c r="B1290" s="7" t="s">
        <v>1</v>
      </c>
      <c r="C1290" s="7" t="s">
        <v>20</v>
      </c>
      <c r="D1290" s="7">
        <f t="shared" si="25"/>
        <v>497</v>
      </c>
      <c r="E1290" s="7">
        <v>1918</v>
      </c>
      <c r="F1290" s="7">
        <v>115</v>
      </c>
      <c r="G1290" s="7">
        <v>49056</v>
      </c>
    </row>
    <row r="1291" spans="1:7" ht="18" x14ac:dyDescent="0.2">
      <c r="A1291" s="7" t="s">
        <v>37</v>
      </c>
      <c r="B1291" s="7" t="s">
        <v>1</v>
      </c>
      <c r="C1291" s="7" t="s">
        <v>20</v>
      </c>
      <c r="D1291" s="7">
        <f t="shared" si="25"/>
        <v>504</v>
      </c>
      <c r="E1291" s="7">
        <v>1920</v>
      </c>
      <c r="F1291" s="7">
        <v>115</v>
      </c>
      <c r="G1291" s="7">
        <v>49861</v>
      </c>
    </row>
    <row r="1292" spans="1:7" ht="18" x14ac:dyDescent="0.2">
      <c r="A1292" s="7" t="s">
        <v>37</v>
      </c>
      <c r="B1292" s="7" t="s">
        <v>1</v>
      </c>
      <c r="C1292" s="7" t="s">
        <v>20</v>
      </c>
      <c r="D1292" s="7">
        <f t="shared" si="25"/>
        <v>511</v>
      </c>
      <c r="E1292" s="7">
        <v>1923</v>
      </c>
      <c r="F1292" s="7">
        <v>115</v>
      </c>
      <c r="G1292" s="7">
        <v>50666</v>
      </c>
    </row>
    <row r="1293" spans="1:7" ht="18" x14ac:dyDescent="0.2">
      <c r="A1293" s="7" t="s">
        <v>37</v>
      </c>
      <c r="B1293" s="7" t="s">
        <v>1</v>
      </c>
      <c r="C1293" s="7" t="s">
        <v>20</v>
      </c>
      <c r="D1293" s="7">
        <f t="shared" si="25"/>
        <v>518</v>
      </c>
      <c r="E1293" s="7">
        <v>1925</v>
      </c>
      <c r="F1293" s="7">
        <v>115</v>
      </c>
      <c r="G1293" s="7">
        <v>51471</v>
      </c>
    </row>
    <row r="1294" spans="1:7" ht="18" x14ac:dyDescent="0.2">
      <c r="A1294" s="7" t="s">
        <v>37</v>
      </c>
      <c r="B1294" s="7" t="s">
        <v>1</v>
      </c>
      <c r="C1294" s="7" t="s">
        <v>20</v>
      </c>
      <c r="D1294" s="7">
        <f t="shared" si="25"/>
        <v>525</v>
      </c>
      <c r="E1294" s="7">
        <v>1930</v>
      </c>
      <c r="F1294" s="7">
        <v>115</v>
      </c>
      <c r="G1294" s="7">
        <v>52276</v>
      </c>
    </row>
    <row r="1295" spans="1:7" ht="18" x14ac:dyDescent="0.2">
      <c r="A1295" s="7" t="s">
        <v>37</v>
      </c>
      <c r="B1295" s="7" t="s">
        <v>1</v>
      </c>
      <c r="C1295" s="7" t="s">
        <v>20</v>
      </c>
      <c r="D1295" s="7">
        <f t="shared" si="25"/>
        <v>532</v>
      </c>
      <c r="E1295" s="7">
        <v>1933</v>
      </c>
      <c r="F1295" s="7">
        <v>115</v>
      </c>
      <c r="G1295" s="7">
        <v>53081</v>
      </c>
    </row>
    <row r="1296" spans="1:7" ht="18" x14ac:dyDescent="0.2">
      <c r="A1296" s="7" t="s">
        <v>37</v>
      </c>
      <c r="B1296" s="7" t="s">
        <v>1</v>
      </c>
      <c r="C1296" s="7" t="s">
        <v>20</v>
      </c>
      <c r="D1296" s="7">
        <f t="shared" si="25"/>
        <v>539</v>
      </c>
      <c r="E1296" s="7">
        <v>1935</v>
      </c>
      <c r="F1296" s="7">
        <v>115</v>
      </c>
      <c r="G1296" s="7">
        <v>53886</v>
      </c>
    </row>
    <row r="1297" spans="1:7" ht="18" x14ac:dyDescent="0.2">
      <c r="A1297" s="7" t="s">
        <v>37</v>
      </c>
      <c r="B1297" s="7" t="s">
        <v>1</v>
      </c>
      <c r="C1297" s="7" t="s">
        <v>20</v>
      </c>
      <c r="D1297" s="7">
        <f t="shared" si="25"/>
        <v>546</v>
      </c>
      <c r="E1297" s="7">
        <v>1937</v>
      </c>
      <c r="F1297" s="7">
        <v>115</v>
      </c>
      <c r="G1297" s="7">
        <v>54691</v>
      </c>
    </row>
    <row r="1298" spans="1:7" ht="18" x14ac:dyDescent="0.2">
      <c r="A1298" s="7" t="s">
        <v>37</v>
      </c>
      <c r="B1298" s="7" t="s">
        <v>1</v>
      </c>
      <c r="C1298" s="7" t="s">
        <v>20</v>
      </c>
      <c r="D1298" s="7">
        <f t="shared" si="25"/>
        <v>553</v>
      </c>
      <c r="E1298" s="7">
        <v>1940</v>
      </c>
      <c r="F1298" s="7">
        <v>115</v>
      </c>
      <c r="G1298" s="7">
        <v>55496</v>
      </c>
    </row>
    <row r="1299" spans="1:7" ht="18" x14ac:dyDescent="0.2">
      <c r="A1299" s="7" t="s">
        <v>37</v>
      </c>
      <c r="B1299" s="7" t="s">
        <v>1</v>
      </c>
      <c r="C1299" s="7" t="s">
        <v>20</v>
      </c>
      <c r="D1299" s="7">
        <f t="shared" si="25"/>
        <v>560</v>
      </c>
      <c r="E1299" s="7">
        <v>1942</v>
      </c>
      <c r="F1299" s="7">
        <v>115</v>
      </c>
      <c r="G1299" s="7">
        <v>56301</v>
      </c>
    </row>
    <row r="1300" spans="1:7" ht="18" x14ac:dyDescent="0.2">
      <c r="A1300" s="7" t="s">
        <v>37</v>
      </c>
      <c r="B1300" s="7" t="s">
        <v>1</v>
      </c>
      <c r="C1300" s="7" t="s">
        <v>20</v>
      </c>
      <c r="D1300" s="7">
        <f t="shared" si="25"/>
        <v>567</v>
      </c>
      <c r="E1300" s="7">
        <v>1945</v>
      </c>
      <c r="F1300" s="7">
        <v>115</v>
      </c>
      <c r="G1300" s="7">
        <v>57106</v>
      </c>
    </row>
    <row r="1301" spans="1:7" ht="18" x14ac:dyDescent="0.2">
      <c r="A1301" s="7" t="s">
        <v>37</v>
      </c>
      <c r="B1301" s="7" t="s">
        <v>1</v>
      </c>
      <c r="C1301" s="7" t="s">
        <v>20</v>
      </c>
      <c r="D1301" s="7">
        <f t="shared" si="25"/>
        <v>574</v>
      </c>
      <c r="E1301" s="7">
        <v>1947</v>
      </c>
      <c r="F1301" s="7">
        <v>115</v>
      </c>
      <c r="G1301" s="7">
        <v>57911</v>
      </c>
    </row>
    <row r="1302" spans="1:7" ht="18" x14ac:dyDescent="0.2">
      <c r="A1302" s="7" t="s">
        <v>37</v>
      </c>
      <c r="B1302" s="7" t="s">
        <v>1</v>
      </c>
      <c r="C1302" s="7" t="s">
        <v>20</v>
      </c>
      <c r="D1302" s="7">
        <f t="shared" si="25"/>
        <v>581</v>
      </c>
      <c r="E1302" s="7">
        <v>1950</v>
      </c>
      <c r="F1302" s="7">
        <v>115</v>
      </c>
      <c r="G1302" s="7">
        <v>58716</v>
      </c>
    </row>
    <row r="1303" spans="1:7" ht="18" x14ac:dyDescent="0.2">
      <c r="A1303" s="7" t="s">
        <v>37</v>
      </c>
      <c r="B1303" s="7" t="s">
        <v>1</v>
      </c>
      <c r="C1303" s="7" t="s">
        <v>20</v>
      </c>
      <c r="D1303" s="7">
        <f t="shared" si="25"/>
        <v>588</v>
      </c>
      <c r="E1303" s="7">
        <v>1950</v>
      </c>
      <c r="F1303" s="7">
        <v>115</v>
      </c>
      <c r="G1303" s="7">
        <v>59521</v>
      </c>
    </row>
    <row r="1304" spans="1:7" ht="18" x14ac:dyDescent="0.2">
      <c r="A1304" s="7" t="s">
        <v>37</v>
      </c>
      <c r="B1304" s="7" t="s">
        <v>1</v>
      </c>
      <c r="C1304" s="7" t="s">
        <v>20</v>
      </c>
      <c r="D1304" s="7">
        <f t="shared" si="25"/>
        <v>595</v>
      </c>
      <c r="E1304" s="7">
        <v>1950</v>
      </c>
      <c r="F1304" s="7">
        <v>115</v>
      </c>
      <c r="G1304" s="7">
        <v>60326</v>
      </c>
    </row>
    <row r="1305" spans="1:7" ht="18" x14ac:dyDescent="0.2">
      <c r="A1305" s="7" t="s">
        <v>37</v>
      </c>
      <c r="B1305" s="7" t="s">
        <v>1</v>
      </c>
      <c r="C1305" s="7" t="s">
        <v>20</v>
      </c>
      <c r="D1305" s="7">
        <f t="shared" si="25"/>
        <v>602</v>
      </c>
      <c r="E1305" s="7">
        <v>1950</v>
      </c>
      <c r="F1305" s="7">
        <v>115</v>
      </c>
      <c r="G1305" s="7">
        <v>61131</v>
      </c>
    </row>
    <row r="1306" spans="1:7" ht="18" x14ac:dyDescent="0.2">
      <c r="A1306" s="7" t="s">
        <v>37</v>
      </c>
      <c r="B1306" s="7" t="s">
        <v>1</v>
      </c>
      <c r="C1306" s="7" t="s">
        <v>20</v>
      </c>
      <c r="D1306" s="7">
        <f t="shared" si="25"/>
        <v>609</v>
      </c>
      <c r="E1306" s="7">
        <v>1950</v>
      </c>
      <c r="F1306" s="7">
        <v>115</v>
      </c>
      <c r="G1306" s="7">
        <v>61936</v>
      </c>
    </row>
    <row r="1307" spans="1:7" ht="18" x14ac:dyDescent="0.2">
      <c r="A1307" s="7" t="s">
        <v>37</v>
      </c>
      <c r="B1307" s="7" t="s">
        <v>1</v>
      </c>
      <c r="C1307" s="7" t="s">
        <v>20</v>
      </c>
      <c r="D1307" s="7">
        <f t="shared" si="25"/>
        <v>616</v>
      </c>
      <c r="E1307" s="7">
        <v>1950</v>
      </c>
      <c r="F1307" s="7">
        <v>115</v>
      </c>
      <c r="G1307" s="7">
        <v>62741</v>
      </c>
    </row>
    <row r="1308" spans="1:7" ht="18" x14ac:dyDescent="0.2">
      <c r="A1308" s="7" t="s">
        <v>37</v>
      </c>
      <c r="B1308" s="7" t="s">
        <v>1</v>
      </c>
      <c r="C1308" s="7" t="s">
        <v>20</v>
      </c>
      <c r="D1308" s="7">
        <f t="shared" si="25"/>
        <v>623</v>
      </c>
      <c r="E1308" s="7">
        <v>1950</v>
      </c>
      <c r="F1308" s="7">
        <v>115</v>
      </c>
      <c r="G1308" s="7">
        <v>63546</v>
      </c>
    </row>
    <row r="1309" spans="1:7" ht="18" x14ac:dyDescent="0.2">
      <c r="A1309" s="7" t="s">
        <v>37</v>
      </c>
      <c r="B1309" s="7" t="s">
        <v>1</v>
      </c>
      <c r="C1309" s="7" t="s">
        <v>20</v>
      </c>
      <c r="D1309" s="7">
        <f t="shared" si="25"/>
        <v>630</v>
      </c>
      <c r="E1309" s="7">
        <v>1950</v>
      </c>
      <c r="F1309" s="7">
        <v>115</v>
      </c>
      <c r="G1309" s="7">
        <v>64351</v>
      </c>
    </row>
    <row r="1310" spans="1:7" ht="18" x14ac:dyDescent="0.2">
      <c r="A1310" s="7" t="s">
        <v>37</v>
      </c>
      <c r="B1310" s="7" t="s">
        <v>1</v>
      </c>
      <c r="C1310" s="7" t="s">
        <v>20</v>
      </c>
      <c r="D1310" s="7">
        <f t="shared" si="25"/>
        <v>637</v>
      </c>
      <c r="E1310" s="7">
        <v>1950</v>
      </c>
      <c r="F1310" s="7">
        <v>115</v>
      </c>
      <c r="G1310" s="7">
        <v>65156</v>
      </c>
    </row>
    <row r="1311" spans="1:7" ht="18" x14ac:dyDescent="0.2">
      <c r="A1311" s="7" t="s">
        <v>37</v>
      </c>
      <c r="B1311" s="7" t="s">
        <v>1</v>
      </c>
      <c r="C1311" s="7" t="s">
        <v>20</v>
      </c>
      <c r="D1311" s="7">
        <f t="shared" si="25"/>
        <v>644</v>
      </c>
      <c r="E1311" s="7">
        <v>1950</v>
      </c>
      <c r="F1311" s="7">
        <v>115</v>
      </c>
      <c r="G1311" s="7">
        <v>65961</v>
      </c>
    </row>
    <row r="1312" spans="1:7" ht="18" x14ac:dyDescent="0.2">
      <c r="A1312" s="7" t="s">
        <v>37</v>
      </c>
      <c r="B1312" s="7" t="s">
        <v>1</v>
      </c>
      <c r="C1312" s="7" t="s">
        <v>20</v>
      </c>
      <c r="D1312" s="7">
        <f t="shared" si="25"/>
        <v>651</v>
      </c>
      <c r="E1312" s="7">
        <v>1950</v>
      </c>
      <c r="F1312" s="7">
        <v>115</v>
      </c>
      <c r="G1312" s="7">
        <v>66766</v>
      </c>
    </row>
    <row r="1313" spans="1:7" ht="18" x14ac:dyDescent="0.2">
      <c r="A1313" s="7" t="s">
        <v>37</v>
      </c>
      <c r="B1313" s="7" t="s">
        <v>1</v>
      </c>
      <c r="C1313" s="7" t="s">
        <v>20</v>
      </c>
      <c r="D1313" s="7">
        <f t="shared" si="25"/>
        <v>658</v>
      </c>
      <c r="E1313" s="7">
        <v>1950</v>
      </c>
      <c r="F1313" s="7">
        <v>115</v>
      </c>
      <c r="G1313" s="7">
        <v>67571</v>
      </c>
    </row>
    <row r="1314" spans="1:7" ht="18" x14ac:dyDescent="0.2">
      <c r="A1314" s="7" t="s">
        <v>37</v>
      </c>
      <c r="B1314" s="7" t="s">
        <v>1</v>
      </c>
      <c r="C1314" s="7" t="s">
        <v>20</v>
      </c>
      <c r="D1314" s="7">
        <f t="shared" si="25"/>
        <v>665</v>
      </c>
      <c r="E1314" s="7">
        <v>1950</v>
      </c>
      <c r="F1314" s="7">
        <v>115</v>
      </c>
      <c r="G1314" s="7">
        <v>68376</v>
      </c>
    </row>
    <row r="1315" spans="1:7" ht="18" x14ac:dyDescent="0.2">
      <c r="A1315" s="7" t="s">
        <v>37</v>
      </c>
      <c r="B1315" s="7" t="s">
        <v>1</v>
      </c>
      <c r="C1315" s="7" t="s">
        <v>20</v>
      </c>
      <c r="D1315" s="7">
        <f t="shared" si="25"/>
        <v>672</v>
      </c>
      <c r="E1315" s="7">
        <v>1950</v>
      </c>
      <c r="F1315" s="7">
        <v>115</v>
      </c>
      <c r="G1315" s="7">
        <v>69181</v>
      </c>
    </row>
    <row r="1316" spans="1:7" ht="18" x14ac:dyDescent="0.2">
      <c r="A1316" s="7" t="s">
        <v>37</v>
      </c>
      <c r="B1316" s="7" t="s">
        <v>1</v>
      </c>
      <c r="C1316" s="7" t="s">
        <v>20</v>
      </c>
      <c r="D1316" s="7">
        <f t="shared" si="25"/>
        <v>679</v>
      </c>
      <c r="E1316" s="7">
        <v>1950</v>
      </c>
      <c r="F1316" s="7">
        <v>115</v>
      </c>
      <c r="G1316" s="7">
        <v>69986</v>
      </c>
    </row>
    <row r="1317" spans="1:7" ht="18" x14ac:dyDescent="0.2">
      <c r="A1317" s="7" t="s">
        <v>37</v>
      </c>
      <c r="B1317" s="7" t="s">
        <v>1</v>
      </c>
      <c r="C1317" s="7" t="s">
        <v>20</v>
      </c>
      <c r="D1317" s="7">
        <f t="shared" si="25"/>
        <v>686</v>
      </c>
      <c r="E1317" s="7">
        <v>1950</v>
      </c>
      <c r="F1317" s="7">
        <v>115</v>
      </c>
      <c r="G1317" s="7">
        <v>70791</v>
      </c>
    </row>
    <row r="1318" spans="1:7" ht="18" x14ac:dyDescent="0.2">
      <c r="A1318" s="7" t="s">
        <v>37</v>
      </c>
      <c r="B1318" s="7" t="s">
        <v>1</v>
      </c>
      <c r="C1318" s="7" t="s">
        <v>20</v>
      </c>
      <c r="D1318" s="7">
        <f t="shared" si="25"/>
        <v>693</v>
      </c>
      <c r="E1318" s="7">
        <v>1950</v>
      </c>
      <c r="F1318" s="7">
        <v>115</v>
      </c>
      <c r="G1318" s="7">
        <v>71596</v>
      </c>
    </row>
    <row r="1319" spans="1:7" ht="18" x14ac:dyDescent="0.2">
      <c r="A1319" s="7" t="s">
        <v>37</v>
      </c>
      <c r="B1319" s="7" t="s">
        <v>1</v>
      </c>
      <c r="C1319" s="7" t="s">
        <v>20</v>
      </c>
      <c r="D1319" s="7">
        <f t="shared" si="25"/>
        <v>700</v>
      </c>
      <c r="E1319" s="7">
        <v>1950</v>
      </c>
      <c r="F1319" s="7">
        <v>115</v>
      </c>
      <c r="G1319" s="7">
        <v>72401</v>
      </c>
    </row>
    <row r="1320" spans="1:7" ht="18" x14ac:dyDescent="0.2">
      <c r="A1320" s="7" t="s">
        <v>37</v>
      </c>
      <c r="B1320" s="7" t="s">
        <v>0</v>
      </c>
      <c r="C1320" s="7" t="s">
        <v>115</v>
      </c>
      <c r="D1320" s="7">
        <v>7</v>
      </c>
      <c r="E1320" s="7">
        <v>66</v>
      </c>
      <c r="F1320" s="7">
        <v>12</v>
      </c>
      <c r="G1320" s="7">
        <v>84</v>
      </c>
    </row>
    <row r="1321" spans="1:7" ht="18" x14ac:dyDescent="0.2">
      <c r="A1321" s="7" t="s">
        <v>37</v>
      </c>
      <c r="B1321" s="7" t="s">
        <v>0</v>
      </c>
      <c r="C1321" s="7" t="s">
        <v>115</v>
      </c>
      <c r="D1321" s="7">
        <v>14</v>
      </c>
      <c r="E1321" s="7">
        <v>110</v>
      </c>
      <c r="F1321" s="7">
        <v>17</v>
      </c>
      <c r="G1321" s="7">
        <v>203</v>
      </c>
    </row>
    <row r="1322" spans="1:7" ht="18" x14ac:dyDescent="0.2">
      <c r="A1322" s="7" t="s">
        <v>37</v>
      </c>
      <c r="B1322" s="7" t="s">
        <v>0</v>
      </c>
      <c r="C1322" s="7" t="s">
        <v>115</v>
      </c>
      <c r="D1322" s="7">
        <f>D1321+7</f>
        <v>21</v>
      </c>
      <c r="E1322" s="7">
        <v>190</v>
      </c>
      <c r="F1322" s="7">
        <v>25</v>
      </c>
      <c r="G1322" s="7">
        <v>378</v>
      </c>
    </row>
    <row r="1323" spans="1:7" ht="18" x14ac:dyDescent="0.2">
      <c r="A1323" s="7" t="s">
        <v>37</v>
      </c>
      <c r="B1323" s="7" t="s">
        <v>0</v>
      </c>
      <c r="C1323" s="7" t="s">
        <v>115</v>
      </c>
      <c r="D1323" s="7">
        <f>D1322+7</f>
        <v>28</v>
      </c>
      <c r="E1323" s="7">
        <v>278</v>
      </c>
      <c r="F1323" s="7">
        <v>32</v>
      </c>
      <c r="G1323" s="7">
        <v>602</v>
      </c>
    </row>
    <row r="1324" spans="1:7" ht="18" x14ac:dyDescent="0.2">
      <c r="A1324" s="7" t="s">
        <v>37</v>
      </c>
      <c r="B1324" s="7" t="s">
        <v>0</v>
      </c>
      <c r="C1324" s="7" t="s">
        <v>115</v>
      </c>
      <c r="D1324" s="7">
        <f t="shared" ref="D1324:D1387" si="26">D1323+7</f>
        <v>35</v>
      </c>
      <c r="E1324" s="7">
        <v>375</v>
      </c>
      <c r="F1324" s="7">
        <v>37</v>
      </c>
      <c r="G1324" s="7">
        <v>861</v>
      </c>
    </row>
    <row r="1325" spans="1:7" ht="18" x14ac:dyDescent="0.2">
      <c r="A1325" s="7" t="s">
        <v>37</v>
      </c>
      <c r="B1325" s="7" t="s">
        <v>0</v>
      </c>
      <c r="C1325" s="7" t="s">
        <v>115</v>
      </c>
      <c r="D1325" s="7">
        <f t="shared" si="26"/>
        <v>42</v>
      </c>
      <c r="E1325" s="7">
        <v>472</v>
      </c>
      <c r="F1325" s="7">
        <v>42</v>
      </c>
      <c r="G1325" s="7">
        <v>1155</v>
      </c>
    </row>
    <row r="1326" spans="1:7" ht="18" x14ac:dyDescent="0.2">
      <c r="A1326" s="7" t="s">
        <v>37</v>
      </c>
      <c r="B1326" s="7" t="s">
        <v>0</v>
      </c>
      <c r="C1326" s="7" t="s">
        <v>115</v>
      </c>
      <c r="D1326" s="7">
        <f t="shared" si="26"/>
        <v>49</v>
      </c>
      <c r="E1326" s="7">
        <v>565</v>
      </c>
      <c r="F1326" s="7">
        <v>45</v>
      </c>
      <c r="G1326" s="7">
        <v>1470</v>
      </c>
    </row>
    <row r="1327" spans="1:7" ht="18" x14ac:dyDescent="0.2">
      <c r="A1327" s="7" t="s">
        <v>37</v>
      </c>
      <c r="B1327" s="7" t="s">
        <v>0</v>
      </c>
      <c r="C1327" s="7" t="s">
        <v>115</v>
      </c>
      <c r="D1327" s="7">
        <f t="shared" si="26"/>
        <v>56</v>
      </c>
      <c r="E1327" s="7">
        <v>655</v>
      </c>
      <c r="F1327" s="7">
        <v>49</v>
      </c>
      <c r="G1327" s="7">
        <v>1813</v>
      </c>
    </row>
    <row r="1328" spans="1:7" ht="18" x14ac:dyDescent="0.2">
      <c r="A1328" s="7" t="s">
        <v>37</v>
      </c>
      <c r="B1328" s="7" t="s">
        <v>0</v>
      </c>
      <c r="C1328" s="7" t="s">
        <v>115</v>
      </c>
      <c r="D1328" s="7">
        <f t="shared" si="26"/>
        <v>63</v>
      </c>
      <c r="E1328" s="7">
        <v>745</v>
      </c>
      <c r="F1328" s="7">
        <v>53</v>
      </c>
      <c r="G1328" s="7">
        <v>2184</v>
      </c>
    </row>
    <row r="1329" spans="1:7" ht="18" x14ac:dyDescent="0.2">
      <c r="A1329" s="7" t="s">
        <v>37</v>
      </c>
      <c r="B1329" s="7" t="s">
        <v>0</v>
      </c>
      <c r="C1329" s="7" t="s">
        <v>115</v>
      </c>
      <c r="D1329" s="7">
        <f t="shared" si="26"/>
        <v>70</v>
      </c>
      <c r="E1329" s="7">
        <v>840</v>
      </c>
      <c r="F1329" s="7">
        <v>57</v>
      </c>
      <c r="G1329" s="7">
        <v>2583</v>
      </c>
    </row>
    <row r="1330" spans="1:7" ht="18" x14ac:dyDescent="0.2">
      <c r="A1330" s="7" t="s">
        <v>37</v>
      </c>
      <c r="B1330" s="7" t="s">
        <v>0</v>
      </c>
      <c r="C1330" s="7" t="s">
        <v>115</v>
      </c>
      <c r="D1330" s="7">
        <f t="shared" si="26"/>
        <v>77</v>
      </c>
      <c r="E1330" s="7">
        <v>928</v>
      </c>
      <c r="F1330" s="7">
        <v>62</v>
      </c>
      <c r="G1330" s="7">
        <v>3017</v>
      </c>
    </row>
    <row r="1331" spans="1:7" ht="18" x14ac:dyDescent="0.2">
      <c r="A1331" s="7" t="s">
        <v>37</v>
      </c>
      <c r="B1331" s="7" t="s">
        <v>0</v>
      </c>
      <c r="C1331" s="7" t="s">
        <v>115</v>
      </c>
      <c r="D1331" s="7">
        <f t="shared" si="26"/>
        <v>84</v>
      </c>
      <c r="E1331" s="7">
        <v>1020</v>
      </c>
      <c r="F1331" s="7">
        <v>67</v>
      </c>
      <c r="G1331" s="7">
        <v>3486</v>
      </c>
    </row>
    <row r="1332" spans="1:7" ht="18" x14ac:dyDescent="0.2">
      <c r="A1332" s="7" t="s">
        <v>37</v>
      </c>
      <c r="B1332" s="7" t="s">
        <v>0</v>
      </c>
      <c r="C1332" s="7" t="s">
        <v>115</v>
      </c>
      <c r="D1332" s="7">
        <f t="shared" si="26"/>
        <v>91</v>
      </c>
      <c r="E1332" s="7">
        <v>1108</v>
      </c>
      <c r="F1332" s="7">
        <v>68</v>
      </c>
      <c r="G1332" s="7">
        <v>3962</v>
      </c>
    </row>
    <row r="1333" spans="1:7" ht="18" x14ac:dyDescent="0.2">
      <c r="A1333" s="7" t="s">
        <v>37</v>
      </c>
      <c r="B1333" s="7" t="s">
        <v>0</v>
      </c>
      <c r="C1333" s="7" t="s">
        <v>115</v>
      </c>
      <c r="D1333" s="7">
        <f t="shared" si="26"/>
        <v>98</v>
      </c>
      <c r="E1333" s="7">
        <v>1182</v>
      </c>
      <c r="F1333" s="7">
        <v>71</v>
      </c>
      <c r="G1333" s="7">
        <v>4459</v>
      </c>
    </row>
    <row r="1334" spans="1:7" ht="18" x14ac:dyDescent="0.2">
      <c r="A1334" s="7" t="s">
        <v>37</v>
      </c>
      <c r="B1334" s="7" t="s">
        <v>0</v>
      </c>
      <c r="C1334" s="7" t="s">
        <v>115</v>
      </c>
      <c r="D1334" s="7">
        <f t="shared" si="26"/>
        <v>105</v>
      </c>
      <c r="E1334" s="7">
        <v>1262</v>
      </c>
      <c r="F1334" s="7">
        <v>73</v>
      </c>
      <c r="G1334" s="7">
        <v>4970</v>
      </c>
    </row>
    <row r="1335" spans="1:7" ht="18" x14ac:dyDescent="0.2">
      <c r="A1335" s="7" t="s">
        <v>37</v>
      </c>
      <c r="B1335" s="7" t="s">
        <v>0</v>
      </c>
      <c r="C1335" s="7" t="s">
        <v>115</v>
      </c>
      <c r="D1335" s="7">
        <f t="shared" si="26"/>
        <v>112</v>
      </c>
      <c r="E1335" s="7">
        <v>1342</v>
      </c>
      <c r="F1335" s="7">
        <v>76</v>
      </c>
      <c r="G1335" s="7">
        <v>5502</v>
      </c>
    </row>
    <row r="1336" spans="1:7" ht="18" x14ac:dyDescent="0.2">
      <c r="A1336" s="7" t="s">
        <v>37</v>
      </c>
      <c r="B1336" s="7" t="s">
        <v>0</v>
      </c>
      <c r="C1336" s="7" t="s">
        <v>115</v>
      </c>
      <c r="D1336" s="7">
        <f t="shared" si="26"/>
        <v>119</v>
      </c>
      <c r="E1336" s="7">
        <v>1420</v>
      </c>
      <c r="F1336" s="7">
        <v>78</v>
      </c>
      <c r="G1336" s="7">
        <v>6048</v>
      </c>
    </row>
    <row r="1337" spans="1:7" ht="18" x14ac:dyDescent="0.2">
      <c r="A1337" s="7" t="s">
        <v>37</v>
      </c>
      <c r="B1337" s="7" t="s">
        <v>0</v>
      </c>
      <c r="C1337" s="7" t="s">
        <v>115</v>
      </c>
      <c r="D1337" s="7">
        <f t="shared" si="26"/>
        <v>126</v>
      </c>
      <c r="E1337" s="7">
        <v>1450</v>
      </c>
      <c r="F1337" s="7">
        <v>78</v>
      </c>
      <c r="G1337" s="7">
        <v>6594</v>
      </c>
    </row>
    <row r="1338" spans="1:7" ht="18" x14ac:dyDescent="0.2">
      <c r="A1338" s="7" t="s">
        <v>37</v>
      </c>
      <c r="B1338" s="7" t="s">
        <v>0</v>
      </c>
      <c r="C1338" s="7" t="s">
        <v>115</v>
      </c>
      <c r="D1338" s="7">
        <f t="shared" si="26"/>
        <v>133</v>
      </c>
      <c r="E1338" s="7">
        <v>1527</v>
      </c>
      <c r="F1338" s="7">
        <v>84</v>
      </c>
      <c r="G1338" s="7">
        <v>7182</v>
      </c>
    </row>
    <row r="1339" spans="1:7" ht="18" x14ac:dyDescent="0.2">
      <c r="A1339" s="7" t="s">
        <v>37</v>
      </c>
      <c r="B1339" s="7" t="s">
        <v>0</v>
      </c>
      <c r="C1339" s="7" t="s">
        <v>115</v>
      </c>
      <c r="D1339" s="7">
        <f t="shared" si="26"/>
        <v>140</v>
      </c>
      <c r="E1339" s="7">
        <v>1585</v>
      </c>
      <c r="F1339" s="7">
        <v>89</v>
      </c>
      <c r="G1339" s="7">
        <v>7805</v>
      </c>
    </row>
    <row r="1340" spans="1:7" ht="18" x14ac:dyDescent="0.2">
      <c r="A1340" s="7" t="s">
        <v>37</v>
      </c>
      <c r="B1340" s="7" t="s">
        <v>0</v>
      </c>
      <c r="C1340" s="7" t="s">
        <v>115</v>
      </c>
      <c r="D1340" s="7">
        <f t="shared" si="26"/>
        <v>147</v>
      </c>
      <c r="E1340" s="7">
        <v>1629</v>
      </c>
      <c r="F1340" s="7">
        <v>95</v>
      </c>
      <c r="G1340" s="7">
        <v>8470</v>
      </c>
    </row>
    <row r="1341" spans="1:7" ht="18" x14ac:dyDescent="0.2">
      <c r="A1341" s="7" t="s">
        <v>37</v>
      </c>
      <c r="B1341" s="7" t="s">
        <v>0</v>
      </c>
      <c r="C1341" s="7" t="s">
        <v>115</v>
      </c>
      <c r="D1341" s="7">
        <f t="shared" si="26"/>
        <v>154</v>
      </c>
      <c r="E1341" s="7">
        <v>1663</v>
      </c>
      <c r="F1341" s="7">
        <v>99</v>
      </c>
      <c r="G1341" s="7">
        <v>9163</v>
      </c>
    </row>
    <row r="1342" spans="1:7" ht="18" x14ac:dyDescent="0.2">
      <c r="A1342" s="7" t="s">
        <v>37</v>
      </c>
      <c r="B1342" s="7" t="s">
        <v>0</v>
      </c>
      <c r="C1342" s="7" t="s">
        <v>115</v>
      </c>
      <c r="D1342" s="7">
        <f t="shared" si="26"/>
        <v>161</v>
      </c>
      <c r="E1342" s="7">
        <v>1695</v>
      </c>
      <c r="F1342" s="7">
        <v>103</v>
      </c>
      <c r="G1342" s="7">
        <v>9884</v>
      </c>
    </row>
    <row r="1343" spans="1:7" ht="18" x14ac:dyDescent="0.2">
      <c r="A1343" s="7" t="s">
        <v>37</v>
      </c>
      <c r="B1343" s="7" t="s">
        <v>0</v>
      </c>
      <c r="C1343" s="7" t="s">
        <v>115</v>
      </c>
      <c r="D1343" s="7">
        <f t="shared" si="26"/>
        <v>168</v>
      </c>
      <c r="E1343" s="7">
        <v>1734</v>
      </c>
      <c r="F1343" s="7">
        <v>105</v>
      </c>
      <c r="G1343" s="7">
        <v>10619</v>
      </c>
    </row>
    <row r="1344" spans="1:7" ht="18" x14ac:dyDescent="0.2">
      <c r="A1344" s="7" t="s">
        <v>37</v>
      </c>
      <c r="B1344" s="7" t="s">
        <v>0</v>
      </c>
      <c r="C1344" s="7" t="s">
        <v>115</v>
      </c>
      <c r="D1344" s="7">
        <f t="shared" si="26"/>
        <v>175</v>
      </c>
      <c r="E1344" s="7">
        <v>1767</v>
      </c>
      <c r="F1344" s="7">
        <v>107</v>
      </c>
      <c r="G1344" s="7">
        <v>11368</v>
      </c>
    </row>
    <row r="1345" spans="1:7" ht="18" x14ac:dyDescent="0.2">
      <c r="A1345" s="7" t="s">
        <v>37</v>
      </c>
      <c r="B1345" s="7" t="s">
        <v>0</v>
      </c>
      <c r="C1345" s="7" t="s">
        <v>115</v>
      </c>
      <c r="D1345" s="7">
        <f t="shared" si="26"/>
        <v>182</v>
      </c>
      <c r="E1345" s="7">
        <v>1793</v>
      </c>
      <c r="F1345" s="7">
        <v>108</v>
      </c>
      <c r="G1345" s="7">
        <v>12124</v>
      </c>
    </row>
    <row r="1346" spans="1:7" ht="18" x14ac:dyDescent="0.2">
      <c r="A1346" s="7" t="s">
        <v>37</v>
      </c>
      <c r="B1346" s="7" t="s">
        <v>0</v>
      </c>
      <c r="C1346" s="7" t="s">
        <v>115</v>
      </c>
      <c r="D1346" s="7">
        <f t="shared" si="26"/>
        <v>189</v>
      </c>
      <c r="E1346" s="7">
        <v>1812</v>
      </c>
      <c r="F1346" s="7">
        <v>110</v>
      </c>
      <c r="G1346" s="7">
        <v>12894</v>
      </c>
    </row>
    <row r="1347" spans="1:7" ht="18" x14ac:dyDescent="0.2">
      <c r="A1347" s="7" t="s">
        <v>37</v>
      </c>
      <c r="B1347" s="7" t="s">
        <v>0</v>
      </c>
      <c r="C1347" s="7" t="s">
        <v>115</v>
      </c>
      <c r="D1347" s="7">
        <f t="shared" si="26"/>
        <v>196</v>
      </c>
      <c r="E1347" s="7">
        <v>1825</v>
      </c>
      <c r="F1347" s="7">
        <v>112</v>
      </c>
      <c r="G1347" s="7">
        <v>13678</v>
      </c>
    </row>
    <row r="1348" spans="1:7" ht="18" x14ac:dyDescent="0.2">
      <c r="A1348" s="7" t="s">
        <v>37</v>
      </c>
      <c r="B1348" s="7" t="s">
        <v>0</v>
      </c>
      <c r="C1348" s="7" t="s">
        <v>115</v>
      </c>
      <c r="D1348" s="7">
        <f t="shared" si="26"/>
        <v>203</v>
      </c>
      <c r="E1348" s="7">
        <v>1833</v>
      </c>
      <c r="F1348" s="7">
        <v>112</v>
      </c>
      <c r="G1348" s="7">
        <v>14462</v>
      </c>
    </row>
    <row r="1349" spans="1:7" ht="18" x14ac:dyDescent="0.2">
      <c r="A1349" s="7" t="s">
        <v>37</v>
      </c>
      <c r="B1349" s="7" t="s">
        <v>0</v>
      </c>
      <c r="C1349" s="7" t="s">
        <v>115</v>
      </c>
      <c r="D1349" s="7">
        <f t="shared" si="26"/>
        <v>210</v>
      </c>
      <c r="E1349" s="7">
        <v>1838</v>
      </c>
      <c r="F1349" s="7">
        <v>112</v>
      </c>
      <c r="G1349" s="7">
        <v>15246</v>
      </c>
    </row>
    <row r="1350" spans="1:7" ht="18" x14ac:dyDescent="0.2">
      <c r="A1350" s="7" t="s">
        <v>37</v>
      </c>
      <c r="B1350" s="7" t="s">
        <v>0</v>
      </c>
      <c r="C1350" s="7" t="s">
        <v>115</v>
      </c>
      <c r="D1350" s="7">
        <f t="shared" si="26"/>
        <v>217</v>
      </c>
      <c r="E1350" s="7">
        <v>1841</v>
      </c>
      <c r="F1350" s="7">
        <v>112</v>
      </c>
      <c r="G1350" s="7">
        <v>16030</v>
      </c>
    </row>
    <row r="1351" spans="1:7" ht="18" x14ac:dyDescent="0.2">
      <c r="A1351" s="7" t="s">
        <v>37</v>
      </c>
      <c r="B1351" s="7" t="s">
        <v>0</v>
      </c>
      <c r="C1351" s="7" t="s">
        <v>115</v>
      </c>
      <c r="D1351" s="7">
        <f t="shared" si="26"/>
        <v>224</v>
      </c>
      <c r="E1351" s="7">
        <v>1844</v>
      </c>
      <c r="F1351" s="7">
        <v>112</v>
      </c>
      <c r="G1351" s="7">
        <v>16814</v>
      </c>
    </row>
    <row r="1352" spans="1:7" ht="18" x14ac:dyDescent="0.2">
      <c r="A1352" s="7" t="s">
        <v>37</v>
      </c>
      <c r="B1352" s="7" t="s">
        <v>0</v>
      </c>
      <c r="C1352" s="7" t="s">
        <v>115</v>
      </c>
      <c r="D1352" s="7">
        <f t="shared" si="26"/>
        <v>231</v>
      </c>
      <c r="E1352" s="7">
        <v>1846</v>
      </c>
      <c r="F1352" s="7">
        <v>112</v>
      </c>
      <c r="G1352" s="7">
        <v>17598</v>
      </c>
    </row>
    <row r="1353" spans="1:7" ht="18" x14ac:dyDescent="0.2">
      <c r="A1353" s="7" t="s">
        <v>37</v>
      </c>
      <c r="B1353" s="7" t="s">
        <v>0</v>
      </c>
      <c r="C1353" s="7" t="s">
        <v>115</v>
      </c>
      <c r="D1353" s="7">
        <f t="shared" si="26"/>
        <v>238</v>
      </c>
      <c r="E1353" s="7">
        <v>1848</v>
      </c>
      <c r="F1353" s="7">
        <v>112</v>
      </c>
      <c r="G1353" s="7">
        <v>18382</v>
      </c>
    </row>
    <row r="1354" spans="1:7" ht="18" x14ac:dyDescent="0.2">
      <c r="A1354" s="7" t="s">
        <v>37</v>
      </c>
      <c r="B1354" s="7" t="s">
        <v>0</v>
      </c>
      <c r="C1354" s="7" t="s">
        <v>115</v>
      </c>
      <c r="D1354" s="7">
        <f t="shared" si="26"/>
        <v>245</v>
      </c>
      <c r="E1354" s="7">
        <v>1851</v>
      </c>
      <c r="F1354" s="7">
        <v>112</v>
      </c>
      <c r="G1354" s="7">
        <v>19166</v>
      </c>
    </row>
    <row r="1355" spans="1:7" ht="18" x14ac:dyDescent="0.2">
      <c r="A1355" s="7" t="s">
        <v>37</v>
      </c>
      <c r="B1355" s="7" t="s">
        <v>0</v>
      </c>
      <c r="C1355" s="7" t="s">
        <v>115</v>
      </c>
      <c r="D1355" s="7">
        <f t="shared" si="26"/>
        <v>252</v>
      </c>
      <c r="E1355" s="7">
        <v>1853</v>
      </c>
      <c r="F1355" s="7">
        <v>112</v>
      </c>
      <c r="G1355" s="7">
        <v>19950</v>
      </c>
    </row>
    <row r="1356" spans="1:7" ht="18" x14ac:dyDescent="0.2">
      <c r="A1356" s="7" t="s">
        <v>37</v>
      </c>
      <c r="B1356" s="7" t="s">
        <v>0</v>
      </c>
      <c r="C1356" s="7" t="s">
        <v>115</v>
      </c>
      <c r="D1356" s="7">
        <f t="shared" si="26"/>
        <v>259</v>
      </c>
      <c r="E1356" s="7">
        <v>1855</v>
      </c>
      <c r="F1356" s="7">
        <v>112</v>
      </c>
      <c r="G1356" s="7">
        <v>20734</v>
      </c>
    </row>
    <row r="1357" spans="1:7" ht="18" x14ac:dyDescent="0.2">
      <c r="A1357" s="7" t="s">
        <v>37</v>
      </c>
      <c r="B1357" s="7" t="s">
        <v>0</v>
      </c>
      <c r="C1357" s="7" t="s">
        <v>115</v>
      </c>
      <c r="D1357" s="7">
        <f t="shared" si="26"/>
        <v>266</v>
      </c>
      <c r="E1357" s="7">
        <v>1858</v>
      </c>
      <c r="F1357" s="7">
        <v>112</v>
      </c>
      <c r="G1357" s="7">
        <v>21518</v>
      </c>
    </row>
    <row r="1358" spans="1:7" ht="18" x14ac:dyDescent="0.2">
      <c r="A1358" s="7" t="s">
        <v>37</v>
      </c>
      <c r="B1358" s="7" t="s">
        <v>0</v>
      </c>
      <c r="C1358" s="7" t="s">
        <v>115</v>
      </c>
      <c r="D1358" s="7">
        <f t="shared" si="26"/>
        <v>273</v>
      </c>
      <c r="E1358" s="7">
        <v>1860</v>
      </c>
      <c r="F1358" s="7">
        <v>112</v>
      </c>
      <c r="G1358" s="7">
        <v>22302</v>
      </c>
    </row>
    <row r="1359" spans="1:7" ht="18" x14ac:dyDescent="0.2">
      <c r="A1359" s="7" t="s">
        <v>37</v>
      </c>
      <c r="B1359" s="7" t="s">
        <v>0</v>
      </c>
      <c r="C1359" s="7" t="s">
        <v>115</v>
      </c>
      <c r="D1359" s="7">
        <f t="shared" si="26"/>
        <v>280</v>
      </c>
      <c r="E1359" s="7">
        <v>1862</v>
      </c>
      <c r="F1359" s="7">
        <v>112</v>
      </c>
      <c r="G1359" s="7">
        <v>23086</v>
      </c>
    </row>
    <row r="1360" spans="1:7" ht="18" x14ac:dyDescent="0.2">
      <c r="A1360" s="7" t="s">
        <v>37</v>
      </c>
      <c r="B1360" s="7" t="s">
        <v>0</v>
      </c>
      <c r="C1360" s="7" t="s">
        <v>115</v>
      </c>
      <c r="D1360" s="7">
        <f t="shared" si="26"/>
        <v>287</v>
      </c>
      <c r="E1360" s="7">
        <v>1865</v>
      </c>
      <c r="F1360" s="7">
        <v>112</v>
      </c>
      <c r="G1360" s="7">
        <v>23870</v>
      </c>
    </row>
    <row r="1361" spans="1:7" ht="18" x14ac:dyDescent="0.2">
      <c r="A1361" s="7" t="s">
        <v>37</v>
      </c>
      <c r="B1361" s="7" t="s">
        <v>0</v>
      </c>
      <c r="C1361" s="7" t="s">
        <v>115</v>
      </c>
      <c r="D1361" s="7">
        <f t="shared" si="26"/>
        <v>294</v>
      </c>
      <c r="E1361" s="7">
        <v>1867</v>
      </c>
      <c r="F1361" s="7">
        <v>112</v>
      </c>
      <c r="G1361" s="7">
        <v>24654</v>
      </c>
    </row>
    <row r="1362" spans="1:7" ht="18" x14ac:dyDescent="0.2">
      <c r="A1362" s="7" t="s">
        <v>37</v>
      </c>
      <c r="B1362" s="7" t="s">
        <v>0</v>
      </c>
      <c r="C1362" s="7" t="s">
        <v>115</v>
      </c>
      <c r="D1362" s="7">
        <f t="shared" si="26"/>
        <v>301</v>
      </c>
      <c r="E1362" s="7">
        <v>1869</v>
      </c>
      <c r="F1362" s="7">
        <v>112</v>
      </c>
      <c r="G1362" s="7">
        <v>25438</v>
      </c>
    </row>
    <row r="1363" spans="1:7" ht="18" x14ac:dyDescent="0.2">
      <c r="A1363" s="7" t="s">
        <v>37</v>
      </c>
      <c r="B1363" s="7" t="s">
        <v>0</v>
      </c>
      <c r="C1363" s="7" t="s">
        <v>115</v>
      </c>
      <c r="D1363" s="7">
        <f t="shared" si="26"/>
        <v>308</v>
      </c>
      <c r="E1363" s="7">
        <v>1870</v>
      </c>
      <c r="F1363" s="7">
        <v>112</v>
      </c>
      <c r="G1363" s="7">
        <v>26222</v>
      </c>
    </row>
    <row r="1364" spans="1:7" ht="18" x14ac:dyDescent="0.2">
      <c r="A1364" s="7" t="s">
        <v>37</v>
      </c>
      <c r="B1364" s="7" t="s">
        <v>0</v>
      </c>
      <c r="C1364" s="7" t="s">
        <v>115</v>
      </c>
      <c r="D1364" s="7">
        <f t="shared" si="26"/>
        <v>315</v>
      </c>
      <c r="E1364" s="7">
        <v>1871</v>
      </c>
      <c r="F1364" s="7">
        <v>112</v>
      </c>
      <c r="G1364" s="7">
        <v>27006</v>
      </c>
    </row>
    <row r="1365" spans="1:7" ht="18" x14ac:dyDescent="0.2">
      <c r="A1365" s="7" t="s">
        <v>37</v>
      </c>
      <c r="B1365" s="7" t="s">
        <v>0</v>
      </c>
      <c r="C1365" s="7" t="s">
        <v>115</v>
      </c>
      <c r="D1365" s="7">
        <f t="shared" si="26"/>
        <v>322</v>
      </c>
      <c r="E1365" s="7">
        <v>1871</v>
      </c>
      <c r="F1365" s="7">
        <v>112</v>
      </c>
      <c r="G1365" s="7">
        <v>27790</v>
      </c>
    </row>
    <row r="1366" spans="1:7" ht="18" x14ac:dyDescent="0.2">
      <c r="A1366" s="7" t="s">
        <v>37</v>
      </c>
      <c r="B1366" s="7" t="s">
        <v>0</v>
      </c>
      <c r="C1366" s="7" t="s">
        <v>115</v>
      </c>
      <c r="D1366" s="7">
        <f t="shared" si="26"/>
        <v>329</v>
      </c>
      <c r="E1366" s="7">
        <v>1872</v>
      </c>
      <c r="F1366" s="7">
        <v>112</v>
      </c>
      <c r="G1366" s="7">
        <v>28574</v>
      </c>
    </row>
    <row r="1367" spans="1:7" ht="18" x14ac:dyDescent="0.2">
      <c r="A1367" s="7" t="s">
        <v>37</v>
      </c>
      <c r="B1367" s="7" t="s">
        <v>0</v>
      </c>
      <c r="C1367" s="7" t="s">
        <v>115</v>
      </c>
      <c r="D1367" s="7">
        <f t="shared" si="26"/>
        <v>336</v>
      </c>
      <c r="E1367" s="7">
        <v>1872</v>
      </c>
      <c r="F1367" s="7">
        <v>112</v>
      </c>
      <c r="G1367" s="7">
        <v>29358</v>
      </c>
    </row>
    <row r="1368" spans="1:7" ht="18" x14ac:dyDescent="0.2">
      <c r="A1368" s="7" t="s">
        <v>37</v>
      </c>
      <c r="B1368" s="7" t="s">
        <v>0</v>
      </c>
      <c r="C1368" s="7" t="s">
        <v>115</v>
      </c>
      <c r="D1368" s="7">
        <f t="shared" si="26"/>
        <v>343</v>
      </c>
      <c r="E1368" s="7">
        <v>1873</v>
      </c>
      <c r="F1368" s="7">
        <v>112</v>
      </c>
      <c r="G1368" s="7">
        <v>30142</v>
      </c>
    </row>
    <row r="1369" spans="1:7" ht="18" x14ac:dyDescent="0.2">
      <c r="A1369" s="7" t="s">
        <v>37</v>
      </c>
      <c r="B1369" s="7" t="s">
        <v>0</v>
      </c>
      <c r="C1369" s="7" t="s">
        <v>115</v>
      </c>
      <c r="D1369" s="7">
        <f t="shared" si="26"/>
        <v>350</v>
      </c>
      <c r="E1369" s="7">
        <v>1873</v>
      </c>
      <c r="F1369" s="7">
        <v>112</v>
      </c>
      <c r="G1369" s="7">
        <v>30926</v>
      </c>
    </row>
    <row r="1370" spans="1:7" ht="18" x14ac:dyDescent="0.2">
      <c r="A1370" s="7" t="s">
        <v>37</v>
      </c>
      <c r="B1370" s="7" t="s">
        <v>0</v>
      </c>
      <c r="C1370" s="7" t="s">
        <v>115</v>
      </c>
      <c r="D1370" s="7">
        <f t="shared" si="26"/>
        <v>357</v>
      </c>
      <c r="E1370" s="7">
        <v>1874</v>
      </c>
      <c r="F1370" s="7">
        <v>112</v>
      </c>
      <c r="G1370" s="7">
        <v>31710</v>
      </c>
    </row>
    <row r="1371" spans="1:7" ht="18" x14ac:dyDescent="0.2">
      <c r="A1371" s="7" t="s">
        <v>37</v>
      </c>
      <c r="B1371" s="7" t="s">
        <v>0</v>
      </c>
      <c r="C1371" s="7" t="s">
        <v>115</v>
      </c>
      <c r="D1371" s="7">
        <f t="shared" si="26"/>
        <v>364</v>
      </c>
      <c r="E1371" s="7">
        <v>1875</v>
      </c>
      <c r="F1371" s="7">
        <v>112</v>
      </c>
      <c r="G1371" s="7">
        <v>32494</v>
      </c>
    </row>
    <row r="1372" spans="1:7" ht="18" x14ac:dyDescent="0.2">
      <c r="A1372" s="7" t="s">
        <v>37</v>
      </c>
      <c r="B1372" s="7" t="s">
        <v>0</v>
      </c>
      <c r="C1372" s="7" t="s">
        <v>115</v>
      </c>
      <c r="D1372" s="7">
        <f t="shared" si="26"/>
        <v>371</v>
      </c>
      <c r="E1372" s="7">
        <v>1876</v>
      </c>
      <c r="F1372" s="7">
        <v>112</v>
      </c>
      <c r="G1372" s="7">
        <v>33278</v>
      </c>
    </row>
    <row r="1373" spans="1:7" ht="18" x14ac:dyDescent="0.2">
      <c r="A1373" s="7" t="s">
        <v>37</v>
      </c>
      <c r="B1373" s="7" t="s">
        <v>0</v>
      </c>
      <c r="C1373" s="7" t="s">
        <v>115</v>
      </c>
      <c r="D1373" s="7">
        <f t="shared" si="26"/>
        <v>378</v>
      </c>
      <c r="E1373" s="7">
        <v>1876</v>
      </c>
      <c r="F1373" s="7">
        <v>112</v>
      </c>
      <c r="G1373" s="7">
        <v>34062</v>
      </c>
    </row>
    <row r="1374" spans="1:7" ht="18" x14ac:dyDescent="0.2">
      <c r="A1374" s="7" t="s">
        <v>37</v>
      </c>
      <c r="B1374" s="7" t="s">
        <v>0</v>
      </c>
      <c r="C1374" s="7" t="s">
        <v>115</v>
      </c>
      <c r="D1374" s="7">
        <f t="shared" si="26"/>
        <v>385</v>
      </c>
      <c r="E1374" s="7">
        <v>1879</v>
      </c>
      <c r="F1374" s="7">
        <v>112</v>
      </c>
      <c r="G1374" s="7">
        <v>34846</v>
      </c>
    </row>
    <row r="1375" spans="1:7" ht="18" x14ac:dyDescent="0.2">
      <c r="A1375" s="7" t="s">
        <v>37</v>
      </c>
      <c r="B1375" s="7" t="s">
        <v>0</v>
      </c>
      <c r="C1375" s="7" t="s">
        <v>115</v>
      </c>
      <c r="D1375" s="7">
        <f t="shared" si="26"/>
        <v>392</v>
      </c>
      <c r="E1375" s="7">
        <v>1881</v>
      </c>
      <c r="F1375" s="7">
        <v>112</v>
      </c>
      <c r="G1375" s="7">
        <v>35630</v>
      </c>
    </row>
    <row r="1376" spans="1:7" ht="18" x14ac:dyDescent="0.2">
      <c r="A1376" s="7" t="s">
        <v>37</v>
      </c>
      <c r="B1376" s="7" t="s">
        <v>0</v>
      </c>
      <c r="C1376" s="7" t="s">
        <v>115</v>
      </c>
      <c r="D1376" s="7">
        <f t="shared" si="26"/>
        <v>399</v>
      </c>
      <c r="E1376" s="7">
        <v>1881</v>
      </c>
      <c r="F1376" s="7">
        <v>112</v>
      </c>
      <c r="G1376" s="7">
        <v>36414</v>
      </c>
    </row>
    <row r="1377" spans="1:7" ht="18" x14ac:dyDescent="0.2">
      <c r="A1377" s="7" t="s">
        <v>37</v>
      </c>
      <c r="B1377" s="7" t="s">
        <v>0</v>
      </c>
      <c r="C1377" s="7" t="s">
        <v>115</v>
      </c>
      <c r="D1377" s="7">
        <f t="shared" si="26"/>
        <v>406</v>
      </c>
      <c r="E1377" s="7">
        <v>1883</v>
      </c>
      <c r="F1377" s="7">
        <v>112</v>
      </c>
      <c r="G1377" s="7">
        <v>37198</v>
      </c>
    </row>
    <row r="1378" spans="1:7" ht="18" x14ac:dyDescent="0.2">
      <c r="A1378" s="7" t="s">
        <v>37</v>
      </c>
      <c r="B1378" s="7" t="s">
        <v>0</v>
      </c>
      <c r="C1378" s="7" t="s">
        <v>115</v>
      </c>
      <c r="D1378" s="7">
        <f t="shared" si="26"/>
        <v>413</v>
      </c>
      <c r="E1378" s="7">
        <v>1885</v>
      </c>
      <c r="F1378" s="7">
        <v>112</v>
      </c>
      <c r="G1378" s="7">
        <v>37982</v>
      </c>
    </row>
    <row r="1379" spans="1:7" ht="18" x14ac:dyDescent="0.2">
      <c r="A1379" s="7" t="s">
        <v>37</v>
      </c>
      <c r="B1379" s="7" t="s">
        <v>0</v>
      </c>
      <c r="C1379" s="7" t="s">
        <v>115</v>
      </c>
      <c r="D1379" s="7">
        <f t="shared" si="26"/>
        <v>420</v>
      </c>
      <c r="E1379" s="7">
        <v>1886</v>
      </c>
      <c r="F1379" s="7">
        <v>112</v>
      </c>
      <c r="G1379" s="7">
        <v>38766</v>
      </c>
    </row>
    <row r="1380" spans="1:7" ht="18" x14ac:dyDescent="0.2">
      <c r="A1380" s="7" t="s">
        <v>37</v>
      </c>
      <c r="B1380" s="7" t="s">
        <v>0</v>
      </c>
      <c r="C1380" s="7" t="s">
        <v>115</v>
      </c>
      <c r="D1380" s="7">
        <f t="shared" si="26"/>
        <v>427</v>
      </c>
      <c r="E1380" s="7">
        <v>1887</v>
      </c>
      <c r="F1380" s="7">
        <v>112</v>
      </c>
      <c r="G1380" s="7">
        <v>39550</v>
      </c>
    </row>
    <row r="1381" spans="1:7" ht="18" x14ac:dyDescent="0.2">
      <c r="A1381" s="7" t="s">
        <v>37</v>
      </c>
      <c r="B1381" s="7" t="s">
        <v>0</v>
      </c>
      <c r="C1381" s="7" t="s">
        <v>115</v>
      </c>
      <c r="D1381" s="7">
        <f t="shared" si="26"/>
        <v>434</v>
      </c>
      <c r="E1381" s="7">
        <v>1889</v>
      </c>
      <c r="F1381" s="7">
        <v>112</v>
      </c>
      <c r="G1381" s="7">
        <v>40334</v>
      </c>
    </row>
    <row r="1382" spans="1:7" ht="18" x14ac:dyDescent="0.2">
      <c r="A1382" s="7" t="s">
        <v>37</v>
      </c>
      <c r="B1382" s="7" t="s">
        <v>0</v>
      </c>
      <c r="C1382" s="7" t="s">
        <v>115</v>
      </c>
      <c r="D1382" s="7">
        <f t="shared" si="26"/>
        <v>441</v>
      </c>
      <c r="E1382" s="7">
        <v>1890</v>
      </c>
      <c r="F1382" s="7">
        <v>112</v>
      </c>
      <c r="G1382" s="7">
        <v>41118</v>
      </c>
    </row>
    <row r="1383" spans="1:7" ht="18" x14ac:dyDescent="0.2">
      <c r="A1383" s="7" t="s">
        <v>37</v>
      </c>
      <c r="B1383" s="7" t="s">
        <v>0</v>
      </c>
      <c r="C1383" s="7" t="s">
        <v>115</v>
      </c>
      <c r="D1383" s="7">
        <f t="shared" si="26"/>
        <v>448</v>
      </c>
      <c r="E1383" s="7">
        <v>1890</v>
      </c>
      <c r="F1383" s="7">
        <v>112</v>
      </c>
      <c r="G1383" s="7">
        <v>41902</v>
      </c>
    </row>
    <row r="1384" spans="1:7" ht="18" x14ac:dyDescent="0.2">
      <c r="A1384" s="7" t="s">
        <v>37</v>
      </c>
      <c r="B1384" s="7" t="s">
        <v>0</v>
      </c>
      <c r="C1384" s="7" t="s">
        <v>115</v>
      </c>
      <c r="D1384" s="7">
        <f t="shared" si="26"/>
        <v>455</v>
      </c>
      <c r="E1384" s="7">
        <v>1891</v>
      </c>
      <c r="F1384" s="7">
        <v>112</v>
      </c>
      <c r="G1384" s="7">
        <v>42686</v>
      </c>
    </row>
    <row r="1385" spans="1:7" ht="18" x14ac:dyDescent="0.2">
      <c r="A1385" s="7" t="s">
        <v>37</v>
      </c>
      <c r="B1385" s="7" t="s">
        <v>0</v>
      </c>
      <c r="C1385" s="7" t="s">
        <v>115</v>
      </c>
      <c r="D1385" s="7">
        <f t="shared" si="26"/>
        <v>462</v>
      </c>
      <c r="E1385" s="7">
        <v>1893</v>
      </c>
      <c r="F1385" s="7">
        <v>112</v>
      </c>
      <c r="G1385" s="7">
        <v>43470</v>
      </c>
    </row>
    <row r="1386" spans="1:7" ht="18" x14ac:dyDescent="0.2">
      <c r="A1386" s="7" t="s">
        <v>37</v>
      </c>
      <c r="B1386" s="7" t="s">
        <v>0</v>
      </c>
      <c r="C1386" s="7" t="s">
        <v>115</v>
      </c>
      <c r="D1386" s="7">
        <f t="shared" si="26"/>
        <v>469</v>
      </c>
      <c r="E1386" s="7">
        <v>1894</v>
      </c>
      <c r="F1386" s="7">
        <v>112</v>
      </c>
      <c r="G1386" s="7">
        <v>44254</v>
      </c>
    </row>
    <row r="1387" spans="1:7" ht="18" x14ac:dyDescent="0.2">
      <c r="A1387" s="7" t="s">
        <v>37</v>
      </c>
      <c r="B1387" s="7" t="s">
        <v>0</v>
      </c>
      <c r="C1387" s="7" t="s">
        <v>115</v>
      </c>
      <c r="D1387" s="7">
        <f t="shared" si="26"/>
        <v>476</v>
      </c>
      <c r="E1387" s="7">
        <v>1895</v>
      </c>
      <c r="F1387" s="7">
        <v>112</v>
      </c>
      <c r="G1387" s="7">
        <v>45038</v>
      </c>
    </row>
    <row r="1388" spans="1:7" ht="18" x14ac:dyDescent="0.2">
      <c r="A1388" s="7" t="s">
        <v>37</v>
      </c>
      <c r="B1388" s="7" t="s">
        <v>0</v>
      </c>
      <c r="C1388" s="7" t="s">
        <v>115</v>
      </c>
      <c r="D1388" s="7">
        <f t="shared" ref="D1388:D1419" si="27">D1387+7</f>
        <v>483</v>
      </c>
      <c r="E1388" s="7">
        <v>1896</v>
      </c>
      <c r="F1388" s="7">
        <v>112</v>
      </c>
      <c r="G1388" s="7">
        <v>45822</v>
      </c>
    </row>
    <row r="1389" spans="1:7" ht="18" x14ac:dyDescent="0.2">
      <c r="A1389" s="7" t="s">
        <v>37</v>
      </c>
      <c r="B1389" s="7" t="s">
        <v>0</v>
      </c>
      <c r="C1389" s="7" t="s">
        <v>115</v>
      </c>
      <c r="D1389" s="7">
        <f t="shared" si="27"/>
        <v>490</v>
      </c>
      <c r="E1389" s="7">
        <v>1897</v>
      </c>
      <c r="F1389" s="7">
        <v>112</v>
      </c>
      <c r="G1389" s="7">
        <v>46606</v>
      </c>
    </row>
    <row r="1390" spans="1:7" ht="18" x14ac:dyDescent="0.2">
      <c r="A1390" s="7" t="s">
        <v>37</v>
      </c>
      <c r="B1390" s="7" t="s">
        <v>0</v>
      </c>
      <c r="C1390" s="7" t="s">
        <v>115</v>
      </c>
      <c r="D1390" s="7">
        <f t="shared" si="27"/>
        <v>497</v>
      </c>
      <c r="E1390" s="7">
        <v>1897</v>
      </c>
      <c r="F1390" s="7">
        <v>112</v>
      </c>
      <c r="G1390" s="7">
        <v>47390</v>
      </c>
    </row>
    <row r="1391" spans="1:7" ht="18" x14ac:dyDescent="0.2">
      <c r="A1391" s="7" t="s">
        <v>37</v>
      </c>
      <c r="B1391" s="7" t="s">
        <v>0</v>
      </c>
      <c r="C1391" s="7" t="s">
        <v>115</v>
      </c>
      <c r="D1391" s="7">
        <f t="shared" si="27"/>
        <v>504</v>
      </c>
      <c r="E1391" s="7">
        <v>1898</v>
      </c>
      <c r="F1391" s="7">
        <v>112</v>
      </c>
      <c r="G1391" s="7">
        <v>48174</v>
      </c>
    </row>
    <row r="1392" spans="1:7" ht="18" x14ac:dyDescent="0.2">
      <c r="A1392" s="7" t="s">
        <v>37</v>
      </c>
      <c r="B1392" s="7" t="s">
        <v>0</v>
      </c>
      <c r="C1392" s="7" t="s">
        <v>115</v>
      </c>
      <c r="D1392" s="7">
        <f t="shared" si="27"/>
        <v>511</v>
      </c>
      <c r="E1392" s="7">
        <v>1898</v>
      </c>
      <c r="F1392" s="7">
        <v>112</v>
      </c>
      <c r="G1392" s="7">
        <v>48958</v>
      </c>
    </row>
    <row r="1393" spans="1:7" ht="18" x14ac:dyDescent="0.2">
      <c r="A1393" s="7" t="s">
        <v>37</v>
      </c>
      <c r="B1393" s="7" t="s">
        <v>0</v>
      </c>
      <c r="C1393" s="7" t="s">
        <v>115</v>
      </c>
      <c r="D1393" s="7">
        <f t="shared" si="27"/>
        <v>518</v>
      </c>
      <c r="E1393" s="7">
        <v>1899</v>
      </c>
      <c r="F1393" s="7">
        <v>112</v>
      </c>
      <c r="G1393" s="7">
        <v>49742</v>
      </c>
    </row>
    <row r="1394" spans="1:7" ht="18" x14ac:dyDescent="0.2">
      <c r="A1394" s="7" t="s">
        <v>37</v>
      </c>
      <c r="B1394" s="7" t="s">
        <v>0</v>
      </c>
      <c r="C1394" s="7" t="s">
        <v>115</v>
      </c>
      <c r="D1394" s="7">
        <f t="shared" si="27"/>
        <v>525</v>
      </c>
      <c r="E1394" s="7">
        <v>1900</v>
      </c>
      <c r="F1394" s="7">
        <v>112</v>
      </c>
      <c r="G1394" s="7">
        <v>50526</v>
      </c>
    </row>
    <row r="1395" spans="1:7" ht="18" x14ac:dyDescent="0.2">
      <c r="A1395" s="7" t="s">
        <v>37</v>
      </c>
      <c r="B1395" s="7" t="s">
        <v>0</v>
      </c>
      <c r="C1395" s="7" t="s">
        <v>115</v>
      </c>
      <c r="D1395" s="7">
        <f t="shared" si="27"/>
        <v>532</v>
      </c>
      <c r="E1395" s="7">
        <v>1901</v>
      </c>
      <c r="F1395" s="7">
        <v>112</v>
      </c>
      <c r="G1395" s="7">
        <v>51310</v>
      </c>
    </row>
    <row r="1396" spans="1:7" ht="18" x14ac:dyDescent="0.2">
      <c r="A1396" s="7" t="s">
        <v>37</v>
      </c>
      <c r="B1396" s="7" t="s">
        <v>0</v>
      </c>
      <c r="C1396" s="7" t="s">
        <v>115</v>
      </c>
      <c r="D1396" s="7">
        <f t="shared" si="27"/>
        <v>539</v>
      </c>
      <c r="E1396" s="7">
        <v>1901</v>
      </c>
      <c r="F1396" s="7">
        <v>112</v>
      </c>
      <c r="G1396" s="7">
        <v>52094</v>
      </c>
    </row>
    <row r="1397" spans="1:7" ht="18" x14ac:dyDescent="0.2">
      <c r="A1397" s="7" t="s">
        <v>37</v>
      </c>
      <c r="B1397" s="7" t="s">
        <v>0</v>
      </c>
      <c r="C1397" s="7" t="s">
        <v>115</v>
      </c>
      <c r="D1397" s="7">
        <f t="shared" si="27"/>
        <v>546</v>
      </c>
      <c r="E1397" s="7">
        <v>1902</v>
      </c>
      <c r="F1397" s="7">
        <v>112</v>
      </c>
      <c r="G1397" s="7">
        <v>52878</v>
      </c>
    </row>
    <row r="1398" spans="1:7" ht="18" x14ac:dyDescent="0.2">
      <c r="A1398" s="7" t="s">
        <v>37</v>
      </c>
      <c r="B1398" s="7" t="s">
        <v>0</v>
      </c>
      <c r="C1398" s="7" t="s">
        <v>115</v>
      </c>
      <c r="D1398" s="7">
        <f t="shared" si="27"/>
        <v>553</v>
      </c>
      <c r="E1398" s="7">
        <v>1903</v>
      </c>
      <c r="F1398" s="7">
        <v>112</v>
      </c>
      <c r="G1398" s="7">
        <v>53662</v>
      </c>
    </row>
    <row r="1399" spans="1:7" ht="18" x14ac:dyDescent="0.2">
      <c r="A1399" s="7" t="s">
        <v>37</v>
      </c>
      <c r="B1399" s="7" t="s">
        <v>0</v>
      </c>
      <c r="C1399" s="7" t="s">
        <v>115</v>
      </c>
      <c r="D1399" s="7">
        <f t="shared" si="27"/>
        <v>560</v>
      </c>
      <c r="E1399" s="7">
        <v>1903</v>
      </c>
      <c r="F1399" s="7">
        <v>112</v>
      </c>
      <c r="G1399" s="7">
        <v>54446</v>
      </c>
    </row>
    <row r="1400" spans="1:7" ht="18" x14ac:dyDescent="0.2">
      <c r="A1400" s="7" t="s">
        <v>37</v>
      </c>
      <c r="B1400" s="7" t="s">
        <v>0</v>
      </c>
      <c r="C1400" s="7" t="s">
        <v>115</v>
      </c>
      <c r="D1400" s="7">
        <f t="shared" si="27"/>
        <v>567</v>
      </c>
      <c r="E1400" s="7">
        <v>1905</v>
      </c>
      <c r="F1400" s="7">
        <v>112</v>
      </c>
      <c r="G1400" s="7">
        <v>55230</v>
      </c>
    </row>
    <row r="1401" spans="1:7" ht="18" x14ac:dyDescent="0.2">
      <c r="A1401" s="7" t="s">
        <v>37</v>
      </c>
      <c r="B1401" s="7" t="s">
        <v>0</v>
      </c>
      <c r="C1401" s="7" t="s">
        <v>115</v>
      </c>
      <c r="D1401" s="7">
        <f t="shared" si="27"/>
        <v>574</v>
      </c>
      <c r="E1401" s="7">
        <v>1905</v>
      </c>
      <c r="F1401" s="7">
        <v>112</v>
      </c>
      <c r="G1401" s="7">
        <v>56014</v>
      </c>
    </row>
    <row r="1402" spans="1:7" ht="18" x14ac:dyDescent="0.2">
      <c r="A1402" s="7" t="s">
        <v>37</v>
      </c>
      <c r="B1402" s="7" t="s">
        <v>0</v>
      </c>
      <c r="C1402" s="7" t="s">
        <v>115</v>
      </c>
      <c r="D1402" s="7">
        <f t="shared" si="27"/>
        <v>581</v>
      </c>
      <c r="E1402" s="7">
        <v>1906</v>
      </c>
      <c r="F1402" s="7">
        <v>112</v>
      </c>
      <c r="G1402" s="7">
        <v>56798</v>
      </c>
    </row>
    <row r="1403" spans="1:7" ht="18" x14ac:dyDescent="0.2">
      <c r="A1403" s="7" t="s">
        <v>37</v>
      </c>
      <c r="B1403" s="7" t="s">
        <v>0</v>
      </c>
      <c r="C1403" s="7" t="s">
        <v>115</v>
      </c>
      <c r="D1403" s="7">
        <f t="shared" si="27"/>
        <v>588</v>
      </c>
      <c r="E1403" s="7">
        <v>1907</v>
      </c>
      <c r="F1403" s="7">
        <v>112</v>
      </c>
      <c r="G1403" s="7">
        <v>57582</v>
      </c>
    </row>
    <row r="1404" spans="1:7" ht="18" x14ac:dyDescent="0.2">
      <c r="A1404" s="7" t="s">
        <v>37</v>
      </c>
      <c r="B1404" s="7" t="s">
        <v>0</v>
      </c>
      <c r="C1404" s="7" t="s">
        <v>115</v>
      </c>
      <c r="D1404" s="7">
        <f t="shared" si="27"/>
        <v>595</v>
      </c>
      <c r="E1404" s="7">
        <v>1908</v>
      </c>
      <c r="F1404" s="7">
        <v>112</v>
      </c>
      <c r="G1404" s="7">
        <v>58366</v>
      </c>
    </row>
    <row r="1405" spans="1:7" ht="18" x14ac:dyDescent="0.2">
      <c r="A1405" s="7" t="s">
        <v>37</v>
      </c>
      <c r="B1405" s="7" t="s">
        <v>0</v>
      </c>
      <c r="C1405" s="7" t="s">
        <v>115</v>
      </c>
      <c r="D1405" s="7">
        <f t="shared" si="27"/>
        <v>602</v>
      </c>
      <c r="E1405" s="7">
        <v>1909</v>
      </c>
      <c r="F1405" s="7">
        <v>112</v>
      </c>
      <c r="G1405" s="7">
        <v>59150</v>
      </c>
    </row>
    <row r="1406" spans="1:7" ht="18" x14ac:dyDescent="0.2">
      <c r="A1406" s="7" t="s">
        <v>37</v>
      </c>
      <c r="B1406" s="7" t="s">
        <v>0</v>
      </c>
      <c r="C1406" s="7" t="s">
        <v>115</v>
      </c>
      <c r="D1406" s="7">
        <f t="shared" si="27"/>
        <v>609</v>
      </c>
      <c r="E1406" s="7">
        <v>1910</v>
      </c>
      <c r="F1406" s="7">
        <v>112</v>
      </c>
      <c r="G1406" s="7">
        <v>59934</v>
      </c>
    </row>
    <row r="1407" spans="1:7" ht="18" x14ac:dyDescent="0.2">
      <c r="A1407" s="7" t="s">
        <v>37</v>
      </c>
      <c r="B1407" s="7" t="s">
        <v>0</v>
      </c>
      <c r="C1407" s="7" t="s">
        <v>115</v>
      </c>
      <c r="D1407" s="7">
        <f t="shared" si="27"/>
        <v>616</v>
      </c>
      <c r="E1407" s="7">
        <v>1910</v>
      </c>
      <c r="F1407" s="7">
        <v>112</v>
      </c>
      <c r="G1407" s="7">
        <v>60718</v>
      </c>
    </row>
    <row r="1408" spans="1:7" ht="18" x14ac:dyDescent="0.2">
      <c r="A1408" s="7" t="s">
        <v>37</v>
      </c>
      <c r="B1408" s="7" t="s">
        <v>0</v>
      </c>
      <c r="C1408" s="7" t="s">
        <v>115</v>
      </c>
      <c r="D1408" s="7">
        <f t="shared" si="27"/>
        <v>623</v>
      </c>
      <c r="E1408" s="7">
        <v>1910</v>
      </c>
      <c r="F1408" s="7">
        <v>112</v>
      </c>
      <c r="G1408" s="7">
        <v>61502</v>
      </c>
    </row>
    <row r="1409" spans="1:7" ht="18" x14ac:dyDescent="0.2">
      <c r="A1409" s="7" t="s">
        <v>37</v>
      </c>
      <c r="B1409" s="7" t="s">
        <v>0</v>
      </c>
      <c r="C1409" s="7" t="s">
        <v>115</v>
      </c>
      <c r="D1409" s="7">
        <f t="shared" si="27"/>
        <v>630</v>
      </c>
      <c r="E1409" s="7">
        <v>1910</v>
      </c>
      <c r="F1409" s="7">
        <v>112</v>
      </c>
      <c r="G1409" s="7">
        <v>62286</v>
      </c>
    </row>
    <row r="1410" spans="1:7" ht="18" x14ac:dyDescent="0.2">
      <c r="A1410" s="7" t="s">
        <v>37</v>
      </c>
      <c r="B1410" s="7" t="s">
        <v>0</v>
      </c>
      <c r="C1410" s="7" t="s">
        <v>115</v>
      </c>
      <c r="D1410" s="7">
        <f t="shared" si="27"/>
        <v>637</v>
      </c>
      <c r="E1410" s="7">
        <v>1910</v>
      </c>
      <c r="F1410" s="7">
        <v>112</v>
      </c>
      <c r="G1410" s="7">
        <v>63070</v>
      </c>
    </row>
    <row r="1411" spans="1:7" ht="18" x14ac:dyDescent="0.2">
      <c r="A1411" s="7" t="s">
        <v>37</v>
      </c>
      <c r="B1411" s="7" t="s">
        <v>0</v>
      </c>
      <c r="C1411" s="7" t="s">
        <v>115</v>
      </c>
      <c r="D1411" s="7">
        <f t="shared" si="27"/>
        <v>644</v>
      </c>
      <c r="E1411" s="7">
        <v>1910</v>
      </c>
      <c r="F1411" s="7">
        <v>112</v>
      </c>
      <c r="G1411" s="7">
        <v>63854</v>
      </c>
    </row>
    <row r="1412" spans="1:7" ht="18" x14ac:dyDescent="0.2">
      <c r="A1412" s="7" t="s">
        <v>37</v>
      </c>
      <c r="B1412" s="7" t="s">
        <v>0</v>
      </c>
      <c r="C1412" s="7" t="s">
        <v>115</v>
      </c>
      <c r="D1412" s="7">
        <f t="shared" si="27"/>
        <v>651</v>
      </c>
      <c r="E1412" s="7">
        <v>1910</v>
      </c>
      <c r="F1412" s="7">
        <v>112</v>
      </c>
      <c r="G1412" s="7">
        <v>64638</v>
      </c>
    </row>
    <row r="1413" spans="1:7" ht="18" x14ac:dyDescent="0.2">
      <c r="A1413" s="7" t="s">
        <v>37</v>
      </c>
      <c r="B1413" s="7" t="s">
        <v>0</v>
      </c>
      <c r="C1413" s="7" t="s">
        <v>115</v>
      </c>
      <c r="D1413" s="7">
        <f t="shared" si="27"/>
        <v>658</v>
      </c>
      <c r="E1413" s="7">
        <v>1910</v>
      </c>
      <c r="F1413" s="7">
        <v>112</v>
      </c>
      <c r="G1413" s="7">
        <v>65422</v>
      </c>
    </row>
    <row r="1414" spans="1:7" ht="18" x14ac:dyDescent="0.2">
      <c r="A1414" s="7" t="s">
        <v>37</v>
      </c>
      <c r="B1414" s="7" t="s">
        <v>0</v>
      </c>
      <c r="C1414" s="7" t="s">
        <v>115</v>
      </c>
      <c r="D1414" s="7">
        <f t="shared" si="27"/>
        <v>665</v>
      </c>
      <c r="E1414" s="7">
        <v>1910</v>
      </c>
      <c r="F1414" s="7">
        <v>112</v>
      </c>
      <c r="G1414" s="7">
        <v>66206</v>
      </c>
    </row>
    <row r="1415" spans="1:7" ht="18" x14ac:dyDescent="0.2">
      <c r="A1415" s="7" t="s">
        <v>37</v>
      </c>
      <c r="B1415" s="7" t="s">
        <v>0</v>
      </c>
      <c r="C1415" s="7" t="s">
        <v>115</v>
      </c>
      <c r="D1415" s="7">
        <f t="shared" si="27"/>
        <v>672</v>
      </c>
      <c r="E1415" s="7">
        <v>1910</v>
      </c>
      <c r="F1415" s="7">
        <v>112</v>
      </c>
      <c r="G1415" s="7">
        <v>66990</v>
      </c>
    </row>
    <row r="1416" spans="1:7" ht="18" x14ac:dyDescent="0.2">
      <c r="A1416" s="7" t="s">
        <v>37</v>
      </c>
      <c r="B1416" s="7" t="s">
        <v>0</v>
      </c>
      <c r="C1416" s="7" t="s">
        <v>115</v>
      </c>
      <c r="D1416" s="7">
        <f t="shared" si="27"/>
        <v>679</v>
      </c>
      <c r="E1416" s="7">
        <v>1910</v>
      </c>
      <c r="F1416" s="7">
        <v>112</v>
      </c>
      <c r="G1416" s="7">
        <v>67774</v>
      </c>
    </row>
    <row r="1417" spans="1:7" ht="18" x14ac:dyDescent="0.2">
      <c r="A1417" s="7" t="s">
        <v>37</v>
      </c>
      <c r="B1417" s="7" t="s">
        <v>0</v>
      </c>
      <c r="C1417" s="7" t="s">
        <v>115</v>
      </c>
      <c r="D1417" s="7">
        <f t="shared" si="27"/>
        <v>686</v>
      </c>
      <c r="E1417" s="7">
        <v>1910</v>
      </c>
      <c r="F1417" s="7">
        <v>112</v>
      </c>
      <c r="G1417" s="7">
        <v>68558</v>
      </c>
    </row>
    <row r="1418" spans="1:7" ht="18" x14ac:dyDescent="0.2">
      <c r="A1418" s="7" t="s">
        <v>37</v>
      </c>
      <c r="B1418" s="7" t="s">
        <v>0</v>
      </c>
      <c r="C1418" s="7" t="s">
        <v>115</v>
      </c>
      <c r="D1418" s="7">
        <f t="shared" si="27"/>
        <v>693</v>
      </c>
      <c r="E1418" s="7">
        <v>1910</v>
      </c>
      <c r="F1418" s="7">
        <v>112</v>
      </c>
      <c r="G1418" s="7">
        <v>69342</v>
      </c>
    </row>
    <row r="1419" spans="1:7" ht="18" x14ac:dyDescent="0.2">
      <c r="A1419" s="7" t="s">
        <v>37</v>
      </c>
      <c r="B1419" s="7" t="s">
        <v>0</v>
      </c>
      <c r="C1419" s="7" t="s">
        <v>115</v>
      </c>
      <c r="D1419" s="7">
        <f t="shared" si="27"/>
        <v>700</v>
      </c>
      <c r="E1419" s="7">
        <v>1910</v>
      </c>
      <c r="F1419" s="7">
        <v>112</v>
      </c>
      <c r="G1419" s="7">
        <v>70126</v>
      </c>
    </row>
    <row r="1420" spans="1:7" ht="18" x14ac:dyDescent="0.2">
      <c r="A1420" s="7" t="s">
        <v>37</v>
      </c>
      <c r="B1420" s="7" t="s">
        <v>0</v>
      </c>
      <c r="C1420" s="7" t="s">
        <v>116</v>
      </c>
      <c r="D1420" s="7">
        <v>7</v>
      </c>
      <c r="E1420" s="7">
        <v>72</v>
      </c>
      <c r="F1420" s="7">
        <v>10</v>
      </c>
      <c r="G1420" s="7">
        <v>70</v>
      </c>
    </row>
    <row r="1421" spans="1:7" ht="18" x14ac:dyDescent="0.2">
      <c r="A1421" s="7" t="s">
        <v>37</v>
      </c>
      <c r="B1421" s="7" t="s">
        <v>0</v>
      </c>
      <c r="C1421" s="7" t="s">
        <v>116</v>
      </c>
      <c r="D1421" s="7">
        <v>14</v>
      </c>
      <c r="E1421" s="7">
        <v>128</v>
      </c>
      <c r="F1421" s="7">
        <v>15</v>
      </c>
      <c r="G1421" s="7">
        <v>175</v>
      </c>
    </row>
    <row r="1422" spans="1:7" ht="18" x14ac:dyDescent="0.2">
      <c r="A1422" s="7" t="s">
        <v>37</v>
      </c>
      <c r="B1422" s="7" t="s">
        <v>0</v>
      </c>
      <c r="C1422" s="7" t="s">
        <v>116</v>
      </c>
      <c r="D1422" s="7">
        <f>D1421+7</f>
        <v>21</v>
      </c>
      <c r="E1422" s="7">
        <v>195</v>
      </c>
      <c r="F1422" s="7">
        <v>22</v>
      </c>
      <c r="G1422" s="7">
        <v>329</v>
      </c>
    </row>
    <row r="1423" spans="1:7" ht="18" x14ac:dyDescent="0.2">
      <c r="A1423" s="7" t="s">
        <v>37</v>
      </c>
      <c r="B1423" s="7" t="s">
        <v>0</v>
      </c>
      <c r="C1423" s="7" t="s">
        <v>116</v>
      </c>
      <c r="D1423" s="7">
        <f>D1422+7</f>
        <v>28</v>
      </c>
      <c r="E1423" s="7">
        <v>278</v>
      </c>
      <c r="F1423" s="7">
        <v>31</v>
      </c>
      <c r="G1423" s="7">
        <v>546</v>
      </c>
    </row>
    <row r="1424" spans="1:7" ht="18" x14ac:dyDescent="0.2">
      <c r="A1424" s="7" t="s">
        <v>37</v>
      </c>
      <c r="B1424" s="7" t="s">
        <v>0</v>
      </c>
      <c r="C1424" s="7" t="s">
        <v>116</v>
      </c>
      <c r="D1424" s="7">
        <f t="shared" ref="D1424:D1487" si="28">D1423+7</f>
        <v>35</v>
      </c>
      <c r="E1424" s="7">
        <v>355</v>
      </c>
      <c r="F1424" s="7">
        <v>35</v>
      </c>
      <c r="G1424" s="7">
        <v>791</v>
      </c>
    </row>
    <row r="1425" spans="1:7" ht="18" x14ac:dyDescent="0.2">
      <c r="A1425" s="7" t="s">
        <v>37</v>
      </c>
      <c r="B1425" s="7" t="s">
        <v>0</v>
      </c>
      <c r="C1425" s="7" t="s">
        <v>116</v>
      </c>
      <c r="D1425" s="7">
        <f t="shared" si="28"/>
        <v>42</v>
      </c>
      <c r="E1425" s="7">
        <v>438</v>
      </c>
      <c r="F1425" s="7">
        <v>41</v>
      </c>
      <c r="G1425" s="7">
        <v>1078</v>
      </c>
    </row>
    <row r="1426" spans="1:7" ht="18" x14ac:dyDescent="0.2">
      <c r="A1426" s="7" t="s">
        <v>37</v>
      </c>
      <c r="B1426" s="7" t="s">
        <v>0</v>
      </c>
      <c r="C1426" s="7" t="s">
        <v>116</v>
      </c>
      <c r="D1426" s="7">
        <f t="shared" si="28"/>
        <v>49</v>
      </c>
      <c r="E1426" s="7">
        <v>515</v>
      </c>
      <c r="F1426" s="7">
        <v>45</v>
      </c>
      <c r="G1426" s="7">
        <v>1393</v>
      </c>
    </row>
    <row r="1427" spans="1:7" ht="18" x14ac:dyDescent="0.2">
      <c r="A1427" s="7" t="s">
        <v>37</v>
      </c>
      <c r="B1427" s="7" t="s">
        <v>0</v>
      </c>
      <c r="C1427" s="7" t="s">
        <v>116</v>
      </c>
      <c r="D1427" s="7">
        <f t="shared" si="28"/>
        <v>56</v>
      </c>
      <c r="E1427" s="7">
        <v>590</v>
      </c>
      <c r="F1427" s="7">
        <v>48</v>
      </c>
      <c r="G1427" s="7">
        <v>1729</v>
      </c>
    </row>
    <row r="1428" spans="1:7" ht="18" x14ac:dyDescent="0.2">
      <c r="A1428" s="7" t="s">
        <v>37</v>
      </c>
      <c r="B1428" s="7" t="s">
        <v>0</v>
      </c>
      <c r="C1428" s="7" t="s">
        <v>116</v>
      </c>
      <c r="D1428" s="7">
        <f t="shared" si="28"/>
        <v>63</v>
      </c>
      <c r="E1428" s="7">
        <v>672</v>
      </c>
      <c r="F1428" s="7">
        <v>51</v>
      </c>
      <c r="G1428" s="7">
        <v>2086</v>
      </c>
    </row>
    <row r="1429" spans="1:7" ht="18" x14ac:dyDescent="0.2">
      <c r="A1429" s="7" t="s">
        <v>37</v>
      </c>
      <c r="B1429" s="7" t="s">
        <v>0</v>
      </c>
      <c r="C1429" s="7" t="s">
        <v>116</v>
      </c>
      <c r="D1429" s="7">
        <f t="shared" si="28"/>
        <v>70</v>
      </c>
      <c r="E1429" s="7">
        <v>745</v>
      </c>
      <c r="F1429" s="7">
        <v>53</v>
      </c>
      <c r="G1429" s="7">
        <v>2457</v>
      </c>
    </row>
    <row r="1430" spans="1:7" ht="18" x14ac:dyDescent="0.2">
      <c r="A1430" s="7" t="s">
        <v>37</v>
      </c>
      <c r="B1430" s="7" t="s">
        <v>0</v>
      </c>
      <c r="C1430" s="7" t="s">
        <v>116</v>
      </c>
      <c r="D1430" s="7">
        <f t="shared" si="28"/>
        <v>77</v>
      </c>
      <c r="E1430" s="7">
        <v>818</v>
      </c>
      <c r="F1430" s="7">
        <v>55</v>
      </c>
      <c r="G1430" s="7">
        <v>2842</v>
      </c>
    </row>
    <row r="1431" spans="1:7" ht="18" x14ac:dyDescent="0.2">
      <c r="A1431" s="7" t="s">
        <v>37</v>
      </c>
      <c r="B1431" s="7" t="s">
        <v>0</v>
      </c>
      <c r="C1431" s="7" t="s">
        <v>116</v>
      </c>
      <c r="D1431" s="7">
        <f t="shared" si="28"/>
        <v>84</v>
      </c>
      <c r="E1431" s="7">
        <v>890</v>
      </c>
      <c r="F1431" s="7">
        <v>57</v>
      </c>
      <c r="G1431" s="7">
        <v>3241</v>
      </c>
    </row>
    <row r="1432" spans="1:7" ht="18" x14ac:dyDescent="0.2">
      <c r="A1432" s="7" t="s">
        <v>37</v>
      </c>
      <c r="B1432" s="7" t="s">
        <v>0</v>
      </c>
      <c r="C1432" s="7" t="s">
        <v>116</v>
      </c>
      <c r="D1432" s="7">
        <f t="shared" si="28"/>
        <v>91</v>
      </c>
      <c r="E1432" s="7">
        <v>955</v>
      </c>
      <c r="F1432" s="7">
        <v>60</v>
      </c>
      <c r="G1432" s="7">
        <v>3661</v>
      </c>
    </row>
    <row r="1433" spans="1:7" ht="18" x14ac:dyDescent="0.2">
      <c r="A1433" s="7" t="s">
        <v>37</v>
      </c>
      <c r="B1433" s="7" t="s">
        <v>0</v>
      </c>
      <c r="C1433" s="7" t="s">
        <v>116</v>
      </c>
      <c r="D1433" s="7">
        <f t="shared" si="28"/>
        <v>98</v>
      </c>
      <c r="E1433" s="7">
        <v>1018</v>
      </c>
      <c r="F1433" s="7">
        <v>63</v>
      </c>
      <c r="G1433" s="7">
        <v>4102</v>
      </c>
    </row>
    <row r="1434" spans="1:7" ht="18" x14ac:dyDescent="0.2">
      <c r="A1434" s="7" t="s">
        <v>37</v>
      </c>
      <c r="B1434" s="7" t="s">
        <v>0</v>
      </c>
      <c r="C1434" s="7" t="s">
        <v>116</v>
      </c>
      <c r="D1434" s="7">
        <f t="shared" si="28"/>
        <v>105</v>
      </c>
      <c r="E1434" s="7">
        <v>1085</v>
      </c>
      <c r="F1434" s="7">
        <v>66</v>
      </c>
      <c r="G1434" s="7">
        <v>4564</v>
      </c>
    </row>
    <row r="1435" spans="1:7" ht="18" x14ac:dyDescent="0.2">
      <c r="A1435" s="7" t="s">
        <v>37</v>
      </c>
      <c r="B1435" s="7" t="s">
        <v>0</v>
      </c>
      <c r="C1435" s="7" t="s">
        <v>116</v>
      </c>
      <c r="D1435" s="7">
        <f t="shared" si="28"/>
        <v>112</v>
      </c>
      <c r="E1435" s="7">
        <v>1155</v>
      </c>
      <c r="F1435" s="7">
        <v>69</v>
      </c>
      <c r="G1435" s="7">
        <v>5047</v>
      </c>
    </row>
    <row r="1436" spans="1:7" ht="18" x14ac:dyDescent="0.2">
      <c r="A1436" s="7" t="s">
        <v>37</v>
      </c>
      <c r="B1436" s="7" t="s">
        <v>0</v>
      </c>
      <c r="C1436" s="7" t="s">
        <v>116</v>
      </c>
      <c r="D1436" s="7">
        <f t="shared" si="28"/>
        <v>119</v>
      </c>
      <c r="E1436" s="7">
        <v>1222</v>
      </c>
      <c r="F1436" s="7">
        <v>72</v>
      </c>
      <c r="G1436" s="7">
        <v>5551</v>
      </c>
    </row>
    <row r="1437" spans="1:7" ht="18" x14ac:dyDescent="0.2">
      <c r="A1437" s="7" t="s">
        <v>37</v>
      </c>
      <c r="B1437" s="7" t="s">
        <v>0</v>
      </c>
      <c r="C1437" s="7" t="s">
        <v>116</v>
      </c>
      <c r="D1437" s="7">
        <f t="shared" si="28"/>
        <v>126</v>
      </c>
      <c r="E1437" s="7">
        <v>1250</v>
      </c>
      <c r="F1437" s="7">
        <v>78</v>
      </c>
      <c r="G1437" s="7">
        <v>6097</v>
      </c>
    </row>
    <row r="1438" spans="1:7" ht="18" x14ac:dyDescent="0.2">
      <c r="A1438" s="7" t="s">
        <v>37</v>
      </c>
      <c r="B1438" s="7" t="s">
        <v>0</v>
      </c>
      <c r="C1438" s="7" t="s">
        <v>116</v>
      </c>
      <c r="D1438" s="7">
        <f t="shared" si="28"/>
        <v>133</v>
      </c>
      <c r="E1438" s="7">
        <v>1315</v>
      </c>
      <c r="F1438" s="7">
        <v>84</v>
      </c>
      <c r="G1438" s="7">
        <v>6685</v>
      </c>
    </row>
    <row r="1439" spans="1:7" ht="18" x14ac:dyDescent="0.2">
      <c r="A1439" s="7" t="s">
        <v>37</v>
      </c>
      <c r="B1439" s="7" t="s">
        <v>0</v>
      </c>
      <c r="C1439" s="7" t="s">
        <v>116</v>
      </c>
      <c r="D1439" s="7">
        <f t="shared" si="28"/>
        <v>140</v>
      </c>
      <c r="E1439" s="7">
        <v>1365</v>
      </c>
      <c r="F1439" s="7">
        <v>89</v>
      </c>
      <c r="G1439" s="7">
        <v>7308</v>
      </c>
    </row>
    <row r="1440" spans="1:7" ht="18" x14ac:dyDescent="0.2">
      <c r="A1440" s="7" t="s">
        <v>37</v>
      </c>
      <c r="B1440" s="7" t="s">
        <v>0</v>
      </c>
      <c r="C1440" s="7" t="s">
        <v>116</v>
      </c>
      <c r="D1440" s="7">
        <f t="shared" si="28"/>
        <v>147</v>
      </c>
      <c r="E1440" s="7">
        <v>1405</v>
      </c>
      <c r="F1440" s="7">
        <v>95</v>
      </c>
      <c r="G1440" s="7">
        <v>7973</v>
      </c>
    </row>
    <row r="1441" spans="1:7" ht="18" x14ac:dyDescent="0.2">
      <c r="A1441" s="7" t="s">
        <v>37</v>
      </c>
      <c r="B1441" s="7" t="s">
        <v>0</v>
      </c>
      <c r="C1441" s="7" t="s">
        <v>116</v>
      </c>
      <c r="D1441" s="7">
        <f t="shared" si="28"/>
        <v>154</v>
      </c>
      <c r="E1441" s="7">
        <v>1450</v>
      </c>
      <c r="F1441" s="7">
        <v>99</v>
      </c>
      <c r="G1441" s="7">
        <v>8666</v>
      </c>
    </row>
    <row r="1442" spans="1:7" ht="18" x14ac:dyDescent="0.2">
      <c r="A1442" s="7" t="s">
        <v>37</v>
      </c>
      <c r="B1442" s="7" t="s">
        <v>0</v>
      </c>
      <c r="C1442" s="7" t="s">
        <v>116</v>
      </c>
      <c r="D1442" s="7">
        <f t="shared" si="28"/>
        <v>161</v>
      </c>
      <c r="E1442" s="7">
        <v>1485</v>
      </c>
      <c r="F1442" s="7">
        <v>103</v>
      </c>
      <c r="G1442" s="7">
        <v>9387</v>
      </c>
    </row>
    <row r="1443" spans="1:7" ht="18" x14ac:dyDescent="0.2">
      <c r="A1443" s="7" t="s">
        <v>37</v>
      </c>
      <c r="B1443" s="7" t="s">
        <v>0</v>
      </c>
      <c r="C1443" s="7" t="s">
        <v>116</v>
      </c>
      <c r="D1443" s="7">
        <f t="shared" si="28"/>
        <v>168</v>
      </c>
      <c r="E1443" s="7">
        <v>1515</v>
      </c>
      <c r="F1443" s="7">
        <v>105</v>
      </c>
      <c r="G1443" s="7">
        <v>10122</v>
      </c>
    </row>
    <row r="1444" spans="1:7" ht="18" x14ac:dyDescent="0.2">
      <c r="A1444" s="7" t="s">
        <v>37</v>
      </c>
      <c r="B1444" s="7" t="s">
        <v>0</v>
      </c>
      <c r="C1444" s="7" t="s">
        <v>116</v>
      </c>
      <c r="D1444" s="7">
        <f t="shared" si="28"/>
        <v>175</v>
      </c>
      <c r="E1444" s="7">
        <v>1545</v>
      </c>
      <c r="F1444" s="7">
        <v>107</v>
      </c>
      <c r="G1444" s="7">
        <v>10871</v>
      </c>
    </row>
    <row r="1445" spans="1:7" ht="18" x14ac:dyDescent="0.2">
      <c r="A1445" s="7" t="s">
        <v>37</v>
      </c>
      <c r="B1445" s="7" t="s">
        <v>0</v>
      </c>
      <c r="C1445" s="7" t="s">
        <v>116</v>
      </c>
      <c r="D1445" s="7">
        <f t="shared" si="28"/>
        <v>182</v>
      </c>
      <c r="E1445" s="7">
        <v>1575</v>
      </c>
      <c r="F1445" s="7">
        <v>108</v>
      </c>
      <c r="G1445" s="7">
        <v>11627</v>
      </c>
    </row>
    <row r="1446" spans="1:7" ht="18" x14ac:dyDescent="0.2">
      <c r="A1446" s="7" t="s">
        <v>37</v>
      </c>
      <c r="B1446" s="7" t="s">
        <v>0</v>
      </c>
      <c r="C1446" s="7" t="s">
        <v>116</v>
      </c>
      <c r="D1446" s="7">
        <f t="shared" si="28"/>
        <v>189</v>
      </c>
      <c r="E1446" s="7">
        <v>1600</v>
      </c>
      <c r="F1446" s="7">
        <v>108</v>
      </c>
      <c r="G1446" s="7">
        <v>12383</v>
      </c>
    </row>
    <row r="1447" spans="1:7" ht="18" x14ac:dyDescent="0.2">
      <c r="A1447" s="7" t="s">
        <v>37</v>
      </c>
      <c r="B1447" s="7" t="s">
        <v>0</v>
      </c>
      <c r="C1447" s="7" t="s">
        <v>116</v>
      </c>
      <c r="D1447" s="7">
        <f t="shared" si="28"/>
        <v>196</v>
      </c>
      <c r="E1447" s="7">
        <v>1625</v>
      </c>
      <c r="F1447" s="7">
        <v>108</v>
      </c>
      <c r="G1447" s="7">
        <v>13139</v>
      </c>
    </row>
    <row r="1448" spans="1:7" ht="18" x14ac:dyDescent="0.2">
      <c r="A1448" s="7" t="s">
        <v>37</v>
      </c>
      <c r="B1448" s="7" t="s">
        <v>0</v>
      </c>
      <c r="C1448" s="7" t="s">
        <v>116</v>
      </c>
      <c r="D1448" s="7">
        <f t="shared" si="28"/>
        <v>203</v>
      </c>
      <c r="E1448" s="7">
        <v>1635</v>
      </c>
      <c r="F1448" s="7">
        <v>108</v>
      </c>
      <c r="G1448" s="7">
        <v>13895</v>
      </c>
    </row>
    <row r="1449" spans="1:7" ht="18" x14ac:dyDescent="0.2">
      <c r="A1449" s="7" t="s">
        <v>37</v>
      </c>
      <c r="B1449" s="7" t="s">
        <v>0</v>
      </c>
      <c r="C1449" s="7" t="s">
        <v>116</v>
      </c>
      <c r="D1449" s="7">
        <f t="shared" si="28"/>
        <v>210</v>
      </c>
      <c r="E1449" s="7">
        <v>1645</v>
      </c>
      <c r="F1449" s="7">
        <v>108</v>
      </c>
      <c r="G1449" s="7">
        <v>14651</v>
      </c>
    </row>
    <row r="1450" spans="1:7" ht="18" x14ac:dyDescent="0.2">
      <c r="A1450" s="7" t="s">
        <v>37</v>
      </c>
      <c r="B1450" s="7" t="s">
        <v>0</v>
      </c>
      <c r="C1450" s="7" t="s">
        <v>116</v>
      </c>
      <c r="D1450" s="7">
        <f t="shared" si="28"/>
        <v>217</v>
      </c>
      <c r="E1450" s="7">
        <v>1647</v>
      </c>
      <c r="F1450" s="7">
        <v>108</v>
      </c>
      <c r="G1450" s="7">
        <v>15407</v>
      </c>
    </row>
    <row r="1451" spans="1:7" ht="18" x14ac:dyDescent="0.2">
      <c r="A1451" s="7" t="s">
        <v>37</v>
      </c>
      <c r="B1451" s="7" t="s">
        <v>0</v>
      </c>
      <c r="C1451" s="7" t="s">
        <v>116</v>
      </c>
      <c r="D1451" s="7">
        <f t="shared" si="28"/>
        <v>224</v>
      </c>
      <c r="E1451" s="7">
        <v>1650</v>
      </c>
      <c r="F1451" s="7">
        <v>108</v>
      </c>
      <c r="G1451" s="7">
        <v>16163</v>
      </c>
    </row>
    <row r="1452" spans="1:7" ht="18" x14ac:dyDescent="0.2">
      <c r="A1452" s="7" t="s">
        <v>37</v>
      </c>
      <c r="B1452" s="7" t="s">
        <v>0</v>
      </c>
      <c r="C1452" s="7" t="s">
        <v>116</v>
      </c>
      <c r="D1452" s="7">
        <f t="shared" si="28"/>
        <v>231</v>
      </c>
      <c r="E1452" s="7">
        <v>1655</v>
      </c>
      <c r="F1452" s="7">
        <v>108</v>
      </c>
      <c r="G1452" s="7">
        <v>16919</v>
      </c>
    </row>
    <row r="1453" spans="1:7" ht="18" x14ac:dyDescent="0.2">
      <c r="A1453" s="7" t="s">
        <v>37</v>
      </c>
      <c r="B1453" s="7" t="s">
        <v>0</v>
      </c>
      <c r="C1453" s="7" t="s">
        <v>116</v>
      </c>
      <c r="D1453" s="7">
        <f t="shared" si="28"/>
        <v>238</v>
      </c>
      <c r="E1453" s="7">
        <v>1660</v>
      </c>
      <c r="F1453" s="7">
        <v>108</v>
      </c>
      <c r="G1453" s="7">
        <v>17675</v>
      </c>
    </row>
    <row r="1454" spans="1:7" ht="18" x14ac:dyDescent="0.2">
      <c r="A1454" s="7" t="s">
        <v>37</v>
      </c>
      <c r="B1454" s="7" t="s">
        <v>0</v>
      </c>
      <c r="C1454" s="7" t="s">
        <v>116</v>
      </c>
      <c r="D1454" s="7">
        <f t="shared" si="28"/>
        <v>245</v>
      </c>
      <c r="E1454" s="7">
        <v>1665</v>
      </c>
      <c r="F1454" s="7">
        <v>108</v>
      </c>
      <c r="G1454" s="7">
        <v>18431</v>
      </c>
    </row>
    <row r="1455" spans="1:7" ht="18" x14ac:dyDescent="0.2">
      <c r="A1455" s="7" t="s">
        <v>37</v>
      </c>
      <c r="B1455" s="7" t="s">
        <v>0</v>
      </c>
      <c r="C1455" s="7" t="s">
        <v>116</v>
      </c>
      <c r="D1455" s="7">
        <f t="shared" si="28"/>
        <v>252</v>
      </c>
      <c r="E1455" s="7">
        <v>1669</v>
      </c>
      <c r="F1455" s="7">
        <v>108</v>
      </c>
      <c r="G1455" s="7">
        <v>19187</v>
      </c>
    </row>
    <row r="1456" spans="1:7" ht="18" x14ac:dyDescent="0.2">
      <c r="A1456" s="7" t="s">
        <v>37</v>
      </c>
      <c r="B1456" s="7" t="s">
        <v>0</v>
      </c>
      <c r="C1456" s="7" t="s">
        <v>116</v>
      </c>
      <c r="D1456" s="7">
        <f t="shared" si="28"/>
        <v>259</v>
      </c>
      <c r="E1456" s="7">
        <v>1673</v>
      </c>
      <c r="F1456" s="7">
        <v>108</v>
      </c>
      <c r="G1456" s="7">
        <v>19943</v>
      </c>
    </row>
    <row r="1457" spans="1:7" ht="18" x14ac:dyDescent="0.2">
      <c r="A1457" s="7" t="s">
        <v>37</v>
      </c>
      <c r="B1457" s="7" t="s">
        <v>0</v>
      </c>
      <c r="C1457" s="7" t="s">
        <v>116</v>
      </c>
      <c r="D1457" s="7">
        <f t="shared" si="28"/>
        <v>266</v>
      </c>
      <c r="E1457" s="7">
        <v>1677</v>
      </c>
      <c r="F1457" s="7">
        <v>108</v>
      </c>
      <c r="G1457" s="7">
        <v>20699</v>
      </c>
    </row>
    <row r="1458" spans="1:7" ht="18" x14ac:dyDescent="0.2">
      <c r="A1458" s="7" t="s">
        <v>37</v>
      </c>
      <c r="B1458" s="7" t="s">
        <v>0</v>
      </c>
      <c r="C1458" s="7" t="s">
        <v>116</v>
      </c>
      <c r="D1458" s="7">
        <f t="shared" si="28"/>
        <v>273</v>
      </c>
      <c r="E1458" s="7">
        <v>1681</v>
      </c>
      <c r="F1458" s="7">
        <v>108</v>
      </c>
      <c r="G1458" s="7">
        <v>21455</v>
      </c>
    </row>
    <row r="1459" spans="1:7" ht="18" x14ac:dyDescent="0.2">
      <c r="A1459" s="7" t="s">
        <v>37</v>
      </c>
      <c r="B1459" s="7" t="s">
        <v>0</v>
      </c>
      <c r="C1459" s="7" t="s">
        <v>116</v>
      </c>
      <c r="D1459" s="7">
        <f t="shared" si="28"/>
        <v>280</v>
      </c>
      <c r="E1459" s="7">
        <v>1685</v>
      </c>
      <c r="F1459" s="7">
        <v>108</v>
      </c>
      <c r="G1459" s="7">
        <v>22211</v>
      </c>
    </row>
    <row r="1460" spans="1:7" ht="18" x14ac:dyDescent="0.2">
      <c r="A1460" s="7" t="s">
        <v>37</v>
      </c>
      <c r="B1460" s="7" t="s">
        <v>0</v>
      </c>
      <c r="C1460" s="7" t="s">
        <v>116</v>
      </c>
      <c r="D1460" s="7">
        <f t="shared" si="28"/>
        <v>287</v>
      </c>
      <c r="E1460" s="7">
        <v>1686</v>
      </c>
      <c r="F1460" s="7">
        <v>108</v>
      </c>
      <c r="G1460" s="7">
        <v>22967</v>
      </c>
    </row>
    <row r="1461" spans="1:7" ht="18" x14ac:dyDescent="0.2">
      <c r="A1461" s="7" t="s">
        <v>37</v>
      </c>
      <c r="B1461" s="7" t="s">
        <v>0</v>
      </c>
      <c r="C1461" s="7" t="s">
        <v>116</v>
      </c>
      <c r="D1461" s="7">
        <f t="shared" si="28"/>
        <v>294</v>
      </c>
      <c r="E1461" s="7">
        <v>1686</v>
      </c>
      <c r="F1461" s="7">
        <v>108</v>
      </c>
      <c r="G1461" s="7">
        <v>23723</v>
      </c>
    </row>
    <row r="1462" spans="1:7" ht="18" x14ac:dyDescent="0.2">
      <c r="A1462" s="7" t="s">
        <v>37</v>
      </c>
      <c r="B1462" s="7" t="s">
        <v>0</v>
      </c>
      <c r="C1462" s="7" t="s">
        <v>116</v>
      </c>
      <c r="D1462" s="7">
        <f t="shared" si="28"/>
        <v>301</v>
      </c>
      <c r="E1462" s="7">
        <v>1687</v>
      </c>
      <c r="F1462" s="7">
        <v>108</v>
      </c>
      <c r="G1462" s="7">
        <v>24479</v>
      </c>
    </row>
    <row r="1463" spans="1:7" ht="18" x14ac:dyDescent="0.2">
      <c r="A1463" s="7" t="s">
        <v>37</v>
      </c>
      <c r="B1463" s="7" t="s">
        <v>0</v>
      </c>
      <c r="C1463" s="7" t="s">
        <v>116</v>
      </c>
      <c r="D1463" s="7">
        <f t="shared" si="28"/>
        <v>308</v>
      </c>
      <c r="E1463" s="7">
        <v>1687</v>
      </c>
      <c r="F1463" s="7">
        <v>108</v>
      </c>
      <c r="G1463" s="7">
        <v>25235</v>
      </c>
    </row>
    <row r="1464" spans="1:7" ht="18" x14ac:dyDescent="0.2">
      <c r="A1464" s="7" t="s">
        <v>37</v>
      </c>
      <c r="B1464" s="7" t="s">
        <v>0</v>
      </c>
      <c r="C1464" s="7" t="s">
        <v>116</v>
      </c>
      <c r="D1464" s="7">
        <f t="shared" si="28"/>
        <v>315</v>
      </c>
      <c r="E1464" s="7">
        <v>1688</v>
      </c>
      <c r="F1464" s="7">
        <v>108</v>
      </c>
      <c r="G1464" s="7">
        <v>25991</v>
      </c>
    </row>
    <row r="1465" spans="1:7" ht="18" x14ac:dyDescent="0.2">
      <c r="A1465" s="7" t="s">
        <v>37</v>
      </c>
      <c r="B1465" s="7" t="s">
        <v>0</v>
      </c>
      <c r="C1465" s="7" t="s">
        <v>116</v>
      </c>
      <c r="D1465" s="7">
        <f t="shared" si="28"/>
        <v>322</v>
      </c>
      <c r="E1465" s="7">
        <v>1688</v>
      </c>
      <c r="F1465" s="7">
        <v>108</v>
      </c>
      <c r="G1465" s="7">
        <v>26747</v>
      </c>
    </row>
    <row r="1466" spans="1:7" ht="18" x14ac:dyDescent="0.2">
      <c r="A1466" s="7" t="s">
        <v>37</v>
      </c>
      <c r="B1466" s="7" t="s">
        <v>0</v>
      </c>
      <c r="C1466" s="7" t="s">
        <v>116</v>
      </c>
      <c r="D1466" s="7">
        <f t="shared" si="28"/>
        <v>329</v>
      </c>
      <c r="E1466" s="7">
        <v>1689</v>
      </c>
      <c r="F1466" s="7">
        <v>108</v>
      </c>
      <c r="G1466" s="7">
        <v>27503</v>
      </c>
    </row>
    <row r="1467" spans="1:7" ht="18" x14ac:dyDescent="0.2">
      <c r="A1467" s="7" t="s">
        <v>37</v>
      </c>
      <c r="B1467" s="7" t="s">
        <v>0</v>
      </c>
      <c r="C1467" s="7" t="s">
        <v>116</v>
      </c>
      <c r="D1467" s="7">
        <f t="shared" si="28"/>
        <v>336</v>
      </c>
      <c r="E1467" s="7">
        <v>1689</v>
      </c>
      <c r="F1467" s="7">
        <v>108</v>
      </c>
      <c r="G1467" s="7">
        <v>28259</v>
      </c>
    </row>
    <row r="1468" spans="1:7" ht="18" x14ac:dyDescent="0.2">
      <c r="A1468" s="7" t="s">
        <v>37</v>
      </c>
      <c r="B1468" s="7" t="s">
        <v>0</v>
      </c>
      <c r="C1468" s="7" t="s">
        <v>116</v>
      </c>
      <c r="D1468" s="7">
        <f t="shared" si="28"/>
        <v>343</v>
      </c>
      <c r="E1468" s="7">
        <v>1690</v>
      </c>
      <c r="F1468" s="7">
        <v>108</v>
      </c>
      <c r="G1468" s="7">
        <v>29015</v>
      </c>
    </row>
    <row r="1469" spans="1:7" ht="18" x14ac:dyDescent="0.2">
      <c r="A1469" s="7" t="s">
        <v>37</v>
      </c>
      <c r="B1469" s="7" t="s">
        <v>0</v>
      </c>
      <c r="C1469" s="7" t="s">
        <v>116</v>
      </c>
      <c r="D1469" s="7">
        <f t="shared" si="28"/>
        <v>350</v>
      </c>
      <c r="E1469" s="7">
        <v>1690</v>
      </c>
      <c r="F1469" s="7">
        <v>108</v>
      </c>
      <c r="G1469" s="7">
        <v>29771</v>
      </c>
    </row>
    <row r="1470" spans="1:7" ht="18" x14ac:dyDescent="0.2">
      <c r="A1470" s="7" t="s">
        <v>37</v>
      </c>
      <c r="B1470" s="7" t="s">
        <v>0</v>
      </c>
      <c r="C1470" s="7" t="s">
        <v>116</v>
      </c>
      <c r="D1470" s="7">
        <f t="shared" si="28"/>
        <v>357</v>
      </c>
      <c r="E1470" s="7">
        <v>1691</v>
      </c>
      <c r="F1470" s="7">
        <v>108</v>
      </c>
      <c r="G1470" s="7">
        <v>30527</v>
      </c>
    </row>
    <row r="1471" spans="1:7" ht="18" x14ac:dyDescent="0.2">
      <c r="A1471" s="7" t="s">
        <v>37</v>
      </c>
      <c r="B1471" s="7" t="s">
        <v>0</v>
      </c>
      <c r="C1471" s="7" t="s">
        <v>116</v>
      </c>
      <c r="D1471" s="7">
        <f t="shared" si="28"/>
        <v>364</v>
      </c>
      <c r="E1471" s="7">
        <v>1691</v>
      </c>
      <c r="F1471" s="7">
        <v>108</v>
      </c>
      <c r="G1471" s="7">
        <v>31283</v>
      </c>
    </row>
    <row r="1472" spans="1:7" ht="18" x14ac:dyDescent="0.2">
      <c r="A1472" s="7" t="s">
        <v>37</v>
      </c>
      <c r="B1472" s="7" t="s">
        <v>0</v>
      </c>
      <c r="C1472" s="7" t="s">
        <v>116</v>
      </c>
      <c r="D1472" s="7">
        <f t="shared" si="28"/>
        <v>371</v>
      </c>
      <c r="E1472" s="7">
        <v>1692</v>
      </c>
      <c r="F1472" s="7">
        <v>108</v>
      </c>
      <c r="G1472" s="7">
        <v>32039</v>
      </c>
    </row>
    <row r="1473" spans="1:7" ht="18" x14ac:dyDescent="0.2">
      <c r="A1473" s="7" t="s">
        <v>37</v>
      </c>
      <c r="B1473" s="7" t="s">
        <v>0</v>
      </c>
      <c r="C1473" s="7" t="s">
        <v>116</v>
      </c>
      <c r="D1473" s="7">
        <f t="shared" si="28"/>
        <v>378</v>
      </c>
      <c r="E1473" s="7">
        <v>1692</v>
      </c>
      <c r="F1473" s="7">
        <v>108</v>
      </c>
      <c r="G1473" s="7">
        <v>32795</v>
      </c>
    </row>
    <row r="1474" spans="1:7" ht="18" x14ac:dyDescent="0.2">
      <c r="A1474" s="7" t="s">
        <v>37</v>
      </c>
      <c r="B1474" s="7" t="s">
        <v>0</v>
      </c>
      <c r="C1474" s="7" t="s">
        <v>116</v>
      </c>
      <c r="D1474" s="7">
        <f t="shared" si="28"/>
        <v>385</v>
      </c>
      <c r="E1474" s="7">
        <v>1693</v>
      </c>
      <c r="F1474" s="7">
        <v>108</v>
      </c>
      <c r="G1474" s="7">
        <v>33551</v>
      </c>
    </row>
    <row r="1475" spans="1:7" ht="18" x14ac:dyDescent="0.2">
      <c r="A1475" s="7" t="s">
        <v>37</v>
      </c>
      <c r="B1475" s="7" t="s">
        <v>0</v>
      </c>
      <c r="C1475" s="7" t="s">
        <v>116</v>
      </c>
      <c r="D1475" s="7">
        <f t="shared" si="28"/>
        <v>392</v>
      </c>
      <c r="E1475" s="7">
        <v>1693</v>
      </c>
      <c r="F1475" s="7">
        <v>108</v>
      </c>
      <c r="G1475" s="7">
        <v>34307</v>
      </c>
    </row>
    <row r="1476" spans="1:7" ht="18" x14ac:dyDescent="0.2">
      <c r="A1476" s="7" t="s">
        <v>37</v>
      </c>
      <c r="B1476" s="7" t="s">
        <v>0</v>
      </c>
      <c r="C1476" s="7" t="s">
        <v>116</v>
      </c>
      <c r="D1476" s="7">
        <f t="shared" si="28"/>
        <v>399</v>
      </c>
      <c r="E1476" s="7">
        <v>1694</v>
      </c>
      <c r="F1476" s="7">
        <v>108</v>
      </c>
      <c r="G1476" s="7">
        <v>35063</v>
      </c>
    </row>
    <row r="1477" spans="1:7" ht="18" x14ac:dyDescent="0.2">
      <c r="A1477" s="7" t="s">
        <v>37</v>
      </c>
      <c r="B1477" s="7" t="s">
        <v>0</v>
      </c>
      <c r="C1477" s="7" t="s">
        <v>116</v>
      </c>
      <c r="D1477" s="7">
        <f t="shared" si="28"/>
        <v>406</v>
      </c>
      <c r="E1477" s="7">
        <v>1694</v>
      </c>
      <c r="F1477" s="7">
        <v>108</v>
      </c>
      <c r="G1477" s="7">
        <v>35819</v>
      </c>
    </row>
    <row r="1478" spans="1:7" ht="18" x14ac:dyDescent="0.2">
      <c r="A1478" s="7" t="s">
        <v>37</v>
      </c>
      <c r="B1478" s="7" t="s">
        <v>0</v>
      </c>
      <c r="C1478" s="7" t="s">
        <v>116</v>
      </c>
      <c r="D1478" s="7">
        <f t="shared" si="28"/>
        <v>413</v>
      </c>
      <c r="E1478" s="7">
        <v>1695</v>
      </c>
      <c r="F1478" s="7">
        <v>108</v>
      </c>
      <c r="G1478" s="7">
        <v>36575</v>
      </c>
    </row>
    <row r="1479" spans="1:7" ht="18" x14ac:dyDescent="0.2">
      <c r="A1479" s="7" t="s">
        <v>37</v>
      </c>
      <c r="B1479" s="7" t="s">
        <v>0</v>
      </c>
      <c r="C1479" s="7" t="s">
        <v>116</v>
      </c>
      <c r="D1479" s="7">
        <f t="shared" si="28"/>
        <v>420</v>
      </c>
      <c r="E1479" s="7">
        <v>1695</v>
      </c>
      <c r="F1479" s="7">
        <v>108</v>
      </c>
      <c r="G1479" s="7">
        <v>37331</v>
      </c>
    </row>
    <row r="1480" spans="1:7" ht="18" x14ac:dyDescent="0.2">
      <c r="A1480" s="7" t="s">
        <v>37</v>
      </c>
      <c r="B1480" s="7" t="s">
        <v>0</v>
      </c>
      <c r="C1480" s="7" t="s">
        <v>116</v>
      </c>
      <c r="D1480" s="7">
        <f t="shared" si="28"/>
        <v>427</v>
      </c>
      <c r="E1480" s="7">
        <v>1696</v>
      </c>
      <c r="F1480" s="7">
        <v>108</v>
      </c>
      <c r="G1480" s="7">
        <v>38087</v>
      </c>
    </row>
    <row r="1481" spans="1:7" ht="18" x14ac:dyDescent="0.2">
      <c r="A1481" s="7" t="s">
        <v>37</v>
      </c>
      <c r="B1481" s="7" t="s">
        <v>0</v>
      </c>
      <c r="C1481" s="7" t="s">
        <v>116</v>
      </c>
      <c r="D1481" s="7">
        <f t="shared" si="28"/>
        <v>434</v>
      </c>
      <c r="E1481" s="7">
        <v>1697</v>
      </c>
      <c r="F1481" s="7">
        <v>108</v>
      </c>
      <c r="G1481" s="7">
        <v>38843</v>
      </c>
    </row>
    <row r="1482" spans="1:7" ht="18" x14ac:dyDescent="0.2">
      <c r="A1482" s="7" t="s">
        <v>37</v>
      </c>
      <c r="B1482" s="7" t="s">
        <v>0</v>
      </c>
      <c r="C1482" s="7" t="s">
        <v>116</v>
      </c>
      <c r="D1482" s="7">
        <f t="shared" si="28"/>
        <v>441</v>
      </c>
      <c r="E1482" s="7">
        <v>1698</v>
      </c>
      <c r="F1482" s="7">
        <v>108</v>
      </c>
      <c r="G1482" s="7">
        <v>39599</v>
      </c>
    </row>
    <row r="1483" spans="1:7" ht="18" x14ac:dyDescent="0.2">
      <c r="A1483" s="7" t="s">
        <v>37</v>
      </c>
      <c r="B1483" s="7" t="s">
        <v>0</v>
      </c>
      <c r="C1483" s="7" t="s">
        <v>116</v>
      </c>
      <c r="D1483" s="7">
        <f t="shared" si="28"/>
        <v>448</v>
      </c>
      <c r="E1483" s="7">
        <v>1699</v>
      </c>
      <c r="F1483" s="7">
        <v>108</v>
      </c>
      <c r="G1483" s="7">
        <v>40355</v>
      </c>
    </row>
    <row r="1484" spans="1:7" ht="18" x14ac:dyDescent="0.2">
      <c r="A1484" s="7" t="s">
        <v>37</v>
      </c>
      <c r="B1484" s="7" t="s">
        <v>0</v>
      </c>
      <c r="C1484" s="7" t="s">
        <v>116</v>
      </c>
      <c r="D1484" s="7">
        <f t="shared" si="28"/>
        <v>455</v>
      </c>
      <c r="E1484" s="7">
        <v>1700</v>
      </c>
      <c r="F1484" s="7">
        <v>108</v>
      </c>
      <c r="G1484" s="7">
        <v>41111</v>
      </c>
    </row>
    <row r="1485" spans="1:7" ht="18" x14ac:dyDescent="0.2">
      <c r="A1485" s="7" t="s">
        <v>37</v>
      </c>
      <c r="B1485" s="7" t="s">
        <v>0</v>
      </c>
      <c r="C1485" s="7" t="s">
        <v>116</v>
      </c>
      <c r="D1485" s="7">
        <f t="shared" si="28"/>
        <v>462</v>
      </c>
      <c r="E1485" s="7">
        <v>1701</v>
      </c>
      <c r="F1485" s="7">
        <v>108</v>
      </c>
      <c r="G1485" s="7">
        <v>41867</v>
      </c>
    </row>
    <row r="1486" spans="1:7" ht="18" x14ac:dyDescent="0.2">
      <c r="A1486" s="7" t="s">
        <v>37</v>
      </c>
      <c r="B1486" s="7" t="s">
        <v>0</v>
      </c>
      <c r="C1486" s="7" t="s">
        <v>116</v>
      </c>
      <c r="D1486" s="7">
        <f t="shared" si="28"/>
        <v>469</v>
      </c>
      <c r="E1486" s="7">
        <v>1702</v>
      </c>
      <c r="F1486" s="7">
        <v>108</v>
      </c>
      <c r="G1486" s="7">
        <v>42623</v>
      </c>
    </row>
    <row r="1487" spans="1:7" ht="18" x14ac:dyDescent="0.2">
      <c r="A1487" s="7" t="s">
        <v>37</v>
      </c>
      <c r="B1487" s="7" t="s">
        <v>0</v>
      </c>
      <c r="C1487" s="7" t="s">
        <v>116</v>
      </c>
      <c r="D1487" s="7">
        <f t="shared" si="28"/>
        <v>476</v>
      </c>
      <c r="E1487" s="7">
        <v>1703</v>
      </c>
      <c r="F1487" s="7">
        <v>108</v>
      </c>
      <c r="G1487" s="7">
        <v>43379</v>
      </c>
    </row>
    <row r="1488" spans="1:7" ht="18" x14ac:dyDescent="0.2">
      <c r="A1488" s="7" t="s">
        <v>37</v>
      </c>
      <c r="B1488" s="7" t="s">
        <v>0</v>
      </c>
      <c r="C1488" s="7" t="s">
        <v>116</v>
      </c>
      <c r="D1488" s="7">
        <f t="shared" ref="D1488:D1519" si="29">D1487+7</f>
        <v>483</v>
      </c>
      <c r="E1488" s="7">
        <v>1704</v>
      </c>
      <c r="F1488" s="7">
        <v>108</v>
      </c>
      <c r="G1488" s="7">
        <v>44135</v>
      </c>
    </row>
    <row r="1489" spans="1:7" ht="18" x14ac:dyDescent="0.2">
      <c r="A1489" s="7" t="s">
        <v>37</v>
      </c>
      <c r="B1489" s="7" t="s">
        <v>0</v>
      </c>
      <c r="C1489" s="7" t="s">
        <v>116</v>
      </c>
      <c r="D1489" s="7">
        <f t="shared" si="29"/>
        <v>490</v>
      </c>
      <c r="E1489" s="7">
        <v>1705</v>
      </c>
      <c r="F1489" s="7">
        <v>108</v>
      </c>
      <c r="G1489" s="7">
        <v>44891</v>
      </c>
    </row>
    <row r="1490" spans="1:7" ht="18" x14ac:dyDescent="0.2">
      <c r="A1490" s="7" t="s">
        <v>37</v>
      </c>
      <c r="B1490" s="7" t="s">
        <v>0</v>
      </c>
      <c r="C1490" s="7" t="s">
        <v>116</v>
      </c>
      <c r="D1490" s="7">
        <f t="shared" si="29"/>
        <v>497</v>
      </c>
      <c r="E1490" s="7">
        <v>1706</v>
      </c>
      <c r="F1490" s="7">
        <v>108</v>
      </c>
      <c r="G1490" s="7">
        <v>45647</v>
      </c>
    </row>
    <row r="1491" spans="1:7" ht="18" x14ac:dyDescent="0.2">
      <c r="A1491" s="7" t="s">
        <v>37</v>
      </c>
      <c r="B1491" s="7" t="s">
        <v>0</v>
      </c>
      <c r="C1491" s="7" t="s">
        <v>116</v>
      </c>
      <c r="D1491" s="7">
        <f t="shared" si="29"/>
        <v>504</v>
      </c>
      <c r="E1491" s="7">
        <v>1709</v>
      </c>
      <c r="F1491" s="7">
        <v>108</v>
      </c>
      <c r="G1491" s="7">
        <v>46403</v>
      </c>
    </row>
    <row r="1492" spans="1:7" ht="18" x14ac:dyDescent="0.2">
      <c r="A1492" s="7" t="s">
        <v>37</v>
      </c>
      <c r="B1492" s="7" t="s">
        <v>0</v>
      </c>
      <c r="C1492" s="7" t="s">
        <v>116</v>
      </c>
      <c r="D1492" s="7">
        <f t="shared" si="29"/>
        <v>511</v>
      </c>
      <c r="E1492" s="7">
        <v>1712</v>
      </c>
      <c r="F1492" s="7">
        <v>108</v>
      </c>
      <c r="G1492" s="7">
        <v>47159</v>
      </c>
    </row>
    <row r="1493" spans="1:7" ht="18" x14ac:dyDescent="0.2">
      <c r="A1493" s="7" t="s">
        <v>37</v>
      </c>
      <c r="B1493" s="7" t="s">
        <v>0</v>
      </c>
      <c r="C1493" s="7" t="s">
        <v>116</v>
      </c>
      <c r="D1493" s="7">
        <f t="shared" si="29"/>
        <v>518</v>
      </c>
      <c r="E1493" s="7">
        <v>1715</v>
      </c>
      <c r="F1493" s="7">
        <v>108</v>
      </c>
      <c r="G1493" s="7">
        <v>47915</v>
      </c>
    </row>
    <row r="1494" spans="1:7" ht="18" x14ac:dyDescent="0.2">
      <c r="A1494" s="7" t="s">
        <v>37</v>
      </c>
      <c r="B1494" s="7" t="s">
        <v>0</v>
      </c>
      <c r="C1494" s="7" t="s">
        <v>116</v>
      </c>
      <c r="D1494" s="7">
        <f t="shared" si="29"/>
        <v>525</v>
      </c>
      <c r="E1494" s="7">
        <v>1716</v>
      </c>
      <c r="F1494" s="7">
        <v>108</v>
      </c>
      <c r="G1494" s="7">
        <v>48671</v>
      </c>
    </row>
    <row r="1495" spans="1:7" ht="18" x14ac:dyDescent="0.2">
      <c r="A1495" s="7" t="s">
        <v>37</v>
      </c>
      <c r="B1495" s="7" t="s">
        <v>0</v>
      </c>
      <c r="C1495" s="7" t="s">
        <v>116</v>
      </c>
      <c r="D1495" s="7">
        <f t="shared" si="29"/>
        <v>532</v>
      </c>
      <c r="E1495" s="7">
        <v>1718</v>
      </c>
      <c r="F1495" s="7">
        <v>108</v>
      </c>
      <c r="G1495" s="7">
        <v>49427</v>
      </c>
    </row>
    <row r="1496" spans="1:7" ht="18" x14ac:dyDescent="0.2">
      <c r="A1496" s="7" t="s">
        <v>37</v>
      </c>
      <c r="B1496" s="7" t="s">
        <v>0</v>
      </c>
      <c r="C1496" s="7" t="s">
        <v>116</v>
      </c>
      <c r="D1496" s="7">
        <f t="shared" si="29"/>
        <v>539</v>
      </c>
      <c r="E1496" s="7">
        <v>1720</v>
      </c>
      <c r="F1496" s="7">
        <v>108</v>
      </c>
      <c r="G1496" s="7">
        <v>50183</v>
      </c>
    </row>
    <row r="1497" spans="1:7" ht="18" x14ac:dyDescent="0.2">
      <c r="A1497" s="7" t="s">
        <v>37</v>
      </c>
      <c r="B1497" s="7" t="s">
        <v>0</v>
      </c>
      <c r="C1497" s="7" t="s">
        <v>116</v>
      </c>
      <c r="D1497" s="7">
        <f t="shared" si="29"/>
        <v>546</v>
      </c>
      <c r="E1497" s="7">
        <v>1722</v>
      </c>
      <c r="F1497" s="7">
        <v>108</v>
      </c>
      <c r="G1497" s="7">
        <v>50939</v>
      </c>
    </row>
    <row r="1498" spans="1:7" ht="18" x14ac:dyDescent="0.2">
      <c r="A1498" s="7" t="s">
        <v>37</v>
      </c>
      <c r="B1498" s="7" t="s">
        <v>0</v>
      </c>
      <c r="C1498" s="7" t="s">
        <v>116</v>
      </c>
      <c r="D1498" s="7">
        <f t="shared" si="29"/>
        <v>553</v>
      </c>
      <c r="E1498" s="7">
        <v>1725</v>
      </c>
      <c r="F1498" s="7">
        <v>108</v>
      </c>
      <c r="G1498" s="7">
        <v>51695</v>
      </c>
    </row>
    <row r="1499" spans="1:7" ht="18" x14ac:dyDescent="0.2">
      <c r="A1499" s="7" t="s">
        <v>37</v>
      </c>
      <c r="B1499" s="7" t="s">
        <v>0</v>
      </c>
      <c r="C1499" s="7" t="s">
        <v>116</v>
      </c>
      <c r="D1499" s="7">
        <f t="shared" si="29"/>
        <v>560</v>
      </c>
      <c r="E1499" s="7">
        <v>1725</v>
      </c>
      <c r="F1499" s="7">
        <v>108</v>
      </c>
      <c r="G1499" s="7">
        <v>52451</v>
      </c>
    </row>
    <row r="1500" spans="1:7" ht="18" x14ac:dyDescent="0.2">
      <c r="A1500" s="7" t="s">
        <v>37</v>
      </c>
      <c r="B1500" s="7" t="s">
        <v>0</v>
      </c>
      <c r="C1500" s="7" t="s">
        <v>116</v>
      </c>
      <c r="D1500" s="7">
        <f t="shared" si="29"/>
        <v>567</v>
      </c>
      <c r="E1500" s="7">
        <v>1725</v>
      </c>
      <c r="F1500" s="7">
        <v>108</v>
      </c>
      <c r="G1500" s="7">
        <v>53207</v>
      </c>
    </row>
    <row r="1501" spans="1:7" ht="18" x14ac:dyDescent="0.2">
      <c r="A1501" s="7" t="s">
        <v>37</v>
      </c>
      <c r="B1501" s="7" t="s">
        <v>0</v>
      </c>
      <c r="C1501" s="7" t="s">
        <v>116</v>
      </c>
      <c r="D1501" s="7">
        <f t="shared" si="29"/>
        <v>574</v>
      </c>
      <c r="E1501" s="7">
        <v>1725</v>
      </c>
      <c r="F1501" s="7">
        <v>108</v>
      </c>
      <c r="G1501" s="7">
        <v>53963</v>
      </c>
    </row>
    <row r="1502" spans="1:7" ht="18" x14ac:dyDescent="0.2">
      <c r="A1502" s="7" t="s">
        <v>37</v>
      </c>
      <c r="B1502" s="7" t="s">
        <v>0</v>
      </c>
      <c r="C1502" s="7" t="s">
        <v>116</v>
      </c>
      <c r="D1502" s="7">
        <f t="shared" si="29"/>
        <v>581</v>
      </c>
      <c r="E1502" s="7">
        <v>1725</v>
      </c>
      <c r="F1502" s="7">
        <v>108</v>
      </c>
      <c r="G1502" s="7">
        <v>54719</v>
      </c>
    </row>
    <row r="1503" spans="1:7" ht="18" x14ac:dyDescent="0.2">
      <c r="A1503" s="7" t="s">
        <v>37</v>
      </c>
      <c r="B1503" s="7" t="s">
        <v>0</v>
      </c>
      <c r="C1503" s="7" t="s">
        <v>116</v>
      </c>
      <c r="D1503" s="7">
        <f t="shared" si="29"/>
        <v>588</v>
      </c>
      <c r="E1503" s="7">
        <v>1725</v>
      </c>
      <c r="F1503" s="7">
        <v>108</v>
      </c>
      <c r="G1503" s="7">
        <v>55475</v>
      </c>
    </row>
    <row r="1504" spans="1:7" ht="18" x14ac:dyDescent="0.2">
      <c r="A1504" s="7" t="s">
        <v>37</v>
      </c>
      <c r="B1504" s="7" t="s">
        <v>0</v>
      </c>
      <c r="C1504" s="7" t="s">
        <v>116</v>
      </c>
      <c r="D1504" s="7">
        <f t="shared" si="29"/>
        <v>595</v>
      </c>
      <c r="E1504" s="7">
        <v>1725</v>
      </c>
      <c r="F1504" s="7">
        <v>108</v>
      </c>
      <c r="G1504" s="7">
        <v>56231</v>
      </c>
    </row>
    <row r="1505" spans="1:7" ht="18" x14ac:dyDescent="0.2">
      <c r="A1505" s="7" t="s">
        <v>37</v>
      </c>
      <c r="B1505" s="7" t="s">
        <v>0</v>
      </c>
      <c r="C1505" s="7" t="s">
        <v>116</v>
      </c>
      <c r="D1505" s="7">
        <f t="shared" si="29"/>
        <v>602</v>
      </c>
      <c r="E1505" s="7">
        <v>1725</v>
      </c>
      <c r="F1505" s="7">
        <v>108</v>
      </c>
      <c r="G1505" s="7">
        <v>56987</v>
      </c>
    </row>
    <row r="1506" spans="1:7" ht="18" x14ac:dyDescent="0.2">
      <c r="A1506" s="7" t="s">
        <v>37</v>
      </c>
      <c r="B1506" s="7" t="s">
        <v>0</v>
      </c>
      <c r="C1506" s="7" t="s">
        <v>116</v>
      </c>
      <c r="D1506" s="7">
        <f t="shared" si="29"/>
        <v>609</v>
      </c>
      <c r="E1506" s="7">
        <v>1725</v>
      </c>
      <c r="F1506" s="7">
        <v>108</v>
      </c>
      <c r="G1506" s="7">
        <v>57743</v>
      </c>
    </row>
    <row r="1507" spans="1:7" ht="18" x14ac:dyDescent="0.2">
      <c r="A1507" s="7" t="s">
        <v>37</v>
      </c>
      <c r="B1507" s="7" t="s">
        <v>0</v>
      </c>
      <c r="C1507" s="7" t="s">
        <v>116</v>
      </c>
      <c r="D1507" s="7">
        <f t="shared" si="29"/>
        <v>616</v>
      </c>
      <c r="E1507" s="7">
        <v>1725</v>
      </c>
      <c r="F1507" s="7">
        <v>108</v>
      </c>
      <c r="G1507" s="7">
        <v>58499</v>
      </c>
    </row>
    <row r="1508" spans="1:7" ht="18" x14ac:dyDescent="0.2">
      <c r="A1508" s="7" t="s">
        <v>37</v>
      </c>
      <c r="B1508" s="7" t="s">
        <v>0</v>
      </c>
      <c r="C1508" s="7" t="s">
        <v>116</v>
      </c>
      <c r="D1508" s="7">
        <f t="shared" si="29"/>
        <v>623</v>
      </c>
      <c r="E1508" s="7">
        <v>1725</v>
      </c>
      <c r="F1508" s="7">
        <v>108</v>
      </c>
      <c r="G1508" s="7">
        <v>59255</v>
      </c>
    </row>
    <row r="1509" spans="1:7" ht="18" x14ac:dyDescent="0.2">
      <c r="A1509" s="7" t="s">
        <v>37</v>
      </c>
      <c r="B1509" s="7" t="s">
        <v>0</v>
      </c>
      <c r="C1509" s="7" t="s">
        <v>116</v>
      </c>
      <c r="D1509" s="7">
        <f t="shared" si="29"/>
        <v>630</v>
      </c>
      <c r="E1509" s="7">
        <v>1725</v>
      </c>
      <c r="F1509" s="7">
        <v>108</v>
      </c>
      <c r="G1509" s="7">
        <v>60011</v>
      </c>
    </row>
    <row r="1510" spans="1:7" ht="18" x14ac:dyDescent="0.2">
      <c r="A1510" s="7" t="s">
        <v>37</v>
      </c>
      <c r="B1510" s="7" t="s">
        <v>0</v>
      </c>
      <c r="C1510" s="7" t="s">
        <v>116</v>
      </c>
      <c r="D1510" s="7">
        <f t="shared" si="29"/>
        <v>637</v>
      </c>
      <c r="E1510" s="7">
        <v>1725</v>
      </c>
      <c r="F1510" s="7">
        <v>108</v>
      </c>
      <c r="G1510" s="7">
        <v>60767</v>
      </c>
    </row>
    <row r="1511" spans="1:7" ht="18" x14ac:dyDescent="0.2">
      <c r="A1511" s="7" t="s">
        <v>37</v>
      </c>
      <c r="B1511" s="7" t="s">
        <v>0</v>
      </c>
      <c r="C1511" s="7" t="s">
        <v>116</v>
      </c>
      <c r="D1511" s="7">
        <f t="shared" si="29"/>
        <v>644</v>
      </c>
      <c r="E1511" s="7">
        <v>1725</v>
      </c>
      <c r="F1511" s="7">
        <v>108</v>
      </c>
      <c r="G1511" s="7">
        <v>61523</v>
      </c>
    </row>
    <row r="1512" spans="1:7" ht="18" x14ac:dyDescent="0.2">
      <c r="A1512" s="7" t="s">
        <v>37</v>
      </c>
      <c r="B1512" s="7" t="s">
        <v>0</v>
      </c>
      <c r="C1512" s="7" t="s">
        <v>116</v>
      </c>
      <c r="D1512" s="7">
        <f t="shared" si="29"/>
        <v>651</v>
      </c>
      <c r="E1512" s="7">
        <v>1725</v>
      </c>
      <c r="F1512" s="7">
        <v>108</v>
      </c>
      <c r="G1512" s="7">
        <v>62279</v>
      </c>
    </row>
    <row r="1513" spans="1:7" ht="18" x14ac:dyDescent="0.2">
      <c r="A1513" s="7" t="s">
        <v>37</v>
      </c>
      <c r="B1513" s="7" t="s">
        <v>0</v>
      </c>
      <c r="C1513" s="7" t="s">
        <v>116</v>
      </c>
      <c r="D1513" s="7">
        <f t="shared" si="29"/>
        <v>658</v>
      </c>
      <c r="E1513" s="7">
        <v>1725</v>
      </c>
      <c r="F1513" s="7">
        <v>108</v>
      </c>
      <c r="G1513" s="7">
        <v>63035</v>
      </c>
    </row>
    <row r="1514" spans="1:7" ht="18" x14ac:dyDescent="0.2">
      <c r="A1514" s="7" t="s">
        <v>37</v>
      </c>
      <c r="B1514" s="7" t="s">
        <v>0</v>
      </c>
      <c r="C1514" s="7" t="s">
        <v>116</v>
      </c>
      <c r="D1514" s="7">
        <f t="shared" si="29"/>
        <v>665</v>
      </c>
      <c r="E1514" s="7">
        <v>1725</v>
      </c>
      <c r="F1514" s="7">
        <v>108</v>
      </c>
      <c r="G1514" s="7">
        <v>63791</v>
      </c>
    </row>
    <row r="1515" spans="1:7" ht="18" x14ac:dyDescent="0.2">
      <c r="A1515" s="7" t="s">
        <v>37</v>
      </c>
      <c r="B1515" s="7" t="s">
        <v>0</v>
      </c>
      <c r="C1515" s="7" t="s">
        <v>116</v>
      </c>
      <c r="D1515" s="7">
        <f t="shared" si="29"/>
        <v>672</v>
      </c>
      <c r="E1515" s="7">
        <v>1725</v>
      </c>
      <c r="F1515" s="7">
        <v>108</v>
      </c>
      <c r="G1515" s="7">
        <v>64547</v>
      </c>
    </row>
    <row r="1516" spans="1:7" ht="18" x14ac:dyDescent="0.2">
      <c r="A1516" s="7" t="s">
        <v>37</v>
      </c>
      <c r="B1516" s="7" t="s">
        <v>0</v>
      </c>
      <c r="C1516" s="7" t="s">
        <v>116</v>
      </c>
      <c r="D1516" s="7">
        <f t="shared" si="29"/>
        <v>679</v>
      </c>
      <c r="E1516" s="7">
        <v>1725</v>
      </c>
      <c r="F1516" s="7">
        <v>108</v>
      </c>
      <c r="G1516" s="7">
        <v>65303</v>
      </c>
    </row>
    <row r="1517" spans="1:7" ht="18" x14ac:dyDescent="0.2">
      <c r="A1517" s="7" t="s">
        <v>37</v>
      </c>
      <c r="B1517" s="7" t="s">
        <v>0</v>
      </c>
      <c r="C1517" s="7" t="s">
        <v>116</v>
      </c>
      <c r="D1517" s="7">
        <f t="shared" si="29"/>
        <v>686</v>
      </c>
      <c r="E1517" s="7">
        <v>1725</v>
      </c>
      <c r="F1517" s="7">
        <v>108</v>
      </c>
      <c r="G1517" s="7">
        <v>66059</v>
      </c>
    </row>
    <row r="1518" spans="1:7" ht="18" x14ac:dyDescent="0.2">
      <c r="A1518" s="7" t="s">
        <v>37</v>
      </c>
      <c r="B1518" s="7" t="s">
        <v>0</v>
      </c>
      <c r="C1518" s="7" t="s">
        <v>116</v>
      </c>
      <c r="D1518" s="7">
        <f t="shared" si="29"/>
        <v>693</v>
      </c>
      <c r="E1518" s="7">
        <v>1725</v>
      </c>
      <c r="F1518" s="7">
        <v>108</v>
      </c>
      <c r="G1518" s="7">
        <v>66815</v>
      </c>
    </row>
    <row r="1519" spans="1:7" ht="18" x14ac:dyDescent="0.2">
      <c r="A1519" s="7" t="s">
        <v>37</v>
      </c>
      <c r="B1519" s="7" t="s">
        <v>0</v>
      </c>
      <c r="C1519" s="7" t="s">
        <v>116</v>
      </c>
      <c r="D1519" s="7">
        <f t="shared" si="29"/>
        <v>700</v>
      </c>
      <c r="E1519" s="7">
        <v>1725</v>
      </c>
      <c r="F1519" s="7">
        <v>108</v>
      </c>
      <c r="G1519" s="7">
        <v>67571</v>
      </c>
    </row>
    <row r="1520" spans="1:7" ht="18" x14ac:dyDescent="0.2">
      <c r="A1520" s="7" t="s">
        <v>37</v>
      </c>
      <c r="B1520" s="7" t="s">
        <v>1</v>
      </c>
      <c r="C1520" s="7" t="s">
        <v>19</v>
      </c>
      <c r="D1520" s="7">
        <v>7</v>
      </c>
      <c r="E1520" s="7">
        <v>60</v>
      </c>
      <c r="F1520" s="7">
        <v>10</v>
      </c>
      <c r="G1520" s="7">
        <v>70</v>
      </c>
    </row>
    <row r="1521" spans="1:7" ht="18" x14ac:dyDescent="0.2">
      <c r="A1521" s="7" t="s">
        <v>37</v>
      </c>
      <c r="B1521" s="7" t="s">
        <v>1</v>
      </c>
      <c r="C1521" s="7" t="s">
        <v>19</v>
      </c>
      <c r="D1521" s="7">
        <v>14</v>
      </c>
      <c r="E1521" s="7">
        <v>115</v>
      </c>
      <c r="F1521" s="7">
        <v>16</v>
      </c>
      <c r="G1521" s="7">
        <v>182</v>
      </c>
    </row>
    <row r="1522" spans="1:7" ht="18" x14ac:dyDescent="0.2">
      <c r="A1522" s="7" t="s">
        <v>37</v>
      </c>
      <c r="B1522" s="7" t="s">
        <v>1</v>
      </c>
      <c r="C1522" s="7" t="s">
        <v>19</v>
      </c>
      <c r="D1522" s="7">
        <f>D1521+7</f>
        <v>21</v>
      </c>
      <c r="E1522" s="7">
        <v>170</v>
      </c>
      <c r="F1522" s="7">
        <v>24</v>
      </c>
      <c r="G1522" s="7">
        <v>350</v>
      </c>
    </row>
    <row r="1523" spans="1:7" ht="18" x14ac:dyDescent="0.2">
      <c r="A1523" s="7" t="s">
        <v>37</v>
      </c>
      <c r="B1523" s="7" t="s">
        <v>1</v>
      </c>
      <c r="C1523" s="7" t="s">
        <v>19</v>
      </c>
      <c r="D1523" s="7">
        <f>D1522+7</f>
        <v>28</v>
      </c>
      <c r="E1523" s="7">
        <v>240</v>
      </c>
      <c r="F1523" s="7">
        <v>31</v>
      </c>
      <c r="G1523" s="7">
        <v>567</v>
      </c>
    </row>
    <row r="1524" spans="1:7" ht="18" x14ac:dyDescent="0.2">
      <c r="A1524" s="7" t="s">
        <v>37</v>
      </c>
      <c r="B1524" s="7" t="s">
        <v>1</v>
      </c>
      <c r="C1524" s="7" t="s">
        <v>19</v>
      </c>
      <c r="D1524" s="7">
        <f t="shared" ref="D1524:D1587" si="30">D1523+7</f>
        <v>35</v>
      </c>
      <c r="E1524" s="7">
        <v>330</v>
      </c>
      <c r="F1524" s="7">
        <v>36</v>
      </c>
      <c r="G1524" s="7">
        <v>819</v>
      </c>
    </row>
    <row r="1525" spans="1:7" ht="18" x14ac:dyDescent="0.2">
      <c r="A1525" s="7" t="s">
        <v>37</v>
      </c>
      <c r="B1525" s="7" t="s">
        <v>1</v>
      </c>
      <c r="C1525" s="7" t="s">
        <v>19</v>
      </c>
      <c r="D1525" s="7">
        <f t="shared" si="30"/>
        <v>42</v>
      </c>
      <c r="E1525" s="7">
        <v>430</v>
      </c>
      <c r="F1525" s="7">
        <v>41</v>
      </c>
      <c r="G1525" s="7">
        <v>1106</v>
      </c>
    </row>
    <row r="1526" spans="1:7" ht="18" x14ac:dyDescent="0.2">
      <c r="A1526" s="7" t="s">
        <v>37</v>
      </c>
      <c r="B1526" s="7" t="s">
        <v>1</v>
      </c>
      <c r="C1526" s="7" t="s">
        <v>19</v>
      </c>
      <c r="D1526" s="7">
        <f t="shared" si="30"/>
        <v>49</v>
      </c>
      <c r="E1526" s="7">
        <v>530</v>
      </c>
      <c r="F1526" s="7">
        <v>45</v>
      </c>
      <c r="G1526" s="7">
        <v>1421</v>
      </c>
    </row>
    <row r="1527" spans="1:7" ht="18" x14ac:dyDescent="0.2">
      <c r="A1527" s="7" t="s">
        <v>37</v>
      </c>
      <c r="B1527" s="7" t="s">
        <v>1</v>
      </c>
      <c r="C1527" s="7" t="s">
        <v>19</v>
      </c>
      <c r="D1527" s="7">
        <f t="shared" si="30"/>
        <v>56</v>
      </c>
      <c r="E1527" s="7">
        <v>620</v>
      </c>
      <c r="F1527" s="7">
        <v>49</v>
      </c>
      <c r="G1527" s="7">
        <v>1764</v>
      </c>
    </row>
    <row r="1528" spans="1:7" ht="18" x14ac:dyDescent="0.2">
      <c r="A1528" s="7" t="s">
        <v>37</v>
      </c>
      <c r="B1528" s="7" t="s">
        <v>1</v>
      </c>
      <c r="C1528" s="7" t="s">
        <v>19</v>
      </c>
      <c r="D1528" s="7">
        <f t="shared" si="30"/>
        <v>63</v>
      </c>
      <c r="E1528" s="7">
        <v>710</v>
      </c>
      <c r="F1528" s="7">
        <v>53</v>
      </c>
      <c r="G1528" s="7">
        <v>2135</v>
      </c>
    </row>
    <row r="1529" spans="1:7" ht="18" x14ac:dyDescent="0.2">
      <c r="A1529" s="7" t="s">
        <v>37</v>
      </c>
      <c r="B1529" s="7" t="s">
        <v>1</v>
      </c>
      <c r="C1529" s="7" t="s">
        <v>19</v>
      </c>
      <c r="D1529" s="7">
        <f t="shared" si="30"/>
        <v>70</v>
      </c>
      <c r="E1529" s="7">
        <v>800</v>
      </c>
      <c r="F1529" s="7">
        <v>57</v>
      </c>
      <c r="G1529" s="7">
        <v>2534</v>
      </c>
    </row>
    <row r="1530" spans="1:7" ht="18" x14ac:dyDescent="0.2">
      <c r="A1530" s="7" t="s">
        <v>37</v>
      </c>
      <c r="B1530" s="7" t="s">
        <v>1</v>
      </c>
      <c r="C1530" s="7" t="s">
        <v>19</v>
      </c>
      <c r="D1530" s="7">
        <f t="shared" si="30"/>
        <v>77</v>
      </c>
      <c r="E1530" s="7">
        <v>890</v>
      </c>
      <c r="F1530" s="7">
        <v>60</v>
      </c>
      <c r="G1530" s="7">
        <v>2954</v>
      </c>
    </row>
    <row r="1531" spans="1:7" ht="18" x14ac:dyDescent="0.2">
      <c r="A1531" s="7" t="s">
        <v>37</v>
      </c>
      <c r="B1531" s="7" t="s">
        <v>1</v>
      </c>
      <c r="C1531" s="7" t="s">
        <v>19</v>
      </c>
      <c r="D1531" s="7">
        <f t="shared" si="30"/>
        <v>84</v>
      </c>
      <c r="E1531" s="7">
        <v>985</v>
      </c>
      <c r="F1531" s="7">
        <v>63</v>
      </c>
      <c r="G1531" s="7">
        <v>3395</v>
      </c>
    </row>
    <row r="1532" spans="1:7" ht="18" x14ac:dyDescent="0.2">
      <c r="A1532" s="7" t="s">
        <v>37</v>
      </c>
      <c r="B1532" s="7" t="s">
        <v>1</v>
      </c>
      <c r="C1532" s="7" t="s">
        <v>19</v>
      </c>
      <c r="D1532" s="7">
        <f t="shared" si="30"/>
        <v>91</v>
      </c>
      <c r="E1532" s="7">
        <v>1080</v>
      </c>
      <c r="F1532" s="7">
        <v>66</v>
      </c>
      <c r="G1532" s="7">
        <v>3857</v>
      </c>
    </row>
    <row r="1533" spans="1:7" ht="18" x14ac:dyDescent="0.2">
      <c r="A1533" s="7" t="s">
        <v>37</v>
      </c>
      <c r="B1533" s="7" t="s">
        <v>1</v>
      </c>
      <c r="C1533" s="7" t="s">
        <v>19</v>
      </c>
      <c r="D1533" s="7">
        <f t="shared" si="30"/>
        <v>98</v>
      </c>
      <c r="E1533" s="7">
        <v>1165</v>
      </c>
      <c r="F1533" s="7">
        <v>69</v>
      </c>
      <c r="G1533" s="7">
        <v>4340</v>
      </c>
    </row>
    <row r="1534" spans="1:7" ht="18" x14ac:dyDescent="0.2">
      <c r="A1534" s="7" t="s">
        <v>37</v>
      </c>
      <c r="B1534" s="7" t="s">
        <v>1</v>
      </c>
      <c r="C1534" s="7" t="s">
        <v>19</v>
      </c>
      <c r="D1534" s="7">
        <f t="shared" si="30"/>
        <v>105</v>
      </c>
      <c r="E1534" s="7">
        <v>1250</v>
      </c>
      <c r="F1534" s="7">
        <v>72</v>
      </c>
      <c r="G1534" s="7">
        <v>4844</v>
      </c>
    </row>
    <row r="1535" spans="1:7" ht="18" x14ac:dyDescent="0.2">
      <c r="A1535" s="7" t="s">
        <v>37</v>
      </c>
      <c r="B1535" s="7" t="s">
        <v>1</v>
      </c>
      <c r="C1535" s="7" t="s">
        <v>19</v>
      </c>
      <c r="D1535" s="7">
        <f t="shared" si="30"/>
        <v>112</v>
      </c>
      <c r="E1535" s="7">
        <v>1335</v>
      </c>
      <c r="F1535" s="7">
        <v>76</v>
      </c>
      <c r="G1535" s="7">
        <v>5376</v>
      </c>
    </row>
    <row r="1536" spans="1:7" ht="18" x14ac:dyDescent="0.2">
      <c r="A1536" s="7" t="s">
        <v>37</v>
      </c>
      <c r="B1536" s="7" t="s">
        <v>1</v>
      </c>
      <c r="C1536" s="7" t="s">
        <v>19</v>
      </c>
      <c r="D1536" s="7">
        <f t="shared" si="30"/>
        <v>119</v>
      </c>
      <c r="E1536" s="7">
        <v>1410</v>
      </c>
      <c r="F1536" s="7">
        <v>82</v>
      </c>
      <c r="G1536" s="7">
        <v>5950</v>
      </c>
    </row>
    <row r="1537" spans="1:7" ht="18" x14ac:dyDescent="0.2">
      <c r="A1537" s="7" t="s">
        <v>37</v>
      </c>
      <c r="B1537" s="7" t="s">
        <v>1</v>
      </c>
      <c r="C1537" s="7" t="s">
        <v>19</v>
      </c>
      <c r="D1537" s="7">
        <f t="shared" si="30"/>
        <v>126</v>
      </c>
      <c r="E1537" s="7">
        <v>1460</v>
      </c>
      <c r="F1537" s="7">
        <v>89</v>
      </c>
      <c r="G1537" s="7">
        <v>6573</v>
      </c>
    </row>
    <row r="1538" spans="1:7" ht="18" x14ac:dyDescent="0.2">
      <c r="A1538" s="7" t="s">
        <v>37</v>
      </c>
      <c r="B1538" s="7" t="s">
        <v>1</v>
      </c>
      <c r="C1538" s="7" t="s">
        <v>19</v>
      </c>
      <c r="D1538" s="7">
        <f t="shared" si="30"/>
        <v>133</v>
      </c>
      <c r="E1538" s="7">
        <v>1525</v>
      </c>
      <c r="F1538" s="7">
        <v>95</v>
      </c>
      <c r="G1538" s="7">
        <v>7238</v>
      </c>
    </row>
    <row r="1539" spans="1:7" ht="18" x14ac:dyDescent="0.2">
      <c r="A1539" s="7" t="s">
        <v>37</v>
      </c>
      <c r="B1539" s="7" t="s">
        <v>1</v>
      </c>
      <c r="C1539" s="7" t="s">
        <v>19</v>
      </c>
      <c r="D1539" s="7">
        <f t="shared" si="30"/>
        <v>140</v>
      </c>
      <c r="E1539" s="7">
        <v>1595</v>
      </c>
      <c r="F1539" s="7">
        <v>100</v>
      </c>
      <c r="G1539" s="7">
        <v>7938</v>
      </c>
    </row>
    <row r="1540" spans="1:7" ht="18" x14ac:dyDescent="0.2">
      <c r="A1540" s="7" t="s">
        <v>37</v>
      </c>
      <c r="B1540" s="7" t="s">
        <v>1</v>
      </c>
      <c r="C1540" s="7" t="s">
        <v>19</v>
      </c>
      <c r="D1540" s="7">
        <f t="shared" si="30"/>
        <v>147</v>
      </c>
      <c r="E1540" s="7">
        <v>1650</v>
      </c>
      <c r="F1540" s="7">
        <v>104</v>
      </c>
      <c r="G1540" s="7">
        <v>8666</v>
      </c>
    </row>
    <row r="1541" spans="1:7" ht="18" x14ac:dyDescent="0.2">
      <c r="A1541" s="7" t="s">
        <v>37</v>
      </c>
      <c r="B1541" s="7" t="s">
        <v>1</v>
      </c>
      <c r="C1541" s="7" t="s">
        <v>19</v>
      </c>
      <c r="D1541" s="7">
        <f t="shared" si="30"/>
        <v>154</v>
      </c>
      <c r="E1541" s="7">
        <v>1695</v>
      </c>
      <c r="F1541" s="7">
        <v>107</v>
      </c>
      <c r="G1541" s="7">
        <v>9415</v>
      </c>
    </row>
    <row r="1542" spans="1:7" ht="18" x14ac:dyDescent="0.2">
      <c r="A1542" s="7" t="s">
        <v>37</v>
      </c>
      <c r="B1542" s="7" t="s">
        <v>1</v>
      </c>
      <c r="C1542" s="7" t="s">
        <v>19</v>
      </c>
      <c r="D1542" s="7">
        <f t="shared" si="30"/>
        <v>161</v>
      </c>
      <c r="E1542" s="7">
        <v>1730</v>
      </c>
      <c r="F1542" s="7">
        <v>109</v>
      </c>
      <c r="G1542" s="7">
        <v>10178</v>
      </c>
    </row>
    <row r="1543" spans="1:7" ht="18" x14ac:dyDescent="0.2">
      <c r="A1543" s="7" t="s">
        <v>37</v>
      </c>
      <c r="B1543" s="7" t="s">
        <v>1</v>
      </c>
      <c r="C1543" s="7" t="s">
        <v>19</v>
      </c>
      <c r="D1543" s="7">
        <f t="shared" si="30"/>
        <v>168</v>
      </c>
      <c r="E1543" s="7">
        <v>1755</v>
      </c>
      <c r="F1543" s="7">
        <v>111</v>
      </c>
      <c r="G1543" s="7">
        <v>10955</v>
      </c>
    </row>
    <row r="1544" spans="1:7" ht="18" x14ac:dyDescent="0.2">
      <c r="A1544" s="7" t="s">
        <v>37</v>
      </c>
      <c r="B1544" s="7" t="s">
        <v>1</v>
      </c>
      <c r="C1544" s="7" t="s">
        <v>19</v>
      </c>
      <c r="D1544" s="7">
        <f t="shared" si="30"/>
        <v>175</v>
      </c>
      <c r="E1544" s="7">
        <v>1775</v>
      </c>
      <c r="F1544" s="7">
        <v>112</v>
      </c>
      <c r="G1544" s="7">
        <v>11739</v>
      </c>
    </row>
    <row r="1545" spans="1:7" ht="18" x14ac:dyDescent="0.2">
      <c r="A1545" s="7" t="s">
        <v>37</v>
      </c>
      <c r="B1545" s="7" t="s">
        <v>1</v>
      </c>
      <c r="C1545" s="7" t="s">
        <v>19</v>
      </c>
      <c r="D1545" s="7">
        <f t="shared" si="30"/>
        <v>182</v>
      </c>
      <c r="E1545" s="7">
        <v>1790</v>
      </c>
      <c r="F1545" s="7">
        <v>113</v>
      </c>
      <c r="G1545" s="7">
        <v>12530</v>
      </c>
    </row>
    <row r="1546" spans="1:7" ht="18" x14ac:dyDescent="0.2">
      <c r="A1546" s="7" t="s">
        <v>37</v>
      </c>
      <c r="B1546" s="7" t="s">
        <v>1</v>
      </c>
      <c r="C1546" s="7" t="s">
        <v>19</v>
      </c>
      <c r="D1546" s="7">
        <f t="shared" si="30"/>
        <v>189</v>
      </c>
      <c r="E1546" s="7">
        <v>1800</v>
      </c>
      <c r="F1546" s="7">
        <v>114</v>
      </c>
      <c r="G1546" s="7">
        <v>13328</v>
      </c>
    </row>
    <row r="1547" spans="1:7" ht="18" x14ac:dyDescent="0.2">
      <c r="A1547" s="7" t="s">
        <v>37</v>
      </c>
      <c r="B1547" s="7" t="s">
        <v>1</v>
      </c>
      <c r="C1547" s="7" t="s">
        <v>19</v>
      </c>
      <c r="D1547" s="7">
        <f t="shared" si="30"/>
        <v>196</v>
      </c>
      <c r="E1547" s="7">
        <v>1809</v>
      </c>
      <c r="F1547" s="7">
        <v>115</v>
      </c>
      <c r="G1547" s="7">
        <v>14133</v>
      </c>
    </row>
    <row r="1548" spans="1:7" ht="18" x14ac:dyDescent="0.2">
      <c r="A1548" s="7" t="s">
        <v>37</v>
      </c>
      <c r="B1548" s="7" t="s">
        <v>1</v>
      </c>
      <c r="C1548" s="7" t="s">
        <v>19</v>
      </c>
      <c r="D1548" s="7">
        <f t="shared" si="30"/>
        <v>203</v>
      </c>
      <c r="E1548" s="7">
        <v>1817</v>
      </c>
      <c r="F1548" s="7">
        <v>115</v>
      </c>
      <c r="G1548" s="7">
        <v>14938</v>
      </c>
    </row>
    <row r="1549" spans="1:7" ht="18" x14ac:dyDescent="0.2">
      <c r="A1549" s="7" t="s">
        <v>37</v>
      </c>
      <c r="B1549" s="7" t="s">
        <v>1</v>
      </c>
      <c r="C1549" s="7" t="s">
        <v>19</v>
      </c>
      <c r="D1549" s="7">
        <f t="shared" si="30"/>
        <v>210</v>
      </c>
      <c r="E1549" s="7">
        <v>1824</v>
      </c>
      <c r="F1549" s="7">
        <v>115</v>
      </c>
      <c r="G1549" s="7">
        <v>15743</v>
      </c>
    </row>
    <row r="1550" spans="1:7" ht="18" x14ac:dyDescent="0.2">
      <c r="A1550" s="7" t="s">
        <v>37</v>
      </c>
      <c r="B1550" s="7" t="s">
        <v>1</v>
      </c>
      <c r="C1550" s="7" t="s">
        <v>19</v>
      </c>
      <c r="D1550" s="7">
        <f t="shared" si="30"/>
        <v>217</v>
      </c>
      <c r="E1550" s="7">
        <v>1830</v>
      </c>
      <c r="F1550" s="7">
        <v>115</v>
      </c>
      <c r="G1550" s="7">
        <v>16548</v>
      </c>
    </row>
    <row r="1551" spans="1:7" ht="18" x14ac:dyDescent="0.2">
      <c r="A1551" s="7" t="s">
        <v>37</v>
      </c>
      <c r="B1551" s="7" t="s">
        <v>1</v>
      </c>
      <c r="C1551" s="7" t="s">
        <v>19</v>
      </c>
      <c r="D1551" s="7">
        <f t="shared" si="30"/>
        <v>224</v>
      </c>
      <c r="E1551" s="7">
        <v>1835</v>
      </c>
      <c r="F1551" s="7">
        <v>115</v>
      </c>
      <c r="G1551" s="7">
        <v>17353</v>
      </c>
    </row>
    <row r="1552" spans="1:7" ht="18" x14ac:dyDescent="0.2">
      <c r="A1552" s="7" t="s">
        <v>37</v>
      </c>
      <c r="B1552" s="7" t="s">
        <v>1</v>
      </c>
      <c r="C1552" s="7" t="s">
        <v>19</v>
      </c>
      <c r="D1552" s="7">
        <f t="shared" si="30"/>
        <v>231</v>
      </c>
      <c r="E1552" s="7">
        <v>1840</v>
      </c>
      <c r="F1552" s="7">
        <v>115</v>
      </c>
      <c r="G1552" s="7">
        <v>18158</v>
      </c>
    </row>
    <row r="1553" spans="1:7" ht="18" x14ac:dyDescent="0.2">
      <c r="A1553" s="7" t="s">
        <v>37</v>
      </c>
      <c r="B1553" s="7" t="s">
        <v>1</v>
      </c>
      <c r="C1553" s="7" t="s">
        <v>19</v>
      </c>
      <c r="D1553" s="7">
        <f t="shared" si="30"/>
        <v>238</v>
      </c>
      <c r="E1553" s="7">
        <v>1845</v>
      </c>
      <c r="F1553" s="7">
        <v>115</v>
      </c>
      <c r="G1553" s="7">
        <v>18963</v>
      </c>
    </row>
    <row r="1554" spans="1:7" ht="18" x14ac:dyDescent="0.2">
      <c r="A1554" s="7" t="s">
        <v>37</v>
      </c>
      <c r="B1554" s="7" t="s">
        <v>1</v>
      </c>
      <c r="C1554" s="7" t="s">
        <v>19</v>
      </c>
      <c r="D1554" s="7">
        <f t="shared" si="30"/>
        <v>245</v>
      </c>
      <c r="E1554" s="7">
        <v>1850</v>
      </c>
      <c r="F1554" s="7">
        <v>115</v>
      </c>
      <c r="G1554" s="7">
        <v>19768</v>
      </c>
    </row>
    <row r="1555" spans="1:7" ht="18" x14ac:dyDescent="0.2">
      <c r="A1555" s="7" t="s">
        <v>37</v>
      </c>
      <c r="B1555" s="7" t="s">
        <v>1</v>
      </c>
      <c r="C1555" s="7" t="s">
        <v>19</v>
      </c>
      <c r="D1555" s="7">
        <f t="shared" si="30"/>
        <v>252</v>
      </c>
      <c r="E1555" s="7">
        <v>1854</v>
      </c>
      <c r="F1555" s="7">
        <v>115</v>
      </c>
      <c r="G1555" s="7">
        <v>20573</v>
      </c>
    </row>
    <row r="1556" spans="1:7" ht="18" x14ac:dyDescent="0.2">
      <c r="A1556" s="7" t="s">
        <v>37</v>
      </c>
      <c r="B1556" s="7" t="s">
        <v>1</v>
      </c>
      <c r="C1556" s="7" t="s">
        <v>19</v>
      </c>
      <c r="D1556" s="7">
        <f t="shared" si="30"/>
        <v>259</v>
      </c>
      <c r="E1556" s="7">
        <v>1858</v>
      </c>
      <c r="F1556" s="7">
        <v>115</v>
      </c>
      <c r="G1556" s="7">
        <v>21378</v>
      </c>
    </row>
    <row r="1557" spans="1:7" ht="18" x14ac:dyDescent="0.2">
      <c r="A1557" s="7" t="s">
        <v>37</v>
      </c>
      <c r="B1557" s="7" t="s">
        <v>1</v>
      </c>
      <c r="C1557" s="7" t="s">
        <v>19</v>
      </c>
      <c r="D1557" s="7">
        <f t="shared" si="30"/>
        <v>266</v>
      </c>
      <c r="E1557" s="7">
        <v>1862</v>
      </c>
      <c r="F1557" s="7">
        <v>115</v>
      </c>
      <c r="G1557" s="7">
        <v>22183</v>
      </c>
    </row>
    <row r="1558" spans="1:7" ht="18" x14ac:dyDescent="0.2">
      <c r="A1558" s="7" t="s">
        <v>37</v>
      </c>
      <c r="B1558" s="7" t="s">
        <v>1</v>
      </c>
      <c r="C1558" s="7" t="s">
        <v>19</v>
      </c>
      <c r="D1558" s="7">
        <f t="shared" si="30"/>
        <v>273</v>
      </c>
      <c r="E1558" s="7">
        <v>1865</v>
      </c>
      <c r="F1558" s="7">
        <v>115</v>
      </c>
      <c r="G1558" s="7">
        <v>22988</v>
      </c>
    </row>
    <row r="1559" spans="1:7" ht="18" x14ac:dyDescent="0.2">
      <c r="A1559" s="7" t="s">
        <v>37</v>
      </c>
      <c r="B1559" s="7" t="s">
        <v>1</v>
      </c>
      <c r="C1559" s="7" t="s">
        <v>19</v>
      </c>
      <c r="D1559" s="7">
        <f t="shared" si="30"/>
        <v>280</v>
      </c>
      <c r="E1559" s="7">
        <v>1868</v>
      </c>
      <c r="F1559" s="7">
        <v>115</v>
      </c>
      <c r="G1559" s="7">
        <v>23793</v>
      </c>
    </row>
    <row r="1560" spans="1:7" ht="18" x14ac:dyDescent="0.2">
      <c r="A1560" s="7" t="s">
        <v>37</v>
      </c>
      <c r="B1560" s="7" t="s">
        <v>1</v>
      </c>
      <c r="C1560" s="7" t="s">
        <v>19</v>
      </c>
      <c r="D1560" s="7">
        <f t="shared" si="30"/>
        <v>287</v>
      </c>
      <c r="E1560" s="7">
        <v>1870</v>
      </c>
      <c r="F1560" s="7">
        <v>115</v>
      </c>
      <c r="G1560" s="7">
        <v>24598</v>
      </c>
    </row>
    <row r="1561" spans="1:7" ht="18" x14ac:dyDescent="0.2">
      <c r="A1561" s="7" t="s">
        <v>37</v>
      </c>
      <c r="B1561" s="7" t="s">
        <v>1</v>
      </c>
      <c r="C1561" s="7" t="s">
        <v>19</v>
      </c>
      <c r="D1561" s="7">
        <f t="shared" si="30"/>
        <v>294</v>
      </c>
      <c r="E1561" s="7">
        <v>1872</v>
      </c>
      <c r="F1561" s="7">
        <v>115</v>
      </c>
      <c r="G1561" s="7">
        <v>25403</v>
      </c>
    </row>
    <row r="1562" spans="1:7" ht="18" x14ac:dyDescent="0.2">
      <c r="A1562" s="7" t="s">
        <v>37</v>
      </c>
      <c r="B1562" s="7" t="s">
        <v>1</v>
      </c>
      <c r="C1562" s="7" t="s">
        <v>19</v>
      </c>
      <c r="D1562" s="7">
        <f t="shared" si="30"/>
        <v>301</v>
      </c>
      <c r="E1562" s="7">
        <v>1874</v>
      </c>
      <c r="F1562" s="7">
        <v>115</v>
      </c>
      <c r="G1562" s="7">
        <v>26208</v>
      </c>
    </row>
    <row r="1563" spans="1:7" ht="18" x14ac:dyDescent="0.2">
      <c r="A1563" s="7" t="s">
        <v>37</v>
      </c>
      <c r="B1563" s="7" t="s">
        <v>1</v>
      </c>
      <c r="C1563" s="7" t="s">
        <v>19</v>
      </c>
      <c r="D1563" s="7">
        <f t="shared" si="30"/>
        <v>308</v>
      </c>
      <c r="E1563" s="7">
        <v>1876</v>
      </c>
      <c r="F1563" s="7">
        <v>115</v>
      </c>
      <c r="G1563" s="7">
        <v>27013</v>
      </c>
    </row>
    <row r="1564" spans="1:7" ht="18" x14ac:dyDescent="0.2">
      <c r="A1564" s="7" t="s">
        <v>37</v>
      </c>
      <c r="B1564" s="7" t="s">
        <v>1</v>
      </c>
      <c r="C1564" s="7" t="s">
        <v>19</v>
      </c>
      <c r="D1564" s="7">
        <f t="shared" si="30"/>
        <v>315</v>
      </c>
      <c r="E1564" s="7">
        <v>1878</v>
      </c>
      <c r="F1564" s="7">
        <v>115</v>
      </c>
      <c r="G1564" s="7">
        <v>27818</v>
      </c>
    </row>
    <row r="1565" spans="1:7" ht="18" x14ac:dyDescent="0.2">
      <c r="A1565" s="7" t="s">
        <v>37</v>
      </c>
      <c r="B1565" s="7" t="s">
        <v>1</v>
      </c>
      <c r="C1565" s="7" t="s">
        <v>19</v>
      </c>
      <c r="D1565" s="7">
        <f t="shared" si="30"/>
        <v>322</v>
      </c>
      <c r="E1565" s="7">
        <v>1880</v>
      </c>
      <c r="F1565" s="7">
        <v>115</v>
      </c>
      <c r="G1565" s="7">
        <v>28623</v>
      </c>
    </row>
    <row r="1566" spans="1:7" ht="18" x14ac:dyDescent="0.2">
      <c r="A1566" s="7" t="s">
        <v>37</v>
      </c>
      <c r="B1566" s="7" t="s">
        <v>1</v>
      </c>
      <c r="C1566" s="7" t="s">
        <v>19</v>
      </c>
      <c r="D1566" s="7">
        <f t="shared" si="30"/>
        <v>329</v>
      </c>
      <c r="E1566" s="7">
        <v>1882</v>
      </c>
      <c r="F1566" s="7">
        <v>115</v>
      </c>
      <c r="G1566" s="7">
        <v>29428</v>
      </c>
    </row>
    <row r="1567" spans="1:7" ht="18" x14ac:dyDescent="0.2">
      <c r="A1567" s="7" t="s">
        <v>37</v>
      </c>
      <c r="B1567" s="7" t="s">
        <v>1</v>
      </c>
      <c r="C1567" s="7" t="s">
        <v>19</v>
      </c>
      <c r="D1567" s="7">
        <f t="shared" si="30"/>
        <v>336</v>
      </c>
      <c r="E1567" s="7">
        <v>1884</v>
      </c>
      <c r="F1567" s="7">
        <v>115</v>
      </c>
      <c r="G1567" s="7">
        <v>30233</v>
      </c>
    </row>
    <row r="1568" spans="1:7" ht="18" x14ac:dyDescent="0.2">
      <c r="A1568" s="7" t="s">
        <v>37</v>
      </c>
      <c r="B1568" s="7" t="s">
        <v>1</v>
      </c>
      <c r="C1568" s="7" t="s">
        <v>19</v>
      </c>
      <c r="D1568" s="7">
        <f t="shared" si="30"/>
        <v>343</v>
      </c>
      <c r="E1568" s="7">
        <v>1886</v>
      </c>
      <c r="F1568" s="7">
        <v>115</v>
      </c>
      <c r="G1568" s="7">
        <v>31038</v>
      </c>
    </row>
    <row r="1569" spans="1:7" ht="18" x14ac:dyDescent="0.2">
      <c r="A1569" s="7" t="s">
        <v>37</v>
      </c>
      <c r="B1569" s="7" t="s">
        <v>1</v>
      </c>
      <c r="C1569" s="7" t="s">
        <v>19</v>
      </c>
      <c r="D1569" s="7">
        <f t="shared" si="30"/>
        <v>350</v>
      </c>
      <c r="E1569" s="7">
        <v>1888</v>
      </c>
      <c r="F1569" s="7">
        <v>115</v>
      </c>
      <c r="G1569" s="7">
        <v>31843</v>
      </c>
    </row>
    <row r="1570" spans="1:7" ht="18" x14ac:dyDescent="0.2">
      <c r="A1570" s="7" t="s">
        <v>37</v>
      </c>
      <c r="B1570" s="7" t="s">
        <v>1</v>
      </c>
      <c r="C1570" s="7" t="s">
        <v>19</v>
      </c>
      <c r="D1570" s="7">
        <f t="shared" si="30"/>
        <v>357</v>
      </c>
      <c r="E1570" s="7">
        <v>1890</v>
      </c>
      <c r="F1570" s="7">
        <v>115</v>
      </c>
      <c r="G1570" s="7">
        <v>32648</v>
      </c>
    </row>
    <row r="1571" spans="1:7" ht="18" x14ac:dyDescent="0.2">
      <c r="A1571" s="7" t="s">
        <v>37</v>
      </c>
      <c r="B1571" s="7" t="s">
        <v>1</v>
      </c>
      <c r="C1571" s="7" t="s">
        <v>19</v>
      </c>
      <c r="D1571" s="7">
        <f t="shared" si="30"/>
        <v>364</v>
      </c>
      <c r="E1571" s="7">
        <v>1892</v>
      </c>
      <c r="F1571" s="7">
        <v>115</v>
      </c>
      <c r="G1571" s="7">
        <v>33453</v>
      </c>
    </row>
    <row r="1572" spans="1:7" ht="18" x14ac:dyDescent="0.2">
      <c r="A1572" s="7" t="s">
        <v>37</v>
      </c>
      <c r="B1572" s="7" t="s">
        <v>1</v>
      </c>
      <c r="C1572" s="7" t="s">
        <v>19</v>
      </c>
      <c r="D1572" s="7">
        <f t="shared" si="30"/>
        <v>371</v>
      </c>
      <c r="E1572" s="7">
        <v>1894</v>
      </c>
      <c r="F1572" s="7">
        <v>115</v>
      </c>
      <c r="G1572" s="7">
        <v>34258</v>
      </c>
    </row>
    <row r="1573" spans="1:7" ht="18" x14ac:dyDescent="0.2">
      <c r="A1573" s="7" t="s">
        <v>37</v>
      </c>
      <c r="B1573" s="7" t="s">
        <v>1</v>
      </c>
      <c r="C1573" s="7" t="s">
        <v>19</v>
      </c>
      <c r="D1573" s="7">
        <f t="shared" si="30"/>
        <v>378</v>
      </c>
      <c r="E1573" s="7">
        <v>1896</v>
      </c>
      <c r="F1573" s="7">
        <v>115</v>
      </c>
      <c r="G1573" s="7">
        <v>35063</v>
      </c>
    </row>
    <row r="1574" spans="1:7" ht="18" x14ac:dyDescent="0.2">
      <c r="A1574" s="7" t="s">
        <v>37</v>
      </c>
      <c r="B1574" s="7" t="s">
        <v>1</v>
      </c>
      <c r="C1574" s="7" t="s">
        <v>19</v>
      </c>
      <c r="D1574" s="7">
        <f t="shared" si="30"/>
        <v>385</v>
      </c>
      <c r="E1574" s="7">
        <v>1898</v>
      </c>
      <c r="F1574" s="7">
        <v>115</v>
      </c>
      <c r="G1574" s="7">
        <v>35868</v>
      </c>
    </row>
    <row r="1575" spans="1:7" ht="18" x14ac:dyDescent="0.2">
      <c r="A1575" s="7" t="s">
        <v>37</v>
      </c>
      <c r="B1575" s="7" t="s">
        <v>1</v>
      </c>
      <c r="C1575" s="7" t="s">
        <v>19</v>
      </c>
      <c r="D1575" s="7">
        <f t="shared" si="30"/>
        <v>392</v>
      </c>
      <c r="E1575" s="7">
        <v>1900</v>
      </c>
      <c r="F1575" s="7">
        <v>115</v>
      </c>
      <c r="G1575" s="7">
        <v>36673</v>
      </c>
    </row>
    <row r="1576" spans="1:7" ht="18" x14ac:dyDescent="0.2">
      <c r="A1576" s="7" t="s">
        <v>37</v>
      </c>
      <c r="B1576" s="7" t="s">
        <v>1</v>
      </c>
      <c r="C1576" s="7" t="s">
        <v>19</v>
      </c>
      <c r="D1576" s="7">
        <f t="shared" si="30"/>
        <v>399</v>
      </c>
      <c r="E1576" s="7">
        <v>1902</v>
      </c>
      <c r="F1576" s="7">
        <v>115</v>
      </c>
      <c r="G1576" s="7">
        <v>37478</v>
      </c>
    </row>
    <row r="1577" spans="1:7" ht="18" x14ac:dyDescent="0.2">
      <c r="A1577" s="7" t="s">
        <v>37</v>
      </c>
      <c r="B1577" s="7" t="s">
        <v>1</v>
      </c>
      <c r="C1577" s="7" t="s">
        <v>19</v>
      </c>
      <c r="D1577" s="7">
        <f t="shared" si="30"/>
        <v>406</v>
      </c>
      <c r="E1577" s="7">
        <v>1904</v>
      </c>
      <c r="F1577" s="7">
        <v>115</v>
      </c>
      <c r="G1577" s="7">
        <v>38283</v>
      </c>
    </row>
    <row r="1578" spans="1:7" ht="18" x14ac:dyDescent="0.2">
      <c r="A1578" s="7" t="s">
        <v>37</v>
      </c>
      <c r="B1578" s="7" t="s">
        <v>1</v>
      </c>
      <c r="C1578" s="7" t="s">
        <v>19</v>
      </c>
      <c r="D1578" s="7">
        <f t="shared" si="30"/>
        <v>413</v>
      </c>
      <c r="E1578" s="7">
        <v>1906</v>
      </c>
      <c r="F1578" s="7">
        <v>115</v>
      </c>
      <c r="G1578" s="7">
        <v>39088</v>
      </c>
    </row>
    <row r="1579" spans="1:7" ht="18" x14ac:dyDescent="0.2">
      <c r="A1579" s="7" t="s">
        <v>37</v>
      </c>
      <c r="B1579" s="7" t="s">
        <v>1</v>
      </c>
      <c r="C1579" s="7" t="s">
        <v>19</v>
      </c>
      <c r="D1579" s="7">
        <f t="shared" si="30"/>
        <v>420</v>
      </c>
      <c r="E1579" s="7">
        <v>1908</v>
      </c>
      <c r="F1579" s="7">
        <v>115</v>
      </c>
      <c r="G1579" s="7">
        <v>39893</v>
      </c>
    </row>
    <row r="1580" spans="1:7" ht="18" x14ac:dyDescent="0.2">
      <c r="A1580" s="7" t="s">
        <v>37</v>
      </c>
      <c r="B1580" s="7" t="s">
        <v>1</v>
      </c>
      <c r="C1580" s="7" t="s">
        <v>19</v>
      </c>
      <c r="D1580" s="7">
        <f t="shared" si="30"/>
        <v>427</v>
      </c>
      <c r="E1580" s="7">
        <v>1910</v>
      </c>
      <c r="F1580" s="7">
        <v>115</v>
      </c>
      <c r="G1580" s="7">
        <v>40698</v>
      </c>
    </row>
    <row r="1581" spans="1:7" ht="18" x14ac:dyDescent="0.2">
      <c r="A1581" s="7" t="s">
        <v>37</v>
      </c>
      <c r="B1581" s="7" t="s">
        <v>1</v>
      </c>
      <c r="C1581" s="7" t="s">
        <v>19</v>
      </c>
      <c r="D1581" s="7">
        <f t="shared" si="30"/>
        <v>434</v>
      </c>
      <c r="E1581" s="7">
        <v>1912</v>
      </c>
      <c r="F1581" s="7">
        <v>115</v>
      </c>
      <c r="G1581" s="7">
        <v>41503</v>
      </c>
    </row>
    <row r="1582" spans="1:7" ht="18" x14ac:dyDescent="0.2">
      <c r="A1582" s="7" t="s">
        <v>37</v>
      </c>
      <c r="B1582" s="7" t="s">
        <v>1</v>
      </c>
      <c r="C1582" s="7" t="s">
        <v>19</v>
      </c>
      <c r="D1582" s="7">
        <f t="shared" si="30"/>
        <v>441</v>
      </c>
      <c r="E1582" s="7">
        <v>1914</v>
      </c>
      <c r="F1582" s="7">
        <v>115</v>
      </c>
      <c r="G1582" s="7">
        <v>42308</v>
      </c>
    </row>
    <row r="1583" spans="1:7" ht="18" x14ac:dyDescent="0.2">
      <c r="A1583" s="7" t="s">
        <v>37</v>
      </c>
      <c r="B1583" s="7" t="s">
        <v>1</v>
      </c>
      <c r="C1583" s="7" t="s">
        <v>19</v>
      </c>
      <c r="D1583" s="7">
        <f t="shared" si="30"/>
        <v>448</v>
      </c>
      <c r="E1583" s="7">
        <v>1916</v>
      </c>
      <c r="F1583" s="7">
        <v>115</v>
      </c>
      <c r="G1583" s="7">
        <v>43113</v>
      </c>
    </row>
    <row r="1584" spans="1:7" ht="18" x14ac:dyDescent="0.2">
      <c r="A1584" s="7" t="s">
        <v>37</v>
      </c>
      <c r="B1584" s="7" t="s">
        <v>1</v>
      </c>
      <c r="C1584" s="7" t="s">
        <v>19</v>
      </c>
      <c r="D1584" s="7">
        <f t="shared" si="30"/>
        <v>455</v>
      </c>
      <c r="E1584" s="7">
        <v>1918</v>
      </c>
      <c r="F1584" s="7">
        <v>115</v>
      </c>
      <c r="G1584" s="7">
        <v>43918</v>
      </c>
    </row>
    <row r="1585" spans="1:7" ht="18" x14ac:dyDescent="0.2">
      <c r="A1585" s="7" t="s">
        <v>37</v>
      </c>
      <c r="B1585" s="7" t="s">
        <v>1</v>
      </c>
      <c r="C1585" s="7" t="s">
        <v>19</v>
      </c>
      <c r="D1585" s="7">
        <f t="shared" si="30"/>
        <v>462</v>
      </c>
      <c r="E1585" s="7">
        <v>1920</v>
      </c>
      <c r="F1585" s="7">
        <v>115</v>
      </c>
      <c r="G1585" s="7">
        <v>44723</v>
      </c>
    </row>
    <row r="1586" spans="1:7" ht="18" x14ac:dyDescent="0.2">
      <c r="A1586" s="7" t="s">
        <v>37</v>
      </c>
      <c r="B1586" s="7" t="s">
        <v>1</v>
      </c>
      <c r="C1586" s="7" t="s">
        <v>19</v>
      </c>
      <c r="D1586" s="7">
        <f t="shared" si="30"/>
        <v>469</v>
      </c>
      <c r="E1586" s="7">
        <v>1922</v>
      </c>
      <c r="F1586" s="7">
        <v>115</v>
      </c>
      <c r="G1586" s="7">
        <v>45528</v>
      </c>
    </row>
    <row r="1587" spans="1:7" ht="18" x14ac:dyDescent="0.2">
      <c r="A1587" s="7" t="s">
        <v>37</v>
      </c>
      <c r="B1587" s="7" t="s">
        <v>1</v>
      </c>
      <c r="C1587" s="7" t="s">
        <v>19</v>
      </c>
      <c r="D1587" s="7">
        <f t="shared" si="30"/>
        <v>476</v>
      </c>
      <c r="E1587" s="7">
        <v>1924</v>
      </c>
      <c r="F1587" s="7">
        <v>115</v>
      </c>
      <c r="G1587" s="7">
        <v>46333</v>
      </c>
    </row>
    <row r="1588" spans="1:7" ht="18" x14ac:dyDescent="0.2">
      <c r="A1588" s="7" t="s">
        <v>37</v>
      </c>
      <c r="B1588" s="7" t="s">
        <v>1</v>
      </c>
      <c r="C1588" s="7" t="s">
        <v>19</v>
      </c>
      <c r="D1588" s="7">
        <f t="shared" ref="D1588:D1619" si="31">D1587+7</f>
        <v>483</v>
      </c>
      <c r="E1588" s="7">
        <v>1926</v>
      </c>
      <c r="F1588" s="7">
        <v>115</v>
      </c>
      <c r="G1588" s="7">
        <v>47138</v>
      </c>
    </row>
    <row r="1589" spans="1:7" ht="18" x14ac:dyDescent="0.2">
      <c r="A1589" s="7" t="s">
        <v>37</v>
      </c>
      <c r="B1589" s="7" t="s">
        <v>1</v>
      </c>
      <c r="C1589" s="7" t="s">
        <v>19</v>
      </c>
      <c r="D1589" s="7">
        <f t="shared" si="31"/>
        <v>490</v>
      </c>
      <c r="E1589" s="7">
        <v>1928</v>
      </c>
      <c r="F1589" s="7">
        <v>115</v>
      </c>
      <c r="G1589" s="7">
        <v>47943</v>
      </c>
    </row>
    <row r="1590" spans="1:7" ht="18" x14ac:dyDescent="0.2">
      <c r="A1590" s="7" t="s">
        <v>37</v>
      </c>
      <c r="B1590" s="7" t="s">
        <v>1</v>
      </c>
      <c r="C1590" s="7" t="s">
        <v>19</v>
      </c>
      <c r="D1590" s="7">
        <f t="shared" si="31"/>
        <v>497</v>
      </c>
      <c r="E1590" s="7">
        <v>1930</v>
      </c>
      <c r="F1590" s="7">
        <v>115</v>
      </c>
      <c r="G1590" s="7">
        <v>48748</v>
      </c>
    </row>
    <row r="1591" spans="1:7" ht="18" x14ac:dyDescent="0.2">
      <c r="A1591" s="7" t="s">
        <v>37</v>
      </c>
      <c r="B1591" s="7" t="s">
        <v>1</v>
      </c>
      <c r="C1591" s="7" t="s">
        <v>19</v>
      </c>
      <c r="D1591" s="7">
        <f t="shared" si="31"/>
        <v>504</v>
      </c>
      <c r="E1591" s="7">
        <v>1932</v>
      </c>
      <c r="F1591" s="7">
        <v>115</v>
      </c>
      <c r="G1591" s="7">
        <v>49553</v>
      </c>
    </row>
    <row r="1592" spans="1:7" ht="18" x14ac:dyDescent="0.2">
      <c r="A1592" s="7" t="s">
        <v>37</v>
      </c>
      <c r="B1592" s="7" t="s">
        <v>1</v>
      </c>
      <c r="C1592" s="7" t="s">
        <v>19</v>
      </c>
      <c r="D1592" s="7">
        <f t="shared" si="31"/>
        <v>511</v>
      </c>
      <c r="E1592" s="7">
        <v>1934</v>
      </c>
      <c r="F1592" s="7">
        <v>115</v>
      </c>
      <c r="G1592" s="7">
        <v>50358</v>
      </c>
    </row>
    <row r="1593" spans="1:7" ht="18" x14ac:dyDescent="0.2">
      <c r="A1593" s="7" t="s">
        <v>37</v>
      </c>
      <c r="B1593" s="7" t="s">
        <v>1</v>
      </c>
      <c r="C1593" s="7" t="s">
        <v>19</v>
      </c>
      <c r="D1593" s="7">
        <f t="shared" si="31"/>
        <v>518</v>
      </c>
      <c r="E1593" s="7">
        <v>1936</v>
      </c>
      <c r="F1593" s="7">
        <v>115</v>
      </c>
      <c r="G1593" s="7">
        <v>51163</v>
      </c>
    </row>
    <row r="1594" spans="1:7" ht="18" x14ac:dyDescent="0.2">
      <c r="A1594" s="7" t="s">
        <v>37</v>
      </c>
      <c r="B1594" s="7" t="s">
        <v>1</v>
      </c>
      <c r="C1594" s="7" t="s">
        <v>19</v>
      </c>
      <c r="D1594" s="7">
        <f t="shared" si="31"/>
        <v>525</v>
      </c>
      <c r="E1594" s="7">
        <v>1938</v>
      </c>
      <c r="F1594" s="7">
        <v>115</v>
      </c>
      <c r="G1594" s="7">
        <v>51968</v>
      </c>
    </row>
    <row r="1595" spans="1:7" ht="18" x14ac:dyDescent="0.2">
      <c r="A1595" s="7" t="s">
        <v>37</v>
      </c>
      <c r="B1595" s="7" t="s">
        <v>1</v>
      </c>
      <c r="C1595" s="7" t="s">
        <v>19</v>
      </c>
      <c r="D1595" s="7">
        <f t="shared" si="31"/>
        <v>532</v>
      </c>
      <c r="E1595" s="7">
        <v>1940</v>
      </c>
      <c r="F1595" s="7">
        <v>115</v>
      </c>
      <c r="G1595" s="7">
        <v>52773</v>
      </c>
    </row>
    <row r="1596" spans="1:7" ht="18" x14ac:dyDescent="0.2">
      <c r="A1596" s="7" t="s">
        <v>37</v>
      </c>
      <c r="B1596" s="7" t="s">
        <v>1</v>
      </c>
      <c r="C1596" s="7" t="s">
        <v>19</v>
      </c>
      <c r="D1596" s="7">
        <f t="shared" si="31"/>
        <v>539</v>
      </c>
      <c r="E1596" s="7">
        <v>1941</v>
      </c>
      <c r="F1596" s="7">
        <v>115</v>
      </c>
      <c r="G1596" s="7">
        <v>53578</v>
      </c>
    </row>
    <row r="1597" spans="1:7" ht="18" x14ac:dyDescent="0.2">
      <c r="A1597" s="7" t="s">
        <v>37</v>
      </c>
      <c r="B1597" s="7" t="s">
        <v>1</v>
      </c>
      <c r="C1597" s="7" t="s">
        <v>19</v>
      </c>
      <c r="D1597" s="7">
        <f t="shared" si="31"/>
        <v>546</v>
      </c>
      <c r="E1597" s="7">
        <v>1942</v>
      </c>
      <c r="F1597" s="7">
        <v>115</v>
      </c>
      <c r="G1597" s="7">
        <v>54383</v>
      </c>
    </row>
    <row r="1598" spans="1:7" ht="18" x14ac:dyDescent="0.2">
      <c r="A1598" s="7" t="s">
        <v>37</v>
      </c>
      <c r="B1598" s="7" t="s">
        <v>1</v>
      </c>
      <c r="C1598" s="7" t="s">
        <v>19</v>
      </c>
      <c r="D1598" s="7">
        <f t="shared" si="31"/>
        <v>553</v>
      </c>
      <c r="E1598" s="7">
        <v>1943</v>
      </c>
      <c r="F1598" s="7">
        <v>115</v>
      </c>
      <c r="G1598" s="7">
        <v>55188</v>
      </c>
    </row>
    <row r="1599" spans="1:7" ht="18" x14ac:dyDescent="0.2">
      <c r="A1599" s="7" t="s">
        <v>37</v>
      </c>
      <c r="B1599" s="7" t="s">
        <v>1</v>
      </c>
      <c r="C1599" s="7" t="s">
        <v>19</v>
      </c>
      <c r="D1599" s="7">
        <f t="shared" si="31"/>
        <v>560</v>
      </c>
      <c r="E1599" s="7">
        <v>1944</v>
      </c>
      <c r="F1599" s="7">
        <v>115</v>
      </c>
      <c r="G1599" s="7">
        <v>55993</v>
      </c>
    </row>
    <row r="1600" spans="1:7" ht="18" x14ac:dyDescent="0.2">
      <c r="A1600" s="7" t="s">
        <v>37</v>
      </c>
      <c r="B1600" s="7" t="s">
        <v>1</v>
      </c>
      <c r="C1600" s="7" t="s">
        <v>19</v>
      </c>
      <c r="D1600" s="7">
        <f t="shared" si="31"/>
        <v>567</v>
      </c>
      <c r="E1600" s="7">
        <v>1945</v>
      </c>
      <c r="F1600" s="7">
        <v>115</v>
      </c>
      <c r="G1600" s="7">
        <v>56798</v>
      </c>
    </row>
    <row r="1601" spans="1:7" ht="18" x14ac:dyDescent="0.2">
      <c r="A1601" s="7" t="s">
        <v>37</v>
      </c>
      <c r="B1601" s="7" t="s">
        <v>1</v>
      </c>
      <c r="C1601" s="7" t="s">
        <v>19</v>
      </c>
      <c r="D1601" s="7">
        <f t="shared" si="31"/>
        <v>574</v>
      </c>
      <c r="E1601" s="7">
        <v>1946</v>
      </c>
      <c r="F1601" s="7">
        <v>115</v>
      </c>
      <c r="G1601" s="7">
        <v>57603</v>
      </c>
    </row>
    <row r="1602" spans="1:7" ht="18" x14ac:dyDescent="0.2">
      <c r="A1602" s="7" t="s">
        <v>37</v>
      </c>
      <c r="B1602" s="7" t="s">
        <v>1</v>
      </c>
      <c r="C1602" s="7" t="s">
        <v>19</v>
      </c>
      <c r="D1602" s="7">
        <f t="shared" si="31"/>
        <v>581</v>
      </c>
      <c r="E1602" s="7">
        <v>1947</v>
      </c>
      <c r="F1602" s="7">
        <v>115</v>
      </c>
      <c r="G1602" s="7">
        <v>58408</v>
      </c>
    </row>
    <row r="1603" spans="1:7" ht="18" x14ac:dyDescent="0.2">
      <c r="A1603" s="7" t="s">
        <v>37</v>
      </c>
      <c r="B1603" s="7" t="s">
        <v>1</v>
      </c>
      <c r="C1603" s="7" t="s">
        <v>19</v>
      </c>
      <c r="D1603" s="7">
        <f t="shared" si="31"/>
        <v>588</v>
      </c>
      <c r="E1603" s="7">
        <v>1948</v>
      </c>
      <c r="F1603" s="7">
        <v>115</v>
      </c>
      <c r="G1603" s="7">
        <v>59213</v>
      </c>
    </row>
    <row r="1604" spans="1:7" ht="18" x14ac:dyDescent="0.2">
      <c r="A1604" s="7" t="s">
        <v>37</v>
      </c>
      <c r="B1604" s="7" t="s">
        <v>1</v>
      </c>
      <c r="C1604" s="7" t="s">
        <v>19</v>
      </c>
      <c r="D1604" s="7">
        <f t="shared" si="31"/>
        <v>595</v>
      </c>
      <c r="E1604" s="7">
        <v>1949</v>
      </c>
      <c r="F1604" s="7">
        <v>115</v>
      </c>
      <c r="G1604" s="7">
        <v>60018</v>
      </c>
    </row>
    <row r="1605" spans="1:7" ht="18" x14ac:dyDescent="0.2">
      <c r="A1605" s="7" t="s">
        <v>37</v>
      </c>
      <c r="B1605" s="7" t="s">
        <v>1</v>
      </c>
      <c r="C1605" s="7" t="s">
        <v>19</v>
      </c>
      <c r="D1605" s="7">
        <f t="shared" si="31"/>
        <v>602</v>
      </c>
      <c r="E1605" s="7">
        <v>1950</v>
      </c>
      <c r="F1605" s="7">
        <v>115</v>
      </c>
      <c r="G1605" s="7">
        <v>60823</v>
      </c>
    </row>
    <row r="1606" spans="1:7" ht="18" x14ac:dyDescent="0.2">
      <c r="A1606" s="7" t="s">
        <v>37</v>
      </c>
      <c r="B1606" s="7" t="s">
        <v>1</v>
      </c>
      <c r="C1606" s="7" t="s">
        <v>19</v>
      </c>
      <c r="D1606" s="7">
        <f t="shared" si="31"/>
        <v>609</v>
      </c>
      <c r="E1606" s="7">
        <v>1950</v>
      </c>
      <c r="F1606" s="7">
        <v>115</v>
      </c>
      <c r="G1606" s="7">
        <v>61628</v>
      </c>
    </row>
    <row r="1607" spans="1:7" ht="18" x14ac:dyDescent="0.2">
      <c r="A1607" s="7" t="s">
        <v>37</v>
      </c>
      <c r="B1607" s="7" t="s">
        <v>1</v>
      </c>
      <c r="C1607" s="7" t="s">
        <v>19</v>
      </c>
      <c r="D1607" s="7">
        <f t="shared" si="31"/>
        <v>616</v>
      </c>
      <c r="E1607" s="7">
        <v>1950</v>
      </c>
      <c r="F1607" s="7">
        <v>115</v>
      </c>
      <c r="G1607" s="7">
        <v>62433</v>
      </c>
    </row>
    <row r="1608" spans="1:7" ht="18" x14ac:dyDescent="0.2">
      <c r="A1608" s="7" t="s">
        <v>37</v>
      </c>
      <c r="B1608" s="7" t="s">
        <v>1</v>
      </c>
      <c r="C1608" s="7" t="s">
        <v>19</v>
      </c>
      <c r="D1608" s="7">
        <f t="shared" si="31"/>
        <v>623</v>
      </c>
      <c r="E1608" s="7">
        <v>1950</v>
      </c>
      <c r="F1608" s="7">
        <v>115</v>
      </c>
      <c r="G1608" s="7">
        <v>63238</v>
      </c>
    </row>
    <row r="1609" spans="1:7" ht="18" x14ac:dyDescent="0.2">
      <c r="A1609" s="7" t="s">
        <v>37</v>
      </c>
      <c r="B1609" s="7" t="s">
        <v>1</v>
      </c>
      <c r="C1609" s="7" t="s">
        <v>19</v>
      </c>
      <c r="D1609" s="7">
        <f t="shared" si="31"/>
        <v>630</v>
      </c>
      <c r="E1609" s="7">
        <v>1950</v>
      </c>
      <c r="F1609" s="7">
        <v>115</v>
      </c>
      <c r="G1609" s="7">
        <v>64043</v>
      </c>
    </row>
    <row r="1610" spans="1:7" ht="18" x14ac:dyDescent="0.2">
      <c r="A1610" s="7" t="s">
        <v>37</v>
      </c>
      <c r="B1610" s="7" t="s">
        <v>1</v>
      </c>
      <c r="C1610" s="7" t="s">
        <v>19</v>
      </c>
      <c r="D1610" s="7">
        <f t="shared" si="31"/>
        <v>637</v>
      </c>
      <c r="E1610" s="7">
        <v>1950</v>
      </c>
      <c r="F1610" s="7">
        <v>115</v>
      </c>
      <c r="G1610" s="7">
        <v>64848</v>
      </c>
    </row>
    <row r="1611" spans="1:7" ht="18" x14ac:dyDescent="0.2">
      <c r="A1611" s="7" t="s">
        <v>37</v>
      </c>
      <c r="B1611" s="7" t="s">
        <v>1</v>
      </c>
      <c r="C1611" s="7" t="s">
        <v>19</v>
      </c>
      <c r="D1611" s="7">
        <f t="shared" si="31"/>
        <v>644</v>
      </c>
      <c r="E1611" s="7">
        <v>1950</v>
      </c>
      <c r="F1611" s="7">
        <v>115</v>
      </c>
      <c r="G1611" s="7">
        <v>65653</v>
      </c>
    </row>
    <row r="1612" spans="1:7" ht="18" x14ac:dyDescent="0.2">
      <c r="A1612" s="7" t="s">
        <v>37</v>
      </c>
      <c r="B1612" s="7" t="s">
        <v>1</v>
      </c>
      <c r="C1612" s="7" t="s">
        <v>19</v>
      </c>
      <c r="D1612" s="7">
        <f t="shared" si="31"/>
        <v>651</v>
      </c>
      <c r="E1612" s="7">
        <v>1950</v>
      </c>
      <c r="F1612" s="7">
        <v>115</v>
      </c>
      <c r="G1612" s="7">
        <v>66458</v>
      </c>
    </row>
    <row r="1613" spans="1:7" ht="18" x14ac:dyDescent="0.2">
      <c r="A1613" s="7" t="s">
        <v>37</v>
      </c>
      <c r="B1613" s="7" t="s">
        <v>1</v>
      </c>
      <c r="C1613" s="7" t="s">
        <v>19</v>
      </c>
      <c r="D1613" s="7">
        <f t="shared" si="31"/>
        <v>658</v>
      </c>
      <c r="E1613" s="7">
        <v>1950</v>
      </c>
      <c r="F1613" s="7">
        <v>115</v>
      </c>
      <c r="G1613" s="7">
        <v>67263</v>
      </c>
    </row>
    <row r="1614" spans="1:7" ht="18" x14ac:dyDescent="0.2">
      <c r="A1614" s="7" t="s">
        <v>37</v>
      </c>
      <c r="B1614" s="7" t="s">
        <v>1</v>
      </c>
      <c r="C1614" s="7" t="s">
        <v>19</v>
      </c>
      <c r="D1614" s="7">
        <f t="shared" si="31"/>
        <v>665</v>
      </c>
      <c r="E1614" s="7">
        <v>1950</v>
      </c>
      <c r="F1614" s="7">
        <v>115</v>
      </c>
      <c r="G1614" s="7">
        <v>68068</v>
      </c>
    </row>
    <row r="1615" spans="1:7" ht="18" x14ac:dyDescent="0.2">
      <c r="A1615" s="7" t="s">
        <v>37</v>
      </c>
      <c r="B1615" s="7" t="s">
        <v>1</v>
      </c>
      <c r="C1615" s="7" t="s">
        <v>19</v>
      </c>
      <c r="D1615" s="7">
        <f t="shared" si="31"/>
        <v>672</v>
      </c>
      <c r="E1615" s="7">
        <v>1950</v>
      </c>
      <c r="F1615" s="7">
        <v>115</v>
      </c>
      <c r="G1615" s="7">
        <v>68873</v>
      </c>
    </row>
    <row r="1616" spans="1:7" ht="18" x14ac:dyDescent="0.2">
      <c r="A1616" s="7" t="s">
        <v>37</v>
      </c>
      <c r="B1616" s="7" t="s">
        <v>1</v>
      </c>
      <c r="C1616" s="7" t="s">
        <v>19</v>
      </c>
      <c r="D1616" s="7">
        <f t="shared" si="31"/>
        <v>679</v>
      </c>
      <c r="E1616" s="7">
        <v>1950</v>
      </c>
      <c r="F1616" s="7">
        <v>115</v>
      </c>
      <c r="G1616" s="7">
        <v>69678</v>
      </c>
    </row>
    <row r="1617" spans="1:7" ht="18" x14ac:dyDescent="0.2">
      <c r="A1617" s="7" t="s">
        <v>37</v>
      </c>
      <c r="B1617" s="7" t="s">
        <v>1</v>
      </c>
      <c r="C1617" s="7" t="s">
        <v>19</v>
      </c>
      <c r="D1617" s="7">
        <f t="shared" si="31"/>
        <v>686</v>
      </c>
      <c r="E1617" s="7">
        <v>1950</v>
      </c>
      <c r="F1617" s="7">
        <v>115</v>
      </c>
      <c r="G1617" s="7">
        <v>70483</v>
      </c>
    </row>
    <row r="1618" spans="1:7" ht="18" x14ac:dyDescent="0.2">
      <c r="A1618" s="7" t="s">
        <v>37</v>
      </c>
      <c r="B1618" s="7" t="s">
        <v>1</v>
      </c>
      <c r="C1618" s="7" t="s">
        <v>19</v>
      </c>
      <c r="D1618" s="7">
        <f t="shared" si="31"/>
        <v>693</v>
      </c>
      <c r="E1618" s="7">
        <v>1950</v>
      </c>
      <c r="F1618" s="7">
        <v>115</v>
      </c>
      <c r="G1618" s="7">
        <v>71288</v>
      </c>
    </row>
    <row r="1619" spans="1:7" ht="18" x14ac:dyDescent="0.2">
      <c r="A1619" s="7" t="s">
        <v>37</v>
      </c>
      <c r="B1619" s="7" t="s">
        <v>1</v>
      </c>
      <c r="C1619" s="7" t="s">
        <v>19</v>
      </c>
      <c r="D1619" s="7">
        <f t="shared" si="31"/>
        <v>700</v>
      </c>
      <c r="E1619" s="7">
        <v>1950</v>
      </c>
      <c r="F1619" s="7">
        <v>115</v>
      </c>
      <c r="G1619" s="7">
        <v>72093</v>
      </c>
    </row>
    <row r="1620" spans="1:7" ht="18" x14ac:dyDescent="0.2">
      <c r="A1620" s="7" t="s">
        <v>37</v>
      </c>
      <c r="B1620" s="7" t="s">
        <v>0</v>
      </c>
      <c r="C1620" s="7" t="s">
        <v>10</v>
      </c>
      <c r="D1620" s="7">
        <v>7</v>
      </c>
      <c r="E1620" s="7">
        <v>60</v>
      </c>
      <c r="F1620" s="7">
        <v>9</v>
      </c>
      <c r="G1620" s="7">
        <v>63</v>
      </c>
    </row>
    <row r="1621" spans="1:7" ht="18" x14ac:dyDescent="0.2">
      <c r="A1621" s="7" t="s">
        <v>37</v>
      </c>
      <c r="B1621" s="7" t="s">
        <v>0</v>
      </c>
      <c r="C1621" s="7" t="s">
        <v>10</v>
      </c>
      <c r="D1621" s="7">
        <v>14</v>
      </c>
      <c r="E1621" s="7">
        <v>120</v>
      </c>
      <c r="F1621" s="7">
        <v>14</v>
      </c>
      <c r="G1621" s="7">
        <v>161</v>
      </c>
    </row>
    <row r="1622" spans="1:7" ht="18" x14ac:dyDescent="0.2">
      <c r="A1622" s="7" t="s">
        <v>37</v>
      </c>
      <c r="B1622" s="7" t="s">
        <v>0</v>
      </c>
      <c r="C1622" s="7" t="s">
        <v>10</v>
      </c>
      <c r="D1622" s="7">
        <f>D1621+7</f>
        <v>21</v>
      </c>
      <c r="E1622" s="7">
        <v>195</v>
      </c>
      <c r="F1622" s="7">
        <v>20</v>
      </c>
      <c r="G1622" s="7">
        <v>301</v>
      </c>
    </row>
    <row r="1623" spans="1:7" ht="18" x14ac:dyDescent="0.2">
      <c r="A1623" s="7" t="s">
        <v>37</v>
      </c>
      <c r="B1623" s="7" t="s">
        <v>0</v>
      </c>
      <c r="C1623" s="7" t="s">
        <v>10</v>
      </c>
      <c r="D1623" s="7">
        <f>D1622+7</f>
        <v>28</v>
      </c>
      <c r="E1623" s="7">
        <v>270</v>
      </c>
      <c r="F1623" s="7">
        <v>25</v>
      </c>
      <c r="G1623" s="7">
        <v>476</v>
      </c>
    </row>
    <row r="1624" spans="1:7" ht="18" x14ac:dyDescent="0.2">
      <c r="A1624" s="7" t="s">
        <v>37</v>
      </c>
      <c r="B1624" s="7" t="s">
        <v>0</v>
      </c>
      <c r="C1624" s="7" t="s">
        <v>10</v>
      </c>
      <c r="D1624" s="7">
        <f t="shared" ref="D1624:D1687" si="32">D1623+7</f>
        <v>35</v>
      </c>
      <c r="E1624" s="7">
        <v>345</v>
      </c>
      <c r="F1624" s="7">
        <v>30</v>
      </c>
      <c r="G1624" s="7">
        <v>686</v>
      </c>
    </row>
    <row r="1625" spans="1:7" ht="18" x14ac:dyDescent="0.2">
      <c r="A1625" s="7" t="s">
        <v>37</v>
      </c>
      <c r="B1625" s="7" t="s">
        <v>0</v>
      </c>
      <c r="C1625" s="7" t="s">
        <v>10</v>
      </c>
      <c r="D1625" s="7">
        <f t="shared" si="32"/>
        <v>42</v>
      </c>
      <c r="E1625" s="7">
        <v>425</v>
      </c>
      <c r="F1625" s="7">
        <v>35</v>
      </c>
      <c r="G1625" s="7">
        <v>931</v>
      </c>
    </row>
    <row r="1626" spans="1:7" ht="18" x14ac:dyDescent="0.2">
      <c r="A1626" s="7" t="s">
        <v>37</v>
      </c>
      <c r="B1626" s="7" t="s">
        <v>0</v>
      </c>
      <c r="C1626" s="7" t="s">
        <v>10</v>
      </c>
      <c r="D1626" s="7">
        <f t="shared" si="32"/>
        <v>49</v>
      </c>
      <c r="E1626" s="7">
        <v>505</v>
      </c>
      <c r="F1626" s="7">
        <v>40</v>
      </c>
      <c r="G1626" s="7">
        <v>1211</v>
      </c>
    </row>
    <row r="1627" spans="1:7" ht="18" x14ac:dyDescent="0.2">
      <c r="A1627" s="7" t="s">
        <v>37</v>
      </c>
      <c r="B1627" s="7" t="s">
        <v>0</v>
      </c>
      <c r="C1627" s="7" t="s">
        <v>10</v>
      </c>
      <c r="D1627" s="7">
        <f t="shared" si="32"/>
        <v>56</v>
      </c>
      <c r="E1627" s="7">
        <v>590</v>
      </c>
      <c r="F1627" s="7">
        <v>44</v>
      </c>
      <c r="G1627" s="7">
        <v>1519</v>
      </c>
    </row>
    <row r="1628" spans="1:7" ht="18" x14ac:dyDescent="0.2">
      <c r="A1628" s="7" t="s">
        <v>37</v>
      </c>
      <c r="B1628" s="7" t="s">
        <v>0</v>
      </c>
      <c r="C1628" s="7" t="s">
        <v>10</v>
      </c>
      <c r="D1628" s="7">
        <f t="shared" si="32"/>
        <v>63</v>
      </c>
      <c r="E1628" s="7">
        <v>670</v>
      </c>
      <c r="F1628" s="7">
        <v>47</v>
      </c>
      <c r="G1628" s="7">
        <v>1848</v>
      </c>
    </row>
    <row r="1629" spans="1:7" ht="18" x14ac:dyDescent="0.2">
      <c r="A1629" s="7" t="s">
        <v>37</v>
      </c>
      <c r="B1629" s="7" t="s">
        <v>0</v>
      </c>
      <c r="C1629" s="7" t="s">
        <v>10</v>
      </c>
      <c r="D1629" s="7">
        <f t="shared" si="32"/>
        <v>70</v>
      </c>
      <c r="E1629" s="7">
        <v>750</v>
      </c>
      <c r="F1629" s="7">
        <v>50</v>
      </c>
      <c r="G1629" s="7">
        <v>2198</v>
      </c>
    </row>
    <row r="1630" spans="1:7" ht="18" x14ac:dyDescent="0.2">
      <c r="A1630" s="7" t="s">
        <v>37</v>
      </c>
      <c r="B1630" s="7" t="s">
        <v>0</v>
      </c>
      <c r="C1630" s="7" t="s">
        <v>10</v>
      </c>
      <c r="D1630" s="7">
        <f t="shared" si="32"/>
        <v>77</v>
      </c>
      <c r="E1630" s="7">
        <v>830</v>
      </c>
      <c r="F1630" s="7">
        <v>53</v>
      </c>
      <c r="G1630" s="7">
        <v>2569</v>
      </c>
    </row>
    <row r="1631" spans="1:7" ht="18" x14ac:dyDescent="0.2">
      <c r="A1631" s="7" t="s">
        <v>37</v>
      </c>
      <c r="B1631" s="7" t="s">
        <v>0</v>
      </c>
      <c r="C1631" s="7" t="s">
        <v>10</v>
      </c>
      <c r="D1631" s="7">
        <f t="shared" si="32"/>
        <v>84</v>
      </c>
      <c r="E1631" s="7">
        <v>910</v>
      </c>
      <c r="F1631" s="7">
        <v>56</v>
      </c>
      <c r="G1631" s="7">
        <v>2961</v>
      </c>
    </row>
    <row r="1632" spans="1:7" ht="18" x14ac:dyDescent="0.2">
      <c r="A1632" s="7" t="s">
        <v>37</v>
      </c>
      <c r="B1632" s="7" t="s">
        <v>0</v>
      </c>
      <c r="C1632" s="7" t="s">
        <v>10</v>
      </c>
      <c r="D1632" s="7">
        <f t="shared" si="32"/>
        <v>91</v>
      </c>
      <c r="E1632" s="7">
        <v>980</v>
      </c>
      <c r="F1632" s="7">
        <v>59</v>
      </c>
      <c r="G1632" s="7">
        <v>3374</v>
      </c>
    </row>
    <row r="1633" spans="1:7" ht="18" x14ac:dyDescent="0.2">
      <c r="A1633" s="7" t="s">
        <v>37</v>
      </c>
      <c r="B1633" s="7" t="s">
        <v>0</v>
      </c>
      <c r="C1633" s="7" t="s">
        <v>10</v>
      </c>
      <c r="D1633" s="7">
        <f t="shared" si="32"/>
        <v>98</v>
      </c>
      <c r="E1633" s="7">
        <v>1050</v>
      </c>
      <c r="F1633" s="7">
        <v>62</v>
      </c>
      <c r="G1633" s="7">
        <v>3808</v>
      </c>
    </row>
    <row r="1634" spans="1:7" ht="18" x14ac:dyDescent="0.2">
      <c r="A1634" s="7" t="s">
        <v>37</v>
      </c>
      <c r="B1634" s="7" t="s">
        <v>0</v>
      </c>
      <c r="C1634" s="7" t="s">
        <v>10</v>
      </c>
      <c r="D1634" s="7">
        <f t="shared" si="32"/>
        <v>105</v>
      </c>
      <c r="E1634" s="7">
        <v>1115</v>
      </c>
      <c r="F1634" s="7">
        <v>65</v>
      </c>
      <c r="G1634" s="7">
        <v>4263</v>
      </c>
    </row>
    <row r="1635" spans="1:7" ht="18" x14ac:dyDescent="0.2">
      <c r="A1635" s="7" t="s">
        <v>37</v>
      </c>
      <c r="B1635" s="7" t="s">
        <v>0</v>
      </c>
      <c r="C1635" s="7" t="s">
        <v>10</v>
      </c>
      <c r="D1635" s="7">
        <f t="shared" si="32"/>
        <v>112</v>
      </c>
      <c r="E1635" s="7">
        <v>1175</v>
      </c>
      <c r="F1635" s="7">
        <v>68</v>
      </c>
      <c r="G1635" s="7">
        <v>4739</v>
      </c>
    </row>
    <row r="1636" spans="1:7" ht="18" x14ac:dyDescent="0.2">
      <c r="A1636" s="7" t="s">
        <v>37</v>
      </c>
      <c r="B1636" s="7" t="s">
        <v>0</v>
      </c>
      <c r="C1636" s="7" t="s">
        <v>10</v>
      </c>
      <c r="D1636" s="7">
        <f t="shared" si="32"/>
        <v>119</v>
      </c>
      <c r="E1636" s="7">
        <v>1230</v>
      </c>
      <c r="F1636" s="7">
        <v>72</v>
      </c>
      <c r="G1636" s="7">
        <v>5243</v>
      </c>
    </row>
    <row r="1637" spans="1:7" ht="18" x14ac:dyDescent="0.2">
      <c r="A1637" s="7" t="s">
        <v>37</v>
      </c>
      <c r="B1637" s="7" t="s">
        <v>0</v>
      </c>
      <c r="C1637" s="7" t="s">
        <v>10</v>
      </c>
      <c r="D1637" s="7">
        <f t="shared" si="32"/>
        <v>126</v>
      </c>
      <c r="E1637" s="7">
        <v>1275</v>
      </c>
      <c r="F1637" s="7">
        <v>78</v>
      </c>
      <c r="G1637" s="7">
        <v>5789</v>
      </c>
    </row>
    <row r="1638" spans="1:7" ht="18" x14ac:dyDescent="0.2">
      <c r="A1638" s="7" t="s">
        <v>37</v>
      </c>
      <c r="B1638" s="7" t="s">
        <v>0</v>
      </c>
      <c r="C1638" s="7" t="s">
        <v>10</v>
      </c>
      <c r="D1638" s="7">
        <f t="shared" si="32"/>
        <v>133</v>
      </c>
      <c r="E1638" s="7">
        <v>1335</v>
      </c>
      <c r="F1638" s="7">
        <v>85</v>
      </c>
      <c r="G1638" s="7">
        <v>6384</v>
      </c>
    </row>
    <row r="1639" spans="1:7" ht="18" x14ac:dyDescent="0.2">
      <c r="A1639" s="7" t="s">
        <v>37</v>
      </c>
      <c r="B1639" s="7" t="s">
        <v>0</v>
      </c>
      <c r="C1639" s="7" t="s">
        <v>10</v>
      </c>
      <c r="D1639" s="7">
        <f t="shared" si="32"/>
        <v>140</v>
      </c>
      <c r="E1639" s="7">
        <v>1395</v>
      </c>
      <c r="F1639" s="7">
        <v>90</v>
      </c>
      <c r="G1639" s="7">
        <v>7014</v>
      </c>
    </row>
    <row r="1640" spans="1:7" ht="18" x14ac:dyDescent="0.2">
      <c r="A1640" s="7" t="s">
        <v>37</v>
      </c>
      <c r="B1640" s="7" t="s">
        <v>0</v>
      </c>
      <c r="C1640" s="7" t="s">
        <v>10</v>
      </c>
      <c r="D1640" s="7">
        <f t="shared" si="32"/>
        <v>147</v>
      </c>
      <c r="E1640" s="7">
        <v>1470</v>
      </c>
      <c r="F1640" s="7">
        <v>94</v>
      </c>
      <c r="G1640" s="7">
        <v>7672</v>
      </c>
    </row>
    <row r="1641" spans="1:7" ht="18" x14ac:dyDescent="0.2">
      <c r="A1641" s="7" t="s">
        <v>37</v>
      </c>
      <c r="B1641" s="7" t="s">
        <v>0</v>
      </c>
      <c r="C1641" s="7" t="s">
        <v>10</v>
      </c>
      <c r="D1641" s="7">
        <f t="shared" si="32"/>
        <v>154</v>
      </c>
      <c r="E1641" s="7">
        <v>1520</v>
      </c>
      <c r="F1641" s="7">
        <v>98</v>
      </c>
      <c r="G1641" s="7">
        <v>8358</v>
      </c>
    </row>
    <row r="1642" spans="1:7" ht="18" x14ac:dyDescent="0.2">
      <c r="A1642" s="7" t="s">
        <v>37</v>
      </c>
      <c r="B1642" s="7" t="s">
        <v>0</v>
      </c>
      <c r="C1642" s="7" t="s">
        <v>10</v>
      </c>
      <c r="D1642" s="7">
        <f t="shared" si="32"/>
        <v>161</v>
      </c>
      <c r="E1642" s="7">
        <v>1555</v>
      </c>
      <c r="F1642" s="7">
        <v>103</v>
      </c>
      <c r="G1642" s="7">
        <v>9079</v>
      </c>
    </row>
    <row r="1643" spans="1:7" ht="18" x14ac:dyDescent="0.2">
      <c r="A1643" s="7" t="s">
        <v>37</v>
      </c>
      <c r="B1643" s="7" t="s">
        <v>0</v>
      </c>
      <c r="C1643" s="7" t="s">
        <v>10</v>
      </c>
      <c r="D1643" s="7">
        <f t="shared" si="32"/>
        <v>168</v>
      </c>
      <c r="E1643" s="7">
        <v>1575</v>
      </c>
      <c r="F1643" s="7">
        <v>104</v>
      </c>
      <c r="G1643" s="7">
        <v>9807</v>
      </c>
    </row>
    <row r="1644" spans="1:7" ht="18" x14ac:dyDescent="0.2">
      <c r="A1644" s="7" t="s">
        <v>37</v>
      </c>
      <c r="B1644" s="7" t="s">
        <v>0</v>
      </c>
      <c r="C1644" s="7" t="s">
        <v>10</v>
      </c>
      <c r="D1644" s="7">
        <f t="shared" si="32"/>
        <v>175</v>
      </c>
      <c r="E1644" s="7">
        <v>1590</v>
      </c>
      <c r="F1644" s="7">
        <v>105</v>
      </c>
      <c r="G1644" s="7">
        <v>10542</v>
      </c>
    </row>
    <row r="1645" spans="1:7" ht="18" x14ac:dyDescent="0.2">
      <c r="A1645" s="7" t="s">
        <v>37</v>
      </c>
      <c r="B1645" s="7" t="s">
        <v>0</v>
      </c>
      <c r="C1645" s="7" t="s">
        <v>10</v>
      </c>
      <c r="D1645" s="7">
        <f t="shared" si="32"/>
        <v>182</v>
      </c>
      <c r="E1645" s="7">
        <v>1605</v>
      </c>
      <c r="F1645" s="7">
        <v>106</v>
      </c>
      <c r="G1645" s="7">
        <v>11284</v>
      </c>
    </row>
    <row r="1646" spans="1:7" ht="18" x14ac:dyDescent="0.2">
      <c r="A1646" s="7" t="s">
        <v>37</v>
      </c>
      <c r="B1646" s="7" t="s">
        <v>0</v>
      </c>
      <c r="C1646" s="7" t="s">
        <v>10</v>
      </c>
      <c r="D1646" s="7">
        <f t="shared" si="32"/>
        <v>189</v>
      </c>
      <c r="E1646" s="7">
        <v>1615</v>
      </c>
      <c r="F1646" s="7">
        <v>107</v>
      </c>
      <c r="G1646" s="7">
        <v>12033</v>
      </c>
    </row>
    <row r="1647" spans="1:7" ht="18" x14ac:dyDescent="0.2">
      <c r="A1647" s="7" t="s">
        <v>37</v>
      </c>
      <c r="B1647" s="7" t="s">
        <v>0</v>
      </c>
      <c r="C1647" s="7" t="s">
        <v>10</v>
      </c>
      <c r="D1647" s="7">
        <f t="shared" si="32"/>
        <v>196</v>
      </c>
      <c r="E1647" s="7">
        <v>1625</v>
      </c>
      <c r="F1647" s="7">
        <v>108</v>
      </c>
      <c r="G1647" s="7">
        <v>12789</v>
      </c>
    </row>
    <row r="1648" spans="1:7" ht="18" x14ac:dyDescent="0.2">
      <c r="A1648" s="7" t="s">
        <v>37</v>
      </c>
      <c r="B1648" s="7" t="s">
        <v>0</v>
      </c>
      <c r="C1648" s="7" t="s">
        <v>10</v>
      </c>
      <c r="D1648" s="7">
        <f t="shared" si="32"/>
        <v>203</v>
      </c>
      <c r="E1648" s="7">
        <v>1633</v>
      </c>
      <c r="F1648" s="7">
        <v>109</v>
      </c>
      <c r="G1648" s="7">
        <v>13552</v>
      </c>
    </row>
    <row r="1649" spans="1:7" ht="18" x14ac:dyDescent="0.2">
      <c r="A1649" s="7" t="s">
        <v>37</v>
      </c>
      <c r="B1649" s="7" t="s">
        <v>0</v>
      </c>
      <c r="C1649" s="7" t="s">
        <v>10</v>
      </c>
      <c r="D1649" s="7">
        <f t="shared" si="32"/>
        <v>210</v>
      </c>
      <c r="E1649" s="7">
        <v>1640</v>
      </c>
      <c r="F1649" s="7">
        <v>110</v>
      </c>
      <c r="G1649" s="7">
        <v>14322</v>
      </c>
    </row>
    <row r="1650" spans="1:7" ht="18" x14ac:dyDescent="0.2">
      <c r="A1650" s="7" t="s">
        <v>37</v>
      </c>
      <c r="B1650" s="7" t="s">
        <v>0</v>
      </c>
      <c r="C1650" s="7" t="s">
        <v>10</v>
      </c>
      <c r="D1650" s="7">
        <f t="shared" si="32"/>
        <v>217</v>
      </c>
      <c r="E1650" s="7">
        <v>1644</v>
      </c>
      <c r="F1650" s="7">
        <v>111</v>
      </c>
      <c r="G1650" s="7">
        <v>15099</v>
      </c>
    </row>
    <row r="1651" spans="1:7" ht="18" x14ac:dyDescent="0.2">
      <c r="A1651" s="7" t="s">
        <v>37</v>
      </c>
      <c r="B1651" s="7" t="s">
        <v>0</v>
      </c>
      <c r="C1651" s="7" t="s">
        <v>10</v>
      </c>
      <c r="D1651" s="7">
        <f t="shared" si="32"/>
        <v>224</v>
      </c>
      <c r="E1651" s="7">
        <v>1648</v>
      </c>
      <c r="F1651" s="7">
        <v>111</v>
      </c>
      <c r="G1651" s="7">
        <v>15876</v>
      </c>
    </row>
    <row r="1652" spans="1:7" ht="18" x14ac:dyDescent="0.2">
      <c r="A1652" s="7" t="s">
        <v>37</v>
      </c>
      <c r="B1652" s="7" t="s">
        <v>0</v>
      </c>
      <c r="C1652" s="7" t="s">
        <v>10</v>
      </c>
      <c r="D1652" s="7">
        <f t="shared" si="32"/>
        <v>231</v>
      </c>
      <c r="E1652" s="7">
        <v>1652</v>
      </c>
      <c r="F1652" s="7">
        <v>111</v>
      </c>
      <c r="G1652" s="7">
        <v>16653</v>
      </c>
    </row>
    <row r="1653" spans="1:7" ht="18" x14ac:dyDescent="0.2">
      <c r="A1653" s="7" t="s">
        <v>37</v>
      </c>
      <c r="B1653" s="7" t="s">
        <v>0</v>
      </c>
      <c r="C1653" s="7" t="s">
        <v>10</v>
      </c>
      <c r="D1653" s="7">
        <f t="shared" si="32"/>
        <v>238</v>
      </c>
      <c r="E1653" s="7">
        <v>1656</v>
      </c>
      <c r="F1653" s="7">
        <v>111</v>
      </c>
      <c r="G1653" s="7">
        <v>17430</v>
      </c>
    </row>
    <row r="1654" spans="1:7" ht="18" x14ac:dyDescent="0.2">
      <c r="A1654" s="7" t="s">
        <v>37</v>
      </c>
      <c r="B1654" s="7" t="s">
        <v>0</v>
      </c>
      <c r="C1654" s="7" t="s">
        <v>10</v>
      </c>
      <c r="D1654" s="7">
        <f t="shared" si="32"/>
        <v>245</v>
      </c>
      <c r="E1654" s="7">
        <v>1660</v>
      </c>
      <c r="F1654" s="7">
        <v>111</v>
      </c>
      <c r="G1654" s="7">
        <v>18207</v>
      </c>
    </row>
    <row r="1655" spans="1:7" ht="18" x14ac:dyDescent="0.2">
      <c r="A1655" s="7" t="s">
        <v>37</v>
      </c>
      <c r="B1655" s="7" t="s">
        <v>0</v>
      </c>
      <c r="C1655" s="7" t="s">
        <v>10</v>
      </c>
      <c r="D1655" s="7">
        <f t="shared" si="32"/>
        <v>252</v>
      </c>
      <c r="E1655" s="7">
        <v>1663</v>
      </c>
      <c r="F1655" s="7">
        <v>111</v>
      </c>
      <c r="G1655" s="7">
        <v>18984</v>
      </c>
    </row>
    <row r="1656" spans="1:7" ht="18" x14ac:dyDescent="0.2">
      <c r="A1656" s="7" t="s">
        <v>37</v>
      </c>
      <c r="B1656" s="7" t="s">
        <v>0</v>
      </c>
      <c r="C1656" s="7" t="s">
        <v>10</v>
      </c>
      <c r="D1656" s="7">
        <f t="shared" si="32"/>
        <v>259</v>
      </c>
      <c r="E1656" s="7">
        <v>1666</v>
      </c>
      <c r="F1656" s="7">
        <v>111</v>
      </c>
      <c r="G1656" s="7">
        <v>19761</v>
      </c>
    </row>
    <row r="1657" spans="1:7" ht="18" x14ac:dyDescent="0.2">
      <c r="A1657" s="7" t="s">
        <v>37</v>
      </c>
      <c r="B1657" s="7" t="s">
        <v>0</v>
      </c>
      <c r="C1657" s="7" t="s">
        <v>10</v>
      </c>
      <c r="D1657" s="7">
        <f t="shared" si="32"/>
        <v>266</v>
      </c>
      <c r="E1657" s="7">
        <v>1669</v>
      </c>
      <c r="F1657" s="7">
        <v>111</v>
      </c>
      <c r="G1657" s="7">
        <v>20538</v>
      </c>
    </row>
    <row r="1658" spans="1:7" ht="18" x14ac:dyDescent="0.2">
      <c r="A1658" s="7" t="s">
        <v>37</v>
      </c>
      <c r="B1658" s="7" t="s">
        <v>0</v>
      </c>
      <c r="C1658" s="7" t="s">
        <v>10</v>
      </c>
      <c r="D1658" s="7">
        <f t="shared" si="32"/>
        <v>273</v>
      </c>
      <c r="E1658" s="7">
        <v>1672</v>
      </c>
      <c r="F1658" s="7">
        <v>111</v>
      </c>
      <c r="G1658" s="7">
        <v>21315</v>
      </c>
    </row>
    <row r="1659" spans="1:7" ht="18" x14ac:dyDescent="0.2">
      <c r="A1659" s="7" t="s">
        <v>37</v>
      </c>
      <c r="B1659" s="7" t="s">
        <v>0</v>
      </c>
      <c r="C1659" s="7" t="s">
        <v>10</v>
      </c>
      <c r="D1659" s="7">
        <f t="shared" si="32"/>
        <v>280</v>
      </c>
      <c r="E1659" s="7">
        <v>1675</v>
      </c>
      <c r="F1659" s="7">
        <v>111</v>
      </c>
      <c r="G1659" s="7">
        <v>22092</v>
      </c>
    </row>
    <row r="1660" spans="1:7" ht="18" x14ac:dyDescent="0.2">
      <c r="A1660" s="7" t="s">
        <v>37</v>
      </c>
      <c r="B1660" s="7" t="s">
        <v>0</v>
      </c>
      <c r="C1660" s="7" t="s">
        <v>10</v>
      </c>
      <c r="D1660" s="7">
        <f t="shared" si="32"/>
        <v>287</v>
      </c>
      <c r="E1660" s="7">
        <v>1677</v>
      </c>
      <c r="F1660" s="7">
        <v>111</v>
      </c>
      <c r="G1660" s="7">
        <v>22869</v>
      </c>
    </row>
    <row r="1661" spans="1:7" ht="18" x14ac:dyDescent="0.2">
      <c r="A1661" s="7" t="s">
        <v>37</v>
      </c>
      <c r="B1661" s="7" t="s">
        <v>0</v>
      </c>
      <c r="C1661" s="7" t="s">
        <v>10</v>
      </c>
      <c r="D1661" s="7">
        <f t="shared" si="32"/>
        <v>294</v>
      </c>
      <c r="E1661" s="7">
        <v>1679</v>
      </c>
      <c r="F1661" s="7">
        <v>111</v>
      </c>
      <c r="G1661" s="7">
        <v>23646</v>
      </c>
    </row>
    <row r="1662" spans="1:7" ht="18" x14ac:dyDescent="0.2">
      <c r="A1662" s="7" t="s">
        <v>37</v>
      </c>
      <c r="B1662" s="7" t="s">
        <v>0</v>
      </c>
      <c r="C1662" s="7" t="s">
        <v>10</v>
      </c>
      <c r="D1662" s="7">
        <f t="shared" si="32"/>
        <v>301</v>
      </c>
      <c r="E1662" s="7">
        <v>1681</v>
      </c>
      <c r="F1662" s="7">
        <v>111</v>
      </c>
      <c r="G1662" s="7">
        <v>24423</v>
      </c>
    </row>
    <row r="1663" spans="1:7" ht="18" x14ac:dyDescent="0.2">
      <c r="A1663" s="7" t="s">
        <v>37</v>
      </c>
      <c r="B1663" s="7" t="s">
        <v>0</v>
      </c>
      <c r="C1663" s="7" t="s">
        <v>10</v>
      </c>
      <c r="D1663" s="7">
        <f t="shared" si="32"/>
        <v>308</v>
      </c>
      <c r="E1663" s="7">
        <v>1683</v>
      </c>
      <c r="F1663" s="7">
        <v>111</v>
      </c>
      <c r="G1663" s="7">
        <v>25200</v>
      </c>
    </row>
    <row r="1664" spans="1:7" ht="18" x14ac:dyDescent="0.2">
      <c r="A1664" s="7" t="s">
        <v>37</v>
      </c>
      <c r="B1664" s="7" t="s">
        <v>0</v>
      </c>
      <c r="C1664" s="7" t="s">
        <v>10</v>
      </c>
      <c r="D1664" s="7">
        <f t="shared" si="32"/>
        <v>315</v>
      </c>
      <c r="E1664" s="7">
        <v>1685</v>
      </c>
      <c r="F1664" s="7">
        <v>111</v>
      </c>
      <c r="G1664" s="7">
        <v>25977</v>
      </c>
    </row>
    <row r="1665" spans="1:7" ht="18" x14ac:dyDescent="0.2">
      <c r="A1665" s="7" t="s">
        <v>37</v>
      </c>
      <c r="B1665" s="7" t="s">
        <v>0</v>
      </c>
      <c r="C1665" s="7" t="s">
        <v>10</v>
      </c>
      <c r="D1665" s="7">
        <f t="shared" si="32"/>
        <v>322</v>
      </c>
      <c r="E1665" s="7">
        <v>1686</v>
      </c>
      <c r="F1665" s="7">
        <v>111</v>
      </c>
      <c r="G1665" s="7">
        <v>26754</v>
      </c>
    </row>
    <row r="1666" spans="1:7" ht="18" x14ac:dyDescent="0.2">
      <c r="A1666" s="7" t="s">
        <v>37</v>
      </c>
      <c r="B1666" s="7" t="s">
        <v>0</v>
      </c>
      <c r="C1666" s="7" t="s">
        <v>10</v>
      </c>
      <c r="D1666" s="7">
        <f t="shared" si="32"/>
        <v>329</v>
      </c>
      <c r="E1666" s="7">
        <v>1687</v>
      </c>
      <c r="F1666" s="7">
        <v>111</v>
      </c>
      <c r="G1666" s="7">
        <v>27531</v>
      </c>
    </row>
    <row r="1667" spans="1:7" ht="18" x14ac:dyDescent="0.2">
      <c r="A1667" s="7" t="s">
        <v>37</v>
      </c>
      <c r="B1667" s="7" t="s">
        <v>0</v>
      </c>
      <c r="C1667" s="7" t="s">
        <v>10</v>
      </c>
      <c r="D1667" s="7">
        <f t="shared" si="32"/>
        <v>336</v>
      </c>
      <c r="E1667" s="7">
        <v>1688</v>
      </c>
      <c r="F1667" s="7">
        <v>111</v>
      </c>
      <c r="G1667" s="7">
        <v>28308</v>
      </c>
    </row>
    <row r="1668" spans="1:7" ht="18" x14ac:dyDescent="0.2">
      <c r="A1668" s="7" t="s">
        <v>37</v>
      </c>
      <c r="B1668" s="7" t="s">
        <v>0</v>
      </c>
      <c r="C1668" s="7" t="s">
        <v>10</v>
      </c>
      <c r="D1668" s="7">
        <f t="shared" si="32"/>
        <v>343</v>
      </c>
      <c r="E1668" s="7">
        <v>1689</v>
      </c>
      <c r="F1668" s="7">
        <v>111</v>
      </c>
      <c r="G1668" s="7">
        <v>29085</v>
      </c>
    </row>
    <row r="1669" spans="1:7" ht="18" x14ac:dyDescent="0.2">
      <c r="A1669" s="7" t="s">
        <v>37</v>
      </c>
      <c r="B1669" s="7" t="s">
        <v>0</v>
      </c>
      <c r="C1669" s="7" t="s">
        <v>10</v>
      </c>
      <c r="D1669" s="7">
        <f t="shared" si="32"/>
        <v>350</v>
      </c>
      <c r="E1669" s="7">
        <v>1690</v>
      </c>
      <c r="F1669" s="7">
        <v>111</v>
      </c>
      <c r="G1669" s="7">
        <v>29862</v>
      </c>
    </row>
    <row r="1670" spans="1:7" ht="18" x14ac:dyDescent="0.2">
      <c r="A1670" s="7" t="s">
        <v>37</v>
      </c>
      <c r="B1670" s="7" t="s">
        <v>0</v>
      </c>
      <c r="C1670" s="7" t="s">
        <v>10</v>
      </c>
      <c r="D1670" s="7">
        <f t="shared" si="32"/>
        <v>357</v>
      </c>
      <c r="E1670" s="7">
        <v>1691</v>
      </c>
      <c r="F1670" s="7">
        <v>111</v>
      </c>
      <c r="G1670" s="7">
        <v>30639</v>
      </c>
    </row>
    <row r="1671" spans="1:7" ht="18" x14ac:dyDescent="0.2">
      <c r="A1671" s="7" t="s">
        <v>37</v>
      </c>
      <c r="B1671" s="7" t="s">
        <v>0</v>
      </c>
      <c r="C1671" s="7" t="s">
        <v>10</v>
      </c>
      <c r="D1671" s="7">
        <f t="shared" si="32"/>
        <v>364</v>
      </c>
      <c r="E1671" s="7">
        <v>1692</v>
      </c>
      <c r="F1671" s="7">
        <v>111</v>
      </c>
      <c r="G1671" s="7">
        <v>31416</v>
      </c>
    </row>
    <row r="1672" spans="1:7" ht="18" x14ac:dyDescent="0.2">
      <c r="A1672" s="7" t="s">
        <v>37</v>
      </c>
      <c r="B1672" s="7" t="s">
        <v>0</v>
      </c>
      <c r="C1672" s="7" t="s">
        <v>10</v>
      </c>
      <c r="D1672" s="7">
        <f t="shared" si="32"/>
        <v>371</v>
      </c>
      <c r="E1672" s="7">
        <v>1693</v>
      </c>
      <c r="F1672" s="7">
        <v>111</v>
      </c>
      <c r="G1672" s="7">
        <v>32193</v>
      </c>
    </row>
    <row r="1673" spans="1:7" ht="18" x14ac:dyDescent="0.2">
      <c r="A1673" s="7" t="s">
        <v>37</v>
      </c>
      <c r="B1673" s="7" t="s">
        <v>0</v>
      </c>
      <c r="C1673" s="7" t="s">
        <v>10</v>
      </c>
      <c r="D1673" s="7">
        <f t="shared" si="32"/>
        <v>378</v>
      </c>
      <c r="E1673" s="7">
        <v>1694</v>
      </c>
      <c r="F1673" s="7">
        <v>111</v>
      </c>
      <c r="G1673" s="7">
        <v>32970</v>
      </c>
    </row>
    <row r="1674" spans="1:7" ht="18" x14ac:dyDescent="0.2">
      <c r="A1674" s="7" t="s">
        <v>37</v>
      </c>
      <c r="B1674" s="7" t="s">
        <v>0</v>
      </c>
      <c r="C1674" s="7" t="s">
        <v>10</v>
      </c>
      <c r="D1674" s="7">
        <f t="shared" si="32"/>
        <v>385</v>
      </c>
      <c r="E1674" s="7">
        <v>1695</v>
      </c>
      <c r="F1674" s="7">
        <v>111</v>
      </c>
      <c r="G1674" s="7">
        <v>33747</v>
      </c>
    </row>
    <row r="1675" spans="1:7" ht="18" x14ac:dyDescent="0.2">
      <c r="A1675" s="7" t="s">
        <v>37</v>
      </c>
      <c r="B1675" s="7" t="s">
        <v>0</v>
      </c>
      <c r="C1675" s="7" t="s">
        <v>10</v>
      </c>
      <c r="D1675" s="7">
        <f t="shared" si="32"/>
        <v>392</v>
      </c>
      <c r="E1675" s="7">
        <v>1696</v>
      </c>
      <c r="F1675" s="7">
        <v>111</v>
      </c>
      <c r="G1675" s="7">
        <v>34524</v>
      </c>
    </row>
    <row r="1676" spans="1:7" ht="18" x14ac:dyDescent="0.2">
      <c r="A1676" s="7" t="s">
        <v>37</v>
      </c>
      <c r="B1676" s="7" t="s">
        <v>0</v>
      </c>
      <c r="C1676" s="7" t="s">
        <v>10</v>
      </c>
      <c r="D1676" s="7">
        <f t="shared" si="32"/>
        <v>399</v>
      </c>
      <c r="E1676" s="7">
        <v>1697</v>
      </c>
      <c r="F1676" s="7">
        <v>111</v>
      </c>
      <c r="G1676" s="7">
        <v>35301</v>
      </c>
    </row>
    <row r="1677" spans="1:7" ht="18" x14ac:dyDescent="0.2">
      <c r="A1677" s="7" t="s">
        <v>37</v>
      </c>
      <c r="B1677" s="7" t="s">
        <v>0</v>
      </c>
      <c r="C1677" s="7" t="s">
        <v>10</v>
      </c>
      <c r="D1677" s="7">
        <f t="shared" si="32"/>
        <v>406</v>
      </c>
      <c r="E1677" s="7">
        <v>1698</v>
      </c>
      <c r="F1677" s="7">
        <v>111</v>
      </c>
      <c r="G1677" s="7">
        <v>36078</v>
      </c>
    </row>
    <row r="1678" spans="1:7" ht="18" x14ac:dyDescent="0.2">
      <c r="A1678" s="7" t="s">
        <v>37</v>
      </c>
      <c r="B1678" s="7" t="s">
        <v>0</v>
      </c>
      <c r="C1678" s="7" t="s">
        <v>10</v>
      </c>
      <c r="D1678" s="7">
        <f t="shared" si="32"/>
        <v>413</v>
      </c>
      <c r="E1678" s="7">
        <v>1699</v>
      </c>
      <c r="F1678" s="7">
        <v>111</v>
      </c>
      <c r="G1678" s="7">
        <v>36855</v>
      </c>
    </row>
    <row r="1679" spans="1:7" ht="18" x14ac:dyDescent="0.2">
      <c r="A1679" s="7" t="s">
        <v>37</v>
      </c>
      <c r="B1679" s="7" t="s">
        <v>0</v>
      </c>
      <c r="C1679" s="7" t="s">
        <v>10</v>
      </c>
      <c r="D1679" s="7">
        <f t="shared" si="32"/>
        <v>420</v>
      </c>
      <c r="E1679" s="7">
        <v>1700</v>
      </c>
      <c r="F1679" s="7">
        <v>111</v>
      </c>
      <c r="G1679" s="7">
        <v>37632</v>
      </c>
    </row>
    <row r="1680" spans="1:7" ht="18" x14ac:dyDescent="0.2">
      <c r="A1680" s="7" t="s">
        <v>37</v>
      </c>
      <c r="B1680" s="7" t="s">
        <v>0</v>
      </c>
      <c r="C1680" s="7" t="s">
        <v>10</v>
      </c>
      <c r="D1680" s="7">
        <f t="shared" si="32"/>
        <v>427</v>
      </c>
      <c r="E1680" s="7">
        <v>1701</v>
      </c>
      <c r="F1680" s="7">
        <v>111</v>
      </c>
      <c r="G1680" s="7">
        <v>38409</v>
      </c>
    </row>
    <row r="1681" spans="1:7" ht="18" x14ac:dyDescent="0.2">
      <c r="A1681" s="7" t="s">
        <v>37</v>
      </c>
      <c r="B1681" s="7" t="s">
        <v>0</v>
      </c>
      <c r="C1681" s="7" t="s">
        <v>10</v>
      </c>
      <c r="D1681" s="7">
        <f t="shared" si="32"/>
        <v>434</v>
      </c>
      <c r="E1681" s="7">
        <v>1702</v>
      </c>
      <c r="F1681" s="7">
        <v>111</v>
      </c>
      <c r="G1681" s="7">
        <v>39186</v>
      </c>
    </row>
    <row r="1682" spans="1:7" ht="18" x14ac:dyDescent="0.2">
      <c r="A1682" s="7" t="s">
        <v>37</v>
      </c>
      <c r="B1682" s="7" t="s">
        <v>0</v>
      </c>
      <c r="C1682" s="7" t="s">
        <v>10</v>
      </c>
      <c r="D1682" s="7">
        <f t="shared" si="32"/>
        <v>441</v>
      </c>
      <c r="E1682" s="7">
        <v>1703</v>
      </c>
      <c r="F1682" s="7">
        <v>111</v>
      </c>
      <c r="G1682" s="7">
        <v>39963</v>
      </c>
    </row>
    <row r="1683" spans="1:7" ht="18" x14ac:dyDescent="0.2">
      <c r="A1683" s="7" t="s">
        <v>37</v>
      </c>
      <c r="B1683" s="7" t="s">
        <v>0</v>
      </c>
      <c r="C1683" s="7" t="s">
        <v>10</v>
      </c>
      <c r="D1683" s="7">
        <f t="shared" si="32"/>
        <v>448</v>
      </c>
      <c r="E1683" s="7">
        <v>1704</v>
      </c>
      <c r="F1683" s="7">
        <v>111</v>
      </c>
      <c r="G1683" s="7">
        <v>40740</v>
      </c>
    </row>
    <row r="1684" spans="1:7" ht="18" x14ac:dyDescent="0.2">
      <c r="A1684" s="7" t="s">
        <v>37</v>
      </c>
      <c r="B1684" s="7" t="s">
        <v>0</v>
      </c>
      <c r="C1684" s="7" t="s">
        <v>10</v>
      </c>
      <c r="D1684" s="7">
        <f t="shared" si="32"/>
        <v>455</v>
      </c>
      <c r="E1684" s="7">
        <v>1705</v>
      </c>
      <c r="F1684" s="7">
        <v>111</v>
      </c>
      <c r="G1684" s="7">
        <v>41517</v>
      </c>
    </row>
    <row r="1685" spans="1:7" ht="18" x14ac:dyDescent="0.2">
      <c r="A1685" s="7" t="s">
        <v>37</v>
      </c>
      <c r="B1685" s="7" t="s">
        <v>0</v>
      </c>
      <c r="C1685" s="7" t="s">
        <v>10</v>
      </c>
      <c r="D1685" s="7">
        <f t="shared" si="32"/>
        <v>462</v>
      </c>
      <c r="E1685" s="7">
        <v>1706</v>
      </c>
      <c r="F1685" s="7">
        <v>111</v>
      </c>
      <c r="G1685" s="7">
        <v>42294</v>
      </c>
    </row>
    <row r="1686" spans="1:7" ht="18" x14ac:dyDescent="0.2">
      <c r="A1686" s="7" t="s">
        <v>37</v>
      </c>
      <c r="B1686" s="7" t="s">
        <v>0</v>
      </c>
      <c r="C1686" s="7" t="s">
        <v>10</v>
      </c>
      <c r="D1686" s="7">
        <f t="shared" si="32"/>
        <v>469</v>
      </c>
      <c r="E1686" s="7">
        <v>1707</v>
      </c>
      <c r="F1686" s="7">
        <v>111</v>
      </c>
      <c r="G1686" s="7">
        <v>43071</v>
      </c>
    </row>
    <row r="1687" spans="1:7" ht="18" x14ac:dyDescent="0.2">
      <c r="A1687" s="7" t="s">
        <v>37</v>
      </c>
      <c r="B1687" s="7" t="s">
        <v>0</v>
      </c>
      <c r="C1687" s="7" t="s">
        <v>10</v>
      </c>
      <c r="D1687" s="7">
        <f t="shared" si="32"/>
        <v>476</v>
      </c>
      <c r="E1687" s="7">
        <v>1708</v>
      </c>
      <c r="F1687" s="7">
        <v>111</v>
      </c>
      <c r="G1687" s="7">
        <v>43848</v>
      </c>
    </row>
    <row r="1688" spans="1:7" ht="18" x14ac:dyDescent="0.2">
      <c r="A1688" s="7" t="s">
        <v>37</v>
      </c>
      <c r="B1688" s="7" t="s">
        <v>0</v>
      </c>
      <c r="C1688" s="7" t="s">
        <v>10</v>
      </c>
      <c r="D1688" s="7">
        <f t="shared" ref="D1688:D1719" si="33">D1687+7</f>
        <v>483</v>
      </c>
      <c r="E1688" s="7">
        <v>1709</v>
      </c>
      <c r="F1688" s="7">
        <v>111</v>
      </c>
      <c r="G1688" s="7">
        <v>44625</v>
      </c>
    </row>
    <row r="1689" spans="1:7" ht="18" x14ac:dyDescent="0.2">
      <c r="A1689" s="7" t="s">
        <v>37</v>
      </c>
      <c r="B1689" s="7" t="s">
        <v>0</v>
      </c>
      <c r="C1689" s="7" t="s">
        <v>10</v>
      </c>
      <c r="D1689" s="7">
        <f t="shared" si="33"/>
        <v>490</v>
      </c>
      <c r="E1689" s="7">
        <v>1710</v>
      </c>
      <c r="F1689" s="7">
        <v>111</v>
      </c>
      <c r="G1689" s="7">
        <v>45402</v>
      </c>
    </row>
    <row r="1690" spans="1:7" ht="18" x14ac:dyDescent="0.2">
      <c r="A1690" s="7" t="s">
        <v>37</v>
      </c>
      <c r="B1690" s="7" t="s">
        <v>0</v>
      </c>
      <c r="C1690" s="7" t="s">
        <v>10</v>
      </c>
      <c r="D1690" s="7">
        <f t="shared" si="33"/>
        <v>497</v>
      </c>
      <c r="E1690" s="7">
        <v>1711</v>
      </c>
      <c r="F1690" s="7">
        <v>111</v>
      </c>
      <c r="G1690" s="7">
        <v>46179</v>
      </c>
    </row>
    <row r="1691" spans="1:7" ht="18" x14ac:dyDescent="0.2">
      <c r="A1691" s="7" t="s">
        <v>37</v>
      </c>
      <c r="B1691" s="7" t="s">
        <v>0</v>
      </c>
      <c r="C1691" s="7" t="s">
        <v>10</v>
      </c>
      <c r="D1691" s="7">
        <f t="shared" si="33"/>
        <v>504</v>
      </c>
      <c r="E1691" s="7">
        <v>1712</v>
      </c>
      <c r="F1691" s="7">
        <v>111</v>
      </c>
      <c r="G1691" s="7">
        <v>46956</v>
      </c>
    </row>
    <row r="1692" spans="1:7" ht="18" x14ac:dyDescent="0.2">
      <c r="A1692" s="7" t="s">
        <v>37</v>
      </c>
      <c r="B1692" s="7" t="s">
        <v>0</v>
      </c>
      <c r="C1692" s="7" t="s">
        <v>10</v>
      </c>
      <c r="D1692" s="7">
        <f t="shared" si="33"/>
        <v>511</v>
      </c>
      <c r="E1692" s="7">
        <v>1713</v>
      </c>
      <c r="F1692" s="7">
        <v>111</v>
      </c>
      <c r="G1692" s="7">
        <v>47733</v>
      </c>
    </row>
    <row r="1693" spans="1:7" ht="18" x14ac:dyDescent="0.2">
      <c r="A1693" s="7" t="s">
        <v>37</v>
      </c>
      <c r="B1693" s="7" t="s">
        <v>0</v>
      </c>
      <c r="C1693" s="7" t="s">
        <v>10</v>
      </c>
      <c r="D1693" s="7">
        <f t="shared" si="33"/>
        <v>518</v>
      </c>
      <c r="E1693" s="7">
        <v>1714</v>
      </c>
      <c r="F1693" s="7">
        <v>111</v>
      </c>
      <c r="G1693" s="7">
        <v>48510</v>
      </c>
    </row>
    <row r="1694" spans="1:7" ht="18" x14ac:dyDescent="0.2">
      <c r="A1694" s="7" t="s">
        <v>37</v>
      </c>
      <c r="B1694" s="7" t="s">
        <v>0</v>
      </c>
      <c r="C1694" s="7" t="s">
        <v>10</v>
      </c>
      <c r="D1694" s="7">
        <f t="shared" si="33"/>
        <v>525</v>
      </c>
      <c r="E1694" s="7">
        <v>1715</v>
      </c>
      <c r="F1694" s="7">
        <v>111</v>
      </c>
      <c r="G1694" s="7">
        <v>49287</v>
      </c>
    </row>
    <row r="1695" spans="1:7" ht="18" x14ac:dyDescent="0.2">
      <c r="A1695" s="7" t="s">
        <v>37</v>
      </c>
      <c r="B1695" s="7" t="s">
        <v>0</v>
      </c>
      <c r="C1695" s="7" t="s">
        <v>10</v>
      </c>
      <c r="D1695" s="7">
        <f t="shared" si="33"/>
        <v>532</v>
      </c>
      <c r="E1695" s="7">
        <v>1716</v>
      </c>
      <c r="F1695" s="7">
        <v>111</v>
      </c>
      <c r="G1695" s="7">
        <v>50064</v>
      </c>
    </row>
    <row r="1696" spans="1:7" ht="18" x14ac:dyDescent="0.2">
      <c r="A1696" s="7" t="s">
        <v>37</v>
      </c>
      <c r="B1696" s="7" t="s">
        <v>0</v>
      </c>
      <c r="C1696" s="7" t="s">
        <v>10</v>
      </c>
      <c r="D1696" s="7">
        <f t="shared" si="33"/>
        <v>539</v>
      </c>
      <c r="E1696" s="7">
        <v>1717</v>
      </c>
      <c r="F1696" s="7">
        <v>111</v>
      </c>
      <c r="G1696" s="7">
        <v>50841</v>
      </c>
    </row>
    <row r="1697" spans="1:7" ht="18" x14ac:dyDescent="0.2">
      <c r="A1697" s="7" t="s">
        <v>37</v>
      </c>
      <c r="B1697" s="7" t="s">
        <v>0</v>
      </c>
      <c r="C1697" s="7" t="s">
        <v>10</v>
      </c>
      <c r="D1697" s="7">
        <f t="shared" si="33"/>
        <v>546</v>
      </c>
      <c r="E1697" s="7">
        <v>1718</v>
      </c>
      <c r="F1697" s="7">
        <v>111</v>
      </c>
      <c r="G1697" s="7">
        <v>51618</v>
      </c>
    </row>
    <row r="1698" spans="1:7" ht="18" x14ac:dyDescent="0.2">
      <c r="A1698" s="7" t="s">
        <v>37</v>
      </c>
      <c r="B1698" s="7" t="s">
        <v>0</v>
      </c>
      <c r="C1698" s="7" t="s">
        <v>10</v>
      </c>
      <c r="D1698" s="7">
        <f t="shared" si="33"/>
        <v>553</v>
      </c>
      <c r="E1698" s="7">
        <v>1719</v>
      </c>
      <c r="F1698" s="7">
        <v>111</v>
      </c>
      <c r="G1698" s="7">
        <v>52395</v>
      </c>
    </row>
    <row r="1699" spans="1:7" ht="18" x14ac:dyDescent="0.2">
      <c r="A1699" s="7" t="s">
        <v>37</v>
      </c>
      <c r="B1699" s="7" t="s">
        <v>0</v>
      </c>
      <c r="C1699" s="7" t="s">
        <v>10</v>
      </c>
      <c r="D1699" s="7">
        <f t="shared" si="33"/>
        <v>560</v>
      </c>
      <c r="E1699" s="7">
        <v>1720</v>
      </c>
      <c r="F1699" s="7">
        <v>111</v>
      </c>
      <c r="G1699" s="7">
        <v>53172</v>
      </c>
    </row>
    <row r="1700" spans="1:7" ht="18" x14ac:dyDescent="0.2">
      <c r="A1700" s="7" t="s">
        <v>37</v>
      </c>
      <c r="B1700" s="7" t="s">
        <v>0</v>
      </c>
      <c r="C1700" s="7" t="s">
        <v>10</v>
      </c>
      <c r="D1700" s="7">
        <f t="shared" si="33"/>
        <v>567</v>
      </c>
      <c r="E1700" s="7">
        <v>1721</v>
      </c>
      <c r="F1700" s="7">
        <v>111</v>
      </c>
      <c r="G1700" s="7">
        <v>53949</v>
      </c>
    </row>
    <row r="1701" spans="1:7" ht="18" x14ac:dyDescent="0.2">
      <c r="A1701" s="7" t="s">
        <v>37</v>
      </c>
      <c r="B1701" s="7" t="s">
        <v>0</v>
      </c>
      <c r="C1701" s="7" t="s">
        <v>10</v>
      </c>
      <c r="D1701" s="7">
        <f t="shared" si="33"/>
        <v>574</v>
      </c>
      <c r="E1701" s="7">
        <v>1722</v>
      </c>
      <c r="F1701" s="7">
        <v>111</v>
      </c>
      <c r="G1701" s="7">
        <v>54726</v>
      </c>
    </row>
    <row r="1702" spans="1:7" ht="18" x14ac:dyDescent="0.2">
      <c r="A1702" s="7" t="s">
        <v>37</v>
      </c>
      <c r="B1702" s="7" t="s">
        <v>0</v>
      </c>
      <c r="C1702" s="7" t="s">
        <v>10</v>
      </c>
      <c r="D1702" s="7">
        <f t="shared" si="33"/>
        <v>581</v>
      </c>
      <c r="E1702" s="7">
        <v>1723</v>
      </c>
      <c r="F1702" s="7">
        <v>111</v>
      </c>
      <c r="G1702" s="7">
        <v>55503</v>
      </c>
    </row>
    <row r="1703" spans="1:7" ht="18" x14ac:dyDescent="0.2">
      <c r="A1703" s="7" t="s">
        <v>37</v>
      </c>
      <c r="B1703" s="7" t="s">
        <v>0</v>
      </c>
      <c r="C1703" s="7" t="s">
        <v>10</v>
      </c>
      <c r="D1703" s="7">
        <f t="shared" si="33"/>
        <v>588</v>
      </c>
      <c r="E1703" s="7">
        <v>1724</v>
      </c>
      <c r="F1703" s="7">
        <v>111</v>
      </c>
      <c r="G1703" s="7">
        <v>56280</v>
      </c>
    </row>
    <row r="1704" spans="1:7" ht="18" x14ac:dyDescent="0.2">
      <c r="A1704" s="7" t="s">
        <v>37</v>
      </c>
      <c r="B1704" s="7" t="s">
        <v>0</v>
      </c>
      <c r="C1704" s="7" t="s">
        <v>10</v>
      </c>
      <c r="D1704" s="7">
        <f t="shared" si="33"/>
        <v>595</v>
      </c>
      <c r="E1704" s="7">
        <v>1725</v>
      </c>
      <c r="F1704" s="7">
        <v>111</v>
      </c>
      <c r="G1704" s="7">
        <v>57057</v>
      </c>
    </row>
    <row r="1705" spans="1:7" ht="18" x14ac:dyDescent="0.2">
      <c r="A1705" s="7" t="s">
        <v>37</v>
      </c>
      <c r="B1705" s="7" t="s">
        <v>0</v>
      </c>
      <c r="C1705" s="7" t="s">
        <v>10</v>
      </c>
      <c r="D1705" s="7">
        <f t="shared" si="33"/>
        <v>602</v>
      </c>
      <c r="E1705" s="7">
        <v>1725</v>
      </c>
      <c r="F1705" s="7">
        <v>111</v>
      </c>
      <c r="G1705" s="7">
        <v>57834</v>
      </c>
    </row>
    <row r="1706" spans="1:7" ht="18" x14ac:dyDescent="0.2">
      <c r="A1706" s="7" t="s">
        <v>37</v>
      </c>
      <c r="B1706" s="7" t="s">
        <v>0</v>
      </c>
      <c r="C1706" s="7" t="s">
        <v>10</v>
      </c>
      <c r="D1706" s="7">
        <f t="shared" si="33"/>
        <v>609</v>
      </c>
      <c r="E1706" s="7">
        <v>1725</v>
      </c>
      <c r="F1706" s="7">
        <v>111</v>
      </c>
      <c r="G1706" s="7">
        <v>58611</v>
      </c>
    </row>
    <row r="1707" spans="1:7" ht="18" x14ac:dyDescent="0.2">
      <c r="A1707" s="7" t="s">
        <v>37</v>
      </c>
      <c r="B1707" s="7" t="s">
        <v>0</v>
      </c>
      <c r="C1707" s="7" t="s">
        <v>10</v>
      </c>
      <c r="D1707" s="7">
        <f t="shared" si="33"/>
        <v>616</v>
      </c>
      <c r="E1707" s="7">
        <v>1725</v>
      </c>
      <c r="F1707" s="7">
        <v>111</v>
      </c>
      <c r="G1707" s="7">
        <v>59388</v>
      </c>
    </row>
    <row r="1708" spans="1:7" ht="18" x14ac:dyDescent="0.2">
      <c r="A1708" s="7" t="s">
        <v>37</v>
      </c>
      <c r="B1708" s="7" t="s">
        <v>0</v>
      </c>
      <c r="C1708" s="7" t="s">
        <v>10</v>
      </c>
      <c r="D1708" s="7">
        <f t="shared" si="33"/>
        <v>623</v>
      </c>
      <c r="E1708" s="7">
        <v>1725</v>
      </c>
      <c r="F1708" s="7">
        <v>111</v>
      </c>
      <c r="G1708" s="7">
        <v>60165</v>
      </c>
    </row>
    <row r="1709" spans="1:7" ht="18" x14ac:dyDescent="0.2">
      <c r="A1709" s="7" t="s">
        <v>37</v>
      </c>
      <c r="B1709" s="7" t="s">
        <v>0</v>
      </c>
      <c r="C1709" s="7" t="s">
        <v>10</v>
      </c>
      <c r="D1709" s="7">
        <f t="shared" si="33"/>
        <v>630</v>
      </c>
      <c r="E1709" s="7">
        <v>1725</v>
      </c>
      <c r="F1709" s="7">
        <v>111</v>
      </c>
      <c r="G1709" s="7">
        <v>60942</v>
      </c>
    </row>
    <row r="1710" spans="1:7" ht="18" x14ac:dyDescent="0.2">
      <c r="A1710" s="7" t="s">
        <v>37</v>
      </c>
      <c r="B1710" s="7" t="s">
        <v>0</v>
      </c>
      <c r="C1710" s="7" t="s">
        <v>10</v>
      </c>
      <c r="D1710" s="7">
        <f t="shared" si="33"/>
        <v>637</v>
      </c>
      <c r="E1710" s="7">
        <v>1725</v>
      </c>
      <c r="F1710" s="7">
        <v>111</v>
      </c>
      <c r="G1710" s="7">
        <v>61719</v>
      </c>
    </row>
    <row r="1711" spans="1:7" ht="18" x14ac:dyDescent="0.2">
      <c r="A1711" s="7" t="s">
        <v>37</v>
      </c>
      <c r="B1711" s="7" t="s">
        <v>0</v>
      </c>
      <c r="C1711" s="7" t="s">
        <v>10</v>
      </c>
      <c r="D1711" s="7">
        <f t="shared" si="33"/>
        <v>644</v>
      </c>
      <c r="E1711" s="7">
        <v>1725</v>
      </c>
      <c r="F1711" s="7">
        <v>111</v>
      </c>
      <c r="G1711" s="7">
        <v>62496</v>
      </c>
    </row>
    <row r="1712" spans="1:7" ht="18" x14ac:dyDescent="0.2">
      <c r="A1712" s="7" t="s">
        <v>37</v>
      </c>
      <c r="B1712" s="7" t="s">
        <v>0</v>
      </c>
      <c r="C1712" s="7" t="s">
        <v>10</v>
      </c>
      <c r="D1712" s="7">
        <f t="shared" si="33"/>
        <v>651</v>
      </c>
      <c r="E1712" s="7">
        <v>1725</v>
      </c>
      <c r="F1712" s="7">
        <v>111</v>
      </c>
      <c r="G1712" s="7">
        <v>63273</v>
      </c>
    </row>
    <row r="1713" spans="1:7" ht="18" x14ac:dyDescent="0.2">
      <c r="A1713" s="7" t="s">
        <v>37</v>
      </c>
      <c r="B1713" s="7" t="s">
        <v>0</v>
      </c>
      <c r="C1713" s="7" t="s">
        <v>10</v>
      </c>
      <c r="D1713" s="7">
        <f t="shared" si="33"/>
        <v>658</v>
      </c>
      <c r="E1713" s="7">
        <v>1725</v>
      </c>
      <c r="F1713" s="7">
        <v>111</v>
      </c>
      <c r="G1713" s="7">
        <v>64050</v>
      </c>
    </row>
    <row r="1714" spans="1:7" ht="18" x14ac:dyDescent="0.2">
      <c r="A1714" s="7" t="s">
        <v>37</v>
      </c>
      <c r="B1714" s="7" t="s">
        <v>0</v>
      </c>
      <c r="C1714" s="7" t="s">
        <v>10</v>
      </c>
      <c r="D1714" s="7">
        <f t="shared" si="33"/>
        <v>665</v>
      </c>
      <c r="E1714" s="7">
        <v>1725</v>
      </c>
      <c r="F1714" s="7">
        <v>111</v>
      </c>
      <c r="G1714" s="7">
        <v>64827</v>
      </c>
    </row>
    <row r="1715" spans="1:7" ht="18" x14ac:dyDescent="0.2">
      <c r="A1715" s="7" t="s">
        <v>37</v>
      </c>
      <c r="B1715" s="7" t="s">
        <v>0</v>
      </c>
      <c r="C1715" s="7" t="s">
        <v>10</v>
      </c>
      <c r="D1715" s="7">
        <f t="shared" si="33"/>
        <v>672</v>
      </c>
      <c r="E1715" s="7">
        <v>1725</v>
      </c>
      <c r="F1715" s="7">
        <v>111</v>
      </c>
      <c r="G1715" s="7">
        <v>65604</v>
      </c>
    </row>
    <row r="1716" spans="1:7" ht="18" x14ac:dyDescent="0.2">
      <c r="A1716" s="7" t="s">
        <v>37</v>
      </c>
      <c r="B1716" s="7" t="s">
        <v>0</v>
      </c>
      <c r="C1716" s="7" t="s">
        <v>10</v>
      </c>
      <c r="D1716" s="7">
        <f t="shared" si="33"/>
        <v>679</v>
      </c>
      <c r="E1716" s="7">
        <v>1725</v>
      </c>
      <c r="F1716" s="7">
        <v>111</v>
      </c>
      <c r="G1716" s="7">
        <v>66381</v>
      </c>
    </row>
    <row r="1717" spans="1:7" ht="18" x14ac:dyDescent="0.2">
      <c r="A1717" s="7" t="s">
        <v>37</v>
      </c>
      <c r="B1717" s="7" t="s">
        <v>0</v>
      </c>
      <c r="C1717" s="7" t="s">
        <v>10</v>
      </c>
      <c r="D1717" s="7">
        <f t="shared" si="33"/>
        <v>686</v>
      </c>
      <c r="E1717" s="7">
        <v>1725</v>
      </c>
      <c r="F1717" s="7">
        <v>111</v>
      </c>
      <c r="G1717" s="7">
        <v>67158</v>
      </c>
    </row>
    <row r="1718" spans="1:7" ht="18" x14ac:dyDescent="0.2">
      <c r="A1718" s="7" t="s">
        <v>37</v>
      </c>
      <c r="B1718" s="7" t="s">
        <v>0</v>
      </c>
      <c r="C1718" s="7" t="s">
        <v>10</v>
      </c>
      <c r="D1718" s="7">
        <f t="shared" si="33"/>
        <v>693</v>
      </c>
      <c r="E1718" s="7">
        <v>1725</v>
      </c>
      <c r="F1718" s="7">
        <v>111</v>
      </c>
      <c r="G1718" s="7">
        <v>67935</v>
      </c>
    </row>
    <row r="1719" spans="1:7" ht="18" x14ac:dyDescent="0.2">
      <c r="A1719" s="7" t="s">
        <v>37</v>
      </c>
      <c r="B1719" s="7" t="s">
        <v>0</v>
      </c>
      <c r="C1719" s="7" t="s">
        <v>10</v>
      </c>
      <c r="D1719" s="7">
        <f t="shared" si="33"/>
        <v>700</v>
      </c>
      <c r="E1719" s="7">
        <v>1725</v>
      </c>
      <c r="F1719" s="7">
        <v>111</v>
      </c>
      <c r="G1719" s="7">
        <v>68712</v>
      </c>
    </row>
    <row r="1720" spans="1:7" ht="18" x14ac:dyDescent="0.2">
      <c r="A1720" s="7" t="s">
        <v>37</v>
      </c>
      <c r="B1720" s="7" t="s">
        <v>0</v>
      </c>
      <c r="C1720" s="7" t="s">
        <v>9</v>
      </c>
      <c r="D1720" s="7">
        <v>7</v>
      </c>
      <c r="E1720" s="7">
        <v>60</v>
      </c>
      <c r="F1720" s="7">
        <v>9</v>
      </c>
      <c r="G1720" s="7">
        <v>63</v>
      </c>
    </row>
    <row r="1721" spans="1:7" ht="18" x14ac:dyDescent="0.2">
      <c r="A1721" s="7" t="s">
        <v>37</v>
      </c>
      <c r="B1721" s="7" t="s">
        <v>0</v>
      </c>
      <c r="C1721" s="7" t="s">
        <v>9</v>
      </c>
      <c r="D1721" s="7">
        <v>14</v>
      </c>
      <c r="E1721" s="7">
        <v>120</v>
      </c>
      <c r="F1721" s="7">
        <v>14</v>
      </c>
      <c r="G1721" s="7">
        <v>161</v>
      </c>
    </row>
    <row r="1722" spans="1:7" ht="18" x14ac:dyDescent="0.2">
      <c r="A1722" s="7" t="s">
        <v>37</v>
      </c>
      <c r="B1722" s="7" t="s">
        <v>0</v>
      </c>
      <c r="C1722" s="7" t="s">
        <v>9</v>
      </c>
      <c r="D1722" s="7">
        <f>D1721+7</f>
        <v>21</v>
      </c>
      <c r="E1722" s="7">
        <v>195</v>
      </c>
      <c r="F1722" s="7">
        <v>20</v>
      </c>
      <c r="G1722" s="7">
        <v>301</v>
      </c>
    </row>
    <row r="1723" spans="1:7" ht="18" x14ac:dyDescent="0.2">
      <c r="A1723" s="7" t="s">
        <v>37</v>
      </c>
      <c r="B1723" s="7" t="s">
        <v>0</v>
      </c>
      <c r="C1723" s="7" t="s">
        <v>9</v>
      </c>
      <c r="D1723" s="7">
        <f>D1722+7</f>
        <v>28</v>
      </c>
      <c r="E1723" s="7">
        <v>270</v>
      </c>
      <c r="F1723" s="7">
        <v>25</v>
      </c>
      <c r="G1723" s="7">
        <v>476</v>
      </c>
    </row>
    <row r="1724" spans="1:7" ht="18" x14ac:dyDescent="0.2">
      <c r="A1724" s="7" t="s">
        <v>37</v>
      </c>
      <c r="B1724" s="7" t="s">
        <v>0</v>
      </c>
      <c r="C1724" s="7" t="s">
        <v>9</v>
      </c>
      <c r="D1724" s="7">
        <f t="shared" ref="D1724:D1787" si="34">D1723+7</f>
        <v>35</v>
      </c>
      <c r="E1724" s="7">
        <v>345</v>
      </c>
      <c r="F1724" s="7">
        <v>30</v>
      </c>
      <c r="G1724" s="7">
        <v>686</v>
      </c>
    </row>
    <row r="1725" spans="1:7" ht="18" x14ac:dyDescent="0.2">
      <c r="A1725" s="7" t="s">
        <v>37</v>
      </c>
      <c r="B1725" s="7" t="s">
        <v>0</v>
      </c>
      <c r="C1725" s="7" t="s">
        <v>9</v>
      </c>
      <c r="D1725" s="7">
        <f t="shared" si="34"/>
        <v>42</v>
      </c>
      <c r="E1725" s="7">
        <v>425</v>
      </c>
      <c r="F1725" s="7">
        <v>35</v>
      </c>
      <c r="G1725" s="7">
        <v>931</v>
      </c>
    </row>
    <row r="1726" spans="1:7" ht="18" x14ac:dyDescent="0.2">
      <c r="A1726" s="7" t="s">
        <v>37</v>
      </c>
      <c r="B1726" s="7" t="s">
        <v>0</v>
      </c>
      <c r="C1726" s="7" t="s">
        <v>9</v>
      </c>
      <c r="D1726" s="7">
        <f t="shared" si="34"/>
        <v>49</v>
      </c>
      <c r="E1726" s="7">
        <v>505</v>
      </c>
      <c r="F1726" s="7">
        <v>40</v>
      </c>
      <c r="G1726" s="7">
        <v>1211</v>
      </c>
    </row>
    <row r="1727" spans="1:7" ht="18" x14ac:dyDescent="0.2">
      <c r="A1727" s="7" t="s">
        <v>37</v>
      </c>
      <c r="B1727" s="7" t="s">
        <v>0</v>
      </c>
      <c r="C1727" s="7" t="s">
        <v>9</v>
      </c>
      <c r="D1727" s="7">
        <f t="shared" si="34"/>
        <v>56</v>
      </c>
      <c r="E1727" s="7">
        <v>590</v>
      </c>
      <c r="F1727" s="7">
        <v>44</v>
      </c>
      <c r="G1727" s="7">
        <v>1519</v>
      </c>
    </row>
    <row r="1728" spans="1:7" ht="18" x14ac:dyDescent="0.2">
      <c r="A1728" s="7" t="s">
        <v>37</v>
      </c>
      <c r="B1728" s="7" t="s">
        <v>0</v>
      </c>
      <c r="C1728" s="7" t="s">
        <v>9</v>
      </c>
      <c r="D1728" s="7">
        <f t="shared" si="34"/>
        <v>63</v>
      </c>
      <c r="E1728" s="7">
        <v>670</v>
      </c>
      <c r="F1728" s="7">
        <v>47</v>
      </c>
      <c r="G1728" s="7">
        <v>1848</v>
      </c>
    </row>
    <row r="1729" spans="1:7" ht="18" x14ac:dyDescent="0.2">
      <c r="A1729" s="7" t="s">
        <v>37</v>
      </c>
      <c r="B1729" s="7" t="s">
        <v>0</v>
      </c>
      <c r="C1729" s="7" t="s">
        <v>9</v>
      </c>
      <c r="D1729" s="7">
        <f t="shared" si="34"/>
        <v>70</v>
      </c>
      <c r="E1729" s="7">
        <v>750</v>
      </c>
      <c r="F1729" s="7">
        <v>50</v>
      </c>
      <c r="G1729" s="7">
        <v>2198</v>
      </c>
    </row>
    <row r="1730" spans="1:7" ht="18" x14ac:dyDescent="0.2">
      <c r="A1730" s="7" t="s">
        <v>37</v>
      </c>
      <c r="B1730" s="7" t="s">
        <v>0</v>
      </c>
      <c r="C1730" s="7" t="s">
        <v>9</v>
      </c>
      <c r="D1730" s="7">
        <f t="shared" si="34"/>
        <v>77</v>
      </c>
      <c r="E1730" s="7">
        <v>830</v>
      </c>
      <c r="F1730" s="7">
        <v>53</v>
      </c>
      <c r="G1730" s="7">
        <v>2569</v>
      </c>
    </row>
    <row r="1731" spans="1:7" ht="18" x14ac:dyDescent="0.2">
      <c r="A1731" s="7" t="s">
        <v>37</v>
      </c>
      <c r="B1731" s="7" t="s">
        <v>0</v>
      </c>
      <c r="C1731" s="7" t="s">
        <v>9</v>
      </c>
      <c r="D1731" s="7">
        <f t="shared" si="34"/>
        <v>84</v>
      </c>
      <c r="E1731" s="7">
        <v>910</v>
      </c>
      <c r="F1731" s="7">
        <v>56</v>
      </c>
      <c r="G1731" s="7">
        <v>2961</v>
      </c>
    </row>
    <row r="1732" spans="1:7" ht="18" x14ac:dyDescent="0.2">
      <c r="A1732" s="7" t="s">
        <v>37</v>
      </c>
      <c r="B1732" s="7" t="s">
        <v>0</v>
      </c>
      <c r="C1732" s="7" t="s">
        <v>9</v>
      </c>
      <c r="D1732" s="7">
        <f t="shared" si="34"/>
        <v>91</v>
      </c>
      <c r="E1732" s="7">
        <v>980</v>
      </c>
      <c r="F1732" s="7">
        <v>59</v>
      </c>
      <c r="G1732" s="7">
        <v>3374</v>
      </c>
    </row>
    <row r="1733" spans="1:7" ht="18" x14ac:dyDescent="0.2">
      <c r="A1733" s="7" t="s">
        <v>37</v>
      </c>
      <c r="B1733" s="7" t="s">
        <v>0</v>
      </c>
      <c r="C1733" s="7" t="s">
        <v>9</v>
      </c>
      <c r="D1733" s="7">
        <f t="shared" si="34"/>
        <v>98</v>
      </c>
      <c r="E1733" s="7">
        <v>1050</v>
      </c>
      <c r="F1733" s="7">
        <v>62</v>
      </c>
      <c r="G1733" s="7">
        <v>3808</v>
      </c>
    </row>
    <row r="1734" spans="1:7" ht="18" x14ac:dyDescent="0.2">
      <c r="A1734" s="7" t="s">
        <v>37</v>
      </c>
      <c r="B1734" s="7" t="s">
        <v>0</v>
      </c>
      <c r="C1734" s="7" t="s">
        <v>9</v>
      </c>
      <c r="D1734" s="7">
        <f t="shared" si="34"/>
        <v>105</v>
      </c>
      <c r="E1734" s="7">
        <v>1115</v>
      </c>
      <c r="F1734" s="7">
        <v>65</v>
      </c>
      <c r="G1734" s="7">
        <v>4263</v>
      </c>
    </row>
    <row r="1735" spans="1:7" ht="18" x14ac:dyDescent="0.2">
      <c r="A1735" s="7" t="s">
        <v>37</v>
      </c>
      <c r="B1735" s="7" t="s">
        <v>0</v>
      </c>
      <c r="C1735" s="7" t="s">
        <v>9</v>
      </c>
      <c r="D1735" s="7">
        <f t="shared" si="34"/>
        <v>112</v>
      </c>
      <c r="E1735" s="7">
        <v>1175</v>
      </c>
      <c r="F1735" s="7">
        <v>68</v>
      </c>
      <c r="G1735" s="7">
        <v>4739</v>
      </c>
    </row>
    <row r="1736" spans="1:7" ht="18" x14ac:dyDescent="0.2">
      <c r="A1736" s="7" t="s">
        <v>37</v>
      </c>
      <c r="B1736" s="7" t="s">
        <v>0</v>
      </c>
      <c r="C1736" s="7" t="s">
        <v>9</v>
      </c>
      <c r="D1736" s="7">
        <f t="shared" si="34"/>
        <v>119</v>
      </c>
      <c r="E1736" s="7">
        <v>1230</v>
      </c>
      <c r="F1736" s="7">
        <v>72</v>
      </c>
      <c r="G1736" s="7">
        <v>5243</v>
      </c>
    </row>
    <row r="1737" spans="1:7" ht="18" x14ac:dyDescent="0.2">
      <c r="A1737" s="7" t="s">
        <v>37</v>
      </c>
      <c r="B1737" s="7" t="s">
        <v>0</v>
      </c>
      <c r="C1737" s="7" t="s">
        <v>9</v>
      </c>
      <c r="D1737" s="7">
        <f t="shared" si="34"/>
        <v>126</v>
      </c>
      <c r="E1737" s="7">
        <v>1275</v>
      </c>
      <c r="F1737" s="7">
        <v>78</v>
      </c>
      <c r="G1737" s="7">
        <v>5789</v>
      </c>
    </row>
    <row r="1738" spans="1:7" ht="18" x14ac:dyDescent="0.2">
      <c r="A1738" s="7" t="s">
        <v>37</v>
      </c>
      <c r="B1738" s="7" t="s">
        <v>0</v>
      </c>
      <c r="C1738" s="7" t="s">
        <v>9</v>
      </c>
      <c r="D1738" s="7">
        <f t="shared" si="34"/>
        <v>133</v>
      </c>
      <c r="E1738" s="7">
        <v>1335</v>
      </c>
      <c r="F1738" s="7">
        <v>85</v>
      </c>
      <c r="G1738" s="7">
        <v>6384</v>
      </c>
    </row>
    <row r="1739" spans="1:7" ht="18" x14ac:dyDescent="0.2">
      <c r="A1739" s="7" t="s">
        <v>37</v>
      </c>
      <c r="B1739" s="7" t="s">
        <v>0</v>
      </c>
      <c r="C1739" s="7" t="s">
        <v>9</v>
      </c>
      <c r="D1739" s="7">
        <f t="shared" si="34"/>
        <v>140</v>
      </c>
      <c r="E1739" s="7">
        <v>1395</v>
      </c>
      <c r="F1739" s="7">
        <v>90</v>
      </c>
      <c r="G1739" s="7">
        <v>7014</v>
      </c>
    </row>
    <row r="1740" spans="1:7" ht="18" x14ac:dyDescent="0.2">
      <c r="A1740" s="7" t="s">
        <v>37</v>
      </c>
      <c r="B1740" s="7" t="s">
        <v>0</v>
      </c>
      <c r="C1740" s="7" t="s">
        <v>9</v>
      </c>
      <c r="D1740" s="7">
        <f t="shared" si="34"/>
        <v>147</v>
      </c>
      <c r="E1740" s="7">
        <v>1470</v>
      </c>
      <c r="F1740" s="7">
        <v>94</v>
      </c>
      <c r="G1740" s="7">
        <v>7672</v>
      </c>
    </row>
    <row r="1741" spans="1:7" ht="18" x14ac:dyDescent="0.2">
      <c r="A1741" s="7" t="s">
        <v>37</v>
      </c>
      <c r="B1741" s="7" t="s">
        <v>0</v>
      </c>
      <c r="C1741" s="7" t="s">
        <v>9</v>
      </c>
      <c r="D1741" s="7">
        <f t="shared" si="34"/>
        <v>154</v>
      </c>
      <c r="E1741" s="7">
        <v>1520</v>
      </c>
      <c r="F1741" s="7">
        <v>98</v>
      </c>
      <c r="G1741" s="7">
        <v>8358</v>
      </c>
    </row>
    <row r="1742" spans="1:7" ht="18" x14ac:dyDescent="0.2">
      <c r="A1742" s="7" t="s">
        <v>37</v>
      </c>
      <c r="B1742" s="7" t="s">
        <v>0</v>
      </c>
      <c r="C1742" s="7" t="s">
        <v>9</v>
      </c>
      <c r="D1742" s="7">
        <f t="shared" si="34"/>
        <v>161</v>
      </c>
      <c r="E1742" s="7">
        <v>1555</v>
      </c>
      <c r="F1742" s="7">
        <v>103</v>
      </c>
      <c r="G1742" s="7">
        <v>9079</v>
      </c>
    </row>
    <row r="1743" spans="1:7" ht="18" x14ac:dyDescent="0.2">
      <c r="A1743" s="7" t="s">
        <v>37</v>
      </c>
      <c r="B1743" s="7" t="s">
        <v>0</v>
      </c>
      <c r="C1743" s="7" t="s">
        <v>9</v>
      </c>
      <c r="D1743" s="7">
        <f t="shared" si="34"/>
        <v>168</v>
      </c>
      <c r="E1743" s="7">
        <v>1575</v>
      </c>
      <c r="F1743" s="7">
        <v>104</v>
      </c>
      <c r="G1743" s="7">
        <v>9807</v>
      </c>
    </row>
    <row r="1744" spans="1:7" ht="18" x14ac:dyDescent="0.2">
      <c r="A1744" s="7" t="s">
        <v>37</v>
      </c>
      <c r="B1744" s="7" t="s">
        <v>0</v>
      </c>
      <c r="C1744" s="7" t="s">
        <v>9</v>
      </c>
      <c r="D1744" s="7">
        <f t="shared" si="34"/>
        <v>175</v>
      </c>
      <c r="E1744" s="7">
        <v>1590</v>
      </c>
      <c r="F1744" s="7">
        <v>105</v>
      </c>
      <c r="G1744" s="7">
        <v>10542</v>
      </c>
    </row>
    <row r="1745" spans="1:7" ht="18" x14ac:dyDescent="0.2">
      <c r="A1745" s="7" t="s">
        <v>37</v>
      </c>
      <c r="B1745" s="7" t="s">
        <v>0</v>
      </c>
      <c r="C1745" s="7" t="s">
        <v>9</v>
      </c>
      <c r="D1745" s="7">
        <f t="shared" si="34"/>
        <v>182</v>
      </c>
      <c r="E1745" s="7">
        <v>1605</v>
      </c>
      <c r="F1745" s="7">
        <v>106</v>
      </c>
      <c r="G1745" s="7">
        <v>11284</v>
      </c>
    </row>
    <row r="1746" spans="1:7" ht="18" x14ac:dyDescent="0.2">
      <c r="A1746" s="7" t="s">
        <v>37</v>
      </c>
      <c r="B1746" s="7" t="s">
        <v>0</v>
      </c>
      <c r="C1746" s="7" t="s">
        <v>9</v>
      </c>
      <c r="D1746" s="7">
        <f t="shared" si="34"/>
        <v>189</v>
      </c>
      <c r="E1746" s="7">
        <v>1615</v>
      </c>
      <c r="F1746" s="7">
        <v>107</v>
      </c>
      <c r="G1746" s="7">
        <v>12033</v>
      </c>
    </row>
    <row r="1747" spans="1:7" ht="18" x14ac:dyDescent="0.2">
      <c r="A1747" s="7" t="s">
        <v>37</v>
      </c>
      <c r="B1747" s="7" t="s">
        <v>0</v>
      </c>
      <c r="C1747" s="7" t="s">
        <v>9</v>
      </c>
      <c r="D1747" s="7">
        <f t="shared" si="34"/>
        <v>196</v>
      </c>
      <c r="E1747" s="7">
        <v>1625</v>
      </c>
      <c r="F1747" s="7">
        <v>108</v>
      </c>
      <c r="G1747" s="7">
        <v>12789</v>
      </c>
    </row>
    <row r="1748" spans="1:7" ht="18" x14ac:dyDescent="0.2">
      <c r="A1748" s="7" t="s">
        <v>37</v>
      </c>
      <c r="B1748" s="7" t="s">
        <v>0</v>
      </c>
      <c r="C1748" s="7" t="s">
        <v>9</v>
      </c>
      <c r="D1748" s="7">
        <f t="shared" si="34"/>
        <v>203</v>
      </c>
      <c r="E1748" s="7">
        <v>1633</v>
      </c>
      <c r="F1748" s="7">
        <v>109</v>
      </c>
      <c r="G1748" s="7">
        <v>13552</v>
      </c>
    </row>
    <row r="1749" spans="1:7" ht="18" x14ac:dyDescent="0.2">
      <c r="A1749" s="7" t="s">
        <v>37</v>
      </c>
      <c r="B1749" s="7" t="s">
        <v>0</v>
      </c>
      <c r="C1749" s="7" t="s">
        <v>9</v>
      </c>
      <c r="D1749" s="7">
        <f t="shared" si="34"/>
        <v>210</v>
      </c>
      <c r="E1749" s="7">
        <v>1640</v>
      </c>
      <c r="F1749" s="7">
        <v>110</v>
      </c>
      <c r="G1749" s="7">
        <v>14322</v>
      </c>
    </row>
    <row r="1750" spans="1:7" ht="18" x14ac:dyDescent="0.2">
      <c r="A1750" s="7" t="s">
        <v>37</v>
      </c>
      <c r="B1750" s="7" t="s">
        <v>0</v>
      </c>
      <c r="C1750" s="7" t="s">
        <v>9</v>
      </c>
      <c r="D1750" s="7">
        <f t="shared" si="34"/>
        <v>217</v>
      </c>
      <c r="E1750" s="7">
        <v>1644</v>
      </c>
      <c r="F1750" s="7">
        <v>111</v>
      </c>
      <c r="G1750" s="7">
        <v>15099</v>
      </c>
    </row>
    <row r="1751" spans="1:7" ht="18" x14ac:dyDescent="0.2">
      <c r="A1751" s="7" t="s">
        <v>37</v>
      </c>
      <c r="B1751" s="7" t="s">
        <v>0</v>
      </c>
      <c r="C1751" s="7" t="s">
        <v>9</v>
      </c>
      <c r="D1751" s="7">
        <f t="shared" si="34"/>
        <v>224</v>
      </c>
      <c r="E1751" s="7">
        <v>1648</v>
      </c>
      <c r="F1751" s="7">
        <v>111</v>
      </c>
      <c r="G1751" s="7">
        <v>15876</v>
      </c>
    </row>
    <row r="1752" spans="1:7" ht="18" x14ac:dyDescent="0.2">
      <c r="A1752" s="7" t="s">
        <v>37</v>
      </c>
      <c r="B1752" s="7" t="s">
        <v>0</v>
      </c>
      <c r="C1752" s="7" t="s">
        <v>9</v>
      </c>
      <c r="D1752" s="7">
        <f t="shared" si="34"/>
        <v>231</v>
      </c>
      <c r="E1752" s="7">
        <v>1652</v>
      </c>
      <c r="F1752" s="7">
        <v>111</v>
      </c>
      <c r="G1752" s="7">
        <v>16653</v>
      </c>
    </row>
    <row r="1753" spans="1:7" ht="18" x14ac:dyDescent="0.2">
      <c r="A1753" s="7" t="s">
        <v>37</v>
      </c>
      <c r="B1753" s="7" t="s">
        <v>0</v>
      </c>
      <c r="C1753" s="7" t="s">
        <v>9</v>
      </c>
      <c r="D1753" s="7">
        <f t="shared" si="34"/>
        <v>238</v>
      </c>
      <c r="E1753" s="7">
        <v>1656</v>
      </c>
      <c r="F1753" s="7">
        <v>111</v>
      </c>
      <c r="G1753" s="7">
        <v>17430</v>
      </c>
    </row>
    <row r="1754" spans="1:7" ht="18" x14ac:dyDescent="0.2">
      <c r="A1754" s="7" t="s">
        <v>37</v>
      </c>
      <c r="B1754" s="7" t="s">
        <v>0</v>
      </c>
      <c r="C1754" s="7" t="s">
        <v>9</v>
      </c>
      <c r="D1754" s="7">
        <f t="shared" si="34"/>
        <v>245</v>
      </c>
      <c r="E1754" s="7">
        <v>1660</v>
      </c>
      <c r="F1754" s="7">
        <v>111</v>
      </c>
      <c r="G1754" s="7">
        <v>18207</v>
      </c>
    </row>
    <row r="1755" spans="1:7" ht="18" x14ac:dyDescent="0.2">
      <c r="A1755" s="7" t="s">
        <v>37</v>
      </c>
      <c r="B1755" s="7" t="s">
        <v>0</v>
      </c>
      <c r="C1755" s="7" t="s">
        <v>9</v>
      </c>
      <c r="D1755" s="7">
        <f t="shared" si="34"/>
        <v>252</v>
      </c>
      <c r="E1755" s="7">
        <v>1663</v>
      </c>
      <c r="F1755" s="7">
        <v>111</v>
      </c>
      <c r="G1755" s="7">
        <v>18984</v>
      </c>
    </row>
    <row r="1756" spans="1:7" ht="18" x14ac:dyDescent="0.2">
      <c r="A1756" s="7" t="s">
        <v>37</v>
      </c>
      <c r="B1756" s="7" t="s">
        <v>0</v>
      </c>
      <c r="C1756" s="7" t="s">
        <v>9</v>
      </c>
      <c r="D1756" s="7">
        <f t="shared" si="34"/>
        <v>259</v>
      </c>
      <c r="E1756" s="7">
        <v>1666</v>
      </c>
      <c r="F1756" s="7">
        <v>111</v>
      </c>
      <c r="G1756" s="7">
        <v>19761</v>
      </c>
    </row>
    <row r="1757" spans="1:7" ht="18" x14ac:dyDescent="0.2">
      <c r="A1757" s="7" t="s">
        <v>37</v>
      </c>
      <c r="B1757" s="7" t="s">
        <v>0</v>
      </c>
      <c r="C1757" s="7" t="s">
        <v>9</v>
      </c>
      <c r="D1757" s="7">
        <f t="shared" si="34"/>
        <v>266</v>
      </c>
      <c r="E1757" s="7">
        <v>1669</v>
      </c>
      <c r="F1757" s="7">
        <v>111</v>
      </c>
      <c r="G1757" s="7">
        <v>20538</v>
      </c>
    </row>
    <row r="1758" spans="1:7" ht="18" x14ac:dyDescent="0.2">
      <c r="A1758" s="7" t="s">
        <v>37</v>
      </c>
      <c r="B1758" s="7" t="s">
        <v>0</v>
      </c>
      <c r="C1758" s="7" t="s">
        <v>9</v>
      </c>
      <c r="D1758" s="7">
        <f t="shared" si="34"/>
        <v>273</v>
      </c>
      <c r="E1758" s="7">
        <v>1672</v>
      </c>
      <c r="F1758" s="7">
        <v>111</v>
      </c>
      <c r="G1758" s="7">
        <v>21315</v>
      </c>
    </row>
    <row r="1759" spans="1:7" ht="18" x14ac:dyDescent="0.2">
      <c r="A1759" s="7" t="s">
        <v>37</v>
      </c>
      <c r="B1759" s="7" t="s">
        <v>0</v>
      </c>
      <c r="C1759" s="7" t="s">
        <v>9</v>
      </c>
      <c r="D1759" s="7">
        <f t="shared" si="34"/>
        <v>280</v>
      </c>
      <c r="E1759" s="7">
        <v>1675</v>
      </c>
      <c r="F1759" s="7">
        <v>111</v>
      </c>
      <c r="G1759" s="7">
        <v>22092</v>
      </c>
    </row>
    <row r="1760" spans="1:7" ht="18" x14ac:dyDescent="0.2">
      <c r="A1760" s="7" t="s">
        <v>37</v>
      </c>
      <c r="B1760" s="7" t="s">
        <v>0</v>
      </c>
      <c r="C1760" s="7" t="s">
        <v>9</v>
      </c>
      <c r="D1760" s="7">
        <f t="shared" si="34"/>
        <v>287</v>
      </c>
      <c r="E1760" s="7">
        <v>1677</v>
      </c>
      <c r="F1760" s="7">
        <v>111</v>
      </c>
      <c r="G1760" s="7">
        <v>22869</v>
      </c>
    </row>
    <row r="1761" spans="1:7" ht="18" x14ac:dyDescent="0.2">
      <c r="A1761" s="7" t="s">
        <v>37</v>
      </c>
      <c r="B1761" s="7" t="s">
        <v>0</v>
      </c>
      <c r="C1761" s="7" t="s">
        <v>9</v>
      </c>
      <c r="D1761" s="7">
        <f t="shared" si="34"/>
        <v>294</v>
      </c>
      <c r="E1761" s="7">
        <v>1679</v>
      </c>
      <c r="F1761" s="7">
        <v>111</v>
      </c>
      <c r="G1761" s="7">
        <v>23646</v>
      </c>
    </row>
    <row r="1762" spans="1:7" ht="18" x14ac:dyDescent="0.2">
      <c r="A1762" s="7" t="s">
        <v>37</v>
      </c>
      <c r="B1762" s="7" t="s">
        <v>0</v>
      </c>
      <c r="C1762" s="7" t="s">
        <v>9</v>
      </c>
      <c r="D1762" s="7">
        <f t="shared" si="34"/>
        <v>301</v>
      </c>
      <c r="E1762" s="7">
        <v>1681</v>
      </c>
      <c r="F1762" s="7">
        <v>111</v>
      </c>
      <c r="G1762" s="7">
        <v>24423</v>
      </c>
    </row>
    <row r="1763" spans="1:7" ht="18" x14ac:dyDescent="0.2">
      <c r="A1763" s="7" t="s">
        <v>37</v>
      </c>
      <c r="B1763" s="7" t="s">
        <v>0</v>
      </c>
      <c r="C1763" s="7" t="s">
        <v>9</v>
      </c>
      <c r="D1763" s="7">
        <f t="shared" si="34"/>
        <v>308</v>
      </c>
      <c r="E1763" s="7">
        <v>1683</v>
      </c>
      <c r="F1763" s="7">
        <v>111</v>
      </c>
      <c r="G1763" s="7">
        <v>25200</v>
      </c>
    </row>
    <row r="1764" spans="1:7" ht="18" x14ac:dyDescent="0.2">
      <c r="A1764" s="7" t="s">
        <v>37</v>
      </c>
      <c r="B1764" s="7" t="s">
        <v>0</v>
      </c>
      <c r="C1764" s="7" t="s">
        <v>9</v>
      </c>
      <c r="D1764" s="7">
        <f t="shared" si="34"/>
        <v>315</v>
      </c>
      <c r="E1764" s="7">
        <v>1685</v>
      </c>
      <c r="F1764" s="7">
        <v>111</v>
      </c>
      <c r="G1764" s="7">
        <v>25977</v>
      </c>
    </row>
    <row r="1765" spans="1:7" ht="18" x14ac:dyDescent="0.2">
      <c r="A1765" s="7" t="s">
        <v>37</v>
      </c>
      <c r="B1765" s="7" t="s">
        <v>0</v>
      </c>
      <c r="C1765" s="7" t="s">
        <v>9</v>
      </c>
      <c r="D1765" s="7">
        <f t="shared" si="34"/>
        <v>322</v>
      </c>
      <c r="E1765" s="7">
        <v>1686</v>
      </c>
      <c r="F1765" s="7">
        <v>111</v>
      </c>
      <c r="G1765" s="7">
        <v>26754</v>
      </c>
    </row>
    <row r="1766" spans="1:7" ht="18" x14ac:dyDescent="0.2">
      <c r="A1766" s="7" t="s">
        <v>37</v>
      </c>
      <c r="B1766" s="7" t="s">
        <v>0</v>
      </c>
      <c r="C1766" s="7" t="s">
        <v>9</v>
      </c>
      <c r="D1766" s="7">
        <f t="shared" si="34"/>
        <v>329</v>
      </c>
      <c r="E1766" s="7">
        <v>1687</v>
      </c>
      <c r="F1766" s="7">
        <v>111</v>
      </c>
      <c r="G1766" s="7">
        <v>27531</v>
      </c>
    </row>
    <row r="1767" spans="1:7" ht="18" x14ac:dyDescent="0.2">
      <c r="A1767" s="7" t="s">
        <v>37</v>
      </c>
      <c r="B1767" s="7" t="s">
        <v>0</v>
      </c>
      <c r="C1767" s="7" t="s">
        <v>9</v>
      </c>
      <c r="D1767" s="7">
        <f t="shared" si="34"/>
        <v>336</v>
      </c>
      <c r="E1767" s="7">
        <v>1688</v>
      </c>
      <c r="F1767" s="7">
        <v>111</v>
      </c>
      <c r="G1767" s="7">
        <v>28308</v>
      </c>
    </row>
    <row r="1768" spans="1:7" ht="18" x14ac:dyDescent="0.2">
      <c r="A1768" s="7" t="s">
        <v>37</v>
      </c>
      <c r="B1768" s="7" t="s">
        <v>0</v>
      </c>
      <c r="C1768" s="7" t="s">
        <v>9</v>
      </c>
      <c r="D1768" s="7">
        <f t="shared" si="34"/>
        <v>343</v>
      </c>
      <c r="E1768" s="7">
        <v>1689</v>
      </c>
      <c r="F1768" s="7">
        <v>111</v>
      </c>
      <c r="G1768" s="7">
        <v>29085</v>
      </c>
    </row>
    <row r="1769" spans="1:7" ht="18" x14ac:dyDescent="0.2">
      <c r="A1769" s="7" t="s">
        <v>37</v>
      </c>
      <c r="B1769" s="7" t="s">
        <v>0</v>
      </c>
      <c r="C1769" s="7" t="s">
        <v>9</v>
      </c>
      <c r="D1769" s="7">
        <f t="shared" si="34"/>
        <v>350</v>
      </c>
      <c r="E1769" s="7">
        <v>1690</v>
      </c>
      <c r="F1769" s="7">
        <v>111</v>
      </c>
      <c r="G1769" s="7">
        <v>29862</v>
      </c>
    </row>
    <row r="1770" spans="1:7" ht="18" x14ac:dyDescent="0.2">
      <c r="A1770" s="7" t="s">
        <v>37</v>
      </c>
      <c r="B1770" s="7" t="s">
        <v>0</v>
      </c>
      <c r="C1770" s="7" t="s">
        <v>9</v>
      </c>
      <c r="D1770" s="7">
        <f t="shared" si="34"/>
        <v>357</v>
      </c>
      <c r="E1770" s="7">
        <v>1691</v>
      </c>
      <c r="F1770" s="7">
        <v>111</v>
      </c>
      <c r="G1770" s="7">
        <v>30639</v>
      </c>
    </row>
    <row r="1771" spans="1:7" ht="18" x14ac:dyDescent="0.2">
      <c r="A1771" s="7" t="s">
        <v>37</v>
      </c>
      <c r="B1771" s="7" t="s">
        <v>0</v>
      </c>
      <c r="C1771" s="7" t="s">
        <v>9</v>
      </c>
      <c r="D1771" s="7">
        <f t="shared" si="34"/>
        <v>364</v>
      </c>
      <c r="E1771" s="7">
        <v>1692</v>
      </c>
      <c r="F1771" s="7">
        <v>111</v>
      </c>
      <c r="G1771" s="7">
        <v>31416</v>
      </c>
    </row>
    <row r="1772" spans="1:7" ht="18" x14ac:dyDescent="0.2">
      <c r="A1772" s="7" t="s">
        <v>37</v>
      </c>
      <c r="B1772" s="7" t="s">
        <v>0</v>
      </c>
      <c r="C1772" s="7" t="s">
        <v>9</v>
      </c>
      <c r="D1772" s="7">
        <f t="shared" si="34"/>
        <v>371</v>
      </c>
      <c r="E1772" s="7">
        <v>1693</v>
      </c>
      <c r="F1772" s="7">
        <v>111</v>
      </c>
      <c r="G1772" s="7">
        <v>32193</v>
      </c>
    </row>
    <row r="1773" spans="1:7" ht="18" x14ac:dyDescent="0.2">
      <c r="A1773" s="7" t="s">
        <v>37</v>
      </c>
      <c r="B1773" s="7" t="s">
        <v>0</v>
      </c>
      <c r="C1773" s="7" t="s">
        <v>9</v>
      </c>
      <c r="D1773" s="7">
        <f t="shared" si="34"/>
        <v>378</v>
      </c>
      <c r="E1773" s="7">
        <v>1694</v>
      </c>
      <c r="F1773" s="7">
        <v>111</v>
      </c>
      <c r="G1773" s="7">
        <v>32970</v>
      </c>
    </row>
    <row r="1774" spans="1:7" ht="18" x14ac:dyDescent="0.2">
      <c r="A1774" s="7" t="s">
        <v>37</v>
      </c>
      <c r="B1774" s="7" t="s">
        <v>0</v>
      </c>
      <c r="C1774" s="7" t="s">
        <v>9</v>
      </c>
      <c r="D1774" s="7">
        <f t="shared" si="34"/>
        <v>385</v>
      </c>
      <c r="E1774" s="7">
        <v>1695</v>
      </c>
      <c r="F1774" s="7">
        <v>111</v>
      </c>
      <c r="G1774" s="7">
        <v>33747</v>
      </c>
    </row>
    <row r="1775" spans="1:7" ht="18" x14ac:dyDescent="0.2">
      <c r="A1775" s="7" t="s">
        <v>37</v>
      </c>
      <c r="B1775" s="7" t="s">
        <v>0</v>
      </c>
      <c r="C1775" s="7" t="s">
        <v>9</v>
      </c>
      <c r="D1775" s="7">
        <f t="shared" si="34"/>
        <v>392</v>
      </c>
      <c r="E1775" s="7">
        <v>1696</v>
      </c>
      <c r="F1775" s="7">
        <v>111</v>
      </c>
      <c r="G1775" s="7">
        <v>34524</v>
      </c>
    </row>
    <row r="1776" spans="1:7" ht="18" x14ac:dyDescent="0.2">
      <c r="A1776" s="7" t="s">
        <v>37</v>
      </c>
      <c r="B1776" s="7" t="s">
        <v>0</v>
      </c>
      <c r="C1776" s="7" t="s">
        <v>9</v>
      </c>
      <c r="D1776" s="7">
        <f t="shared" si="34"/>
        <v>399</v>
      </c>
      <c r="E1776" s="7">
        <v>1697</v>
      </c>
      <c r="F1776" s="7">
        <v>111</v>
      </c>
      <c r="G1776" s="7">
        <v>35301</v>
      </c>
    </row>
    <row r="1777" spans="1:7" ht="18" x14ac:dyDescent="0.2">
      <c r="A1777" s="7" t="s">
        <v>37</v>
      </c>
      <c r="B1777" s="7" t="s">
        <v>0</v>
      </c>
      <c r="C1777" s="7" t="s">
        <v>9</v>
      </c>
      <c r="D1777" s="7">
        <f t="shared" si="34"/>
        <v>406</v>
      </c>
      <c r="E1777" s="7">
        <v>1698</v>
      </c>
      <c r="F1777" s="7">
        <v>111</v>
      </c>
      <c r="G1777" s="7">
        <v>36078</v>
      </c>
    </row>
    <row r="1778" spans="1:7" ht="18" x14ac:dyDescent="0.2">
      <c r="A1778" s="7" t="s">
        <v>37</v>
      </c>
      <c r="B1778" s="7" t="s">
        <v>0</v>
      </c>
      <c r="C1778" s="7" t="s">
        <v>9</v>
      </c>
      <c r="D1778" s="7">
        <f t="shared" si="34"/>
        <v>413</v>
      </c>
      <c r="E1778" s="7">
        <v>1699</v>
      </c>
      <c r="F1778" s="7">
        <v>111</v>
      </c>
      <c r="G1778" s="7">
        <v>36855</v>
      </c>
    </row>
    <row r="1779" spans="1:7" ht="18" x14ac:dyDescent="0.2">
      <c r="A1779" s="7" t="s">
        <v>37</v>
      </c>
      <c r="B1779" s="7" t="s">
        <v>0</v>
      </c>
      <c r="C1779" s="7" t="s">
        <v>9</v>
      </c>
      <c r="D1779" s="7">
        <f t="shared" si="34"/>
        <v>420</v>
      </c>
      <c r="E1779" s="7">
        <v>1700</v>
      </c>
      <c r="F1779" s="7">
        <v>111</v>
      </c>
      <c r="G1779" s="7">
        <v>37632</v>
      </c>
    </row>
    <row r="1780" spans="1:7" ht="18" x14ac:dyDescent="0.2">
      <c r="A1780" s="7" t="s">
        <v>37</v>
      </c>
      <c r="B1780" s="7" t="s">
        <v>0</v>
      </c>
      <c r="C1780" s="7" t="s">
        <v>9</v>
      </c>
      <c r="D1780" s="7">
        <f t="shared" si="34"/>
        <v>427</v>
      </c>
      <c r="E1780" s="7">
        <v>1701</v>
      </c>
      <c r="F1780" s="7">
        <v>111</v>
      </c>
      <c r="G1780" s="7">
        <v>38409</v>
      </c>
    </row>
    <row r="1781" spans="1:7" ht="18" x14ac:dyDescent="0.2">
      <c r="A1781" s="7" t="s">
        <v>37</v>
      </c>
      <c r="B1781" s="7" t="s">
        <v>0</v>
      </c>
      <c r="C1781" s="7" t="s">
        <v>9</v>
      </c>
      <c r="D1781" s="7">
        <f t="shared" si="34"/>
        <v>434</v>
      </c>
      <c r="E1781" s="7">
        <v>1702</v>
      </c>
      <c r="F1781" s="7">
        <v>111</v>
      </c>
      <c r="G1781" s="7">
        <v>39186</v>
      </c>
    </row>
    <row r="1782" spans="1:7" ht="18" x14ac:dyDescent="0.2">
      <c r="A1782" s="7" t="s">
        <v>37</v>
      </c>
      <c r="B1782" s="7" t="s">
        <v>0</v>
      </c>
      <c r="C1782" s="7" t="s">
        <v>9</v>
      </c>
      <c r="D1782" s="7">
        <f t="shared" si="34"/>
        <v>441</v>
      </c>
      <c r="E1782" s="7">
        <v>1703</v>
      </c>
      <c r="F1782" s="7">
        <v>111</v>
      </c>
      <c r="G1782" s="7">
        <v>39963</v>
      </c>
    </row>
    <row r="1783" spans="1:7" ht="18" x14ac:dyDescent="0.2">
      <c r="A1783" s="7" t="s">
        <v>37</v>
      </c>
      <c r="B1783" s="7" t="s">
        <v>0</v>
      </c>
      <c r="C1783" s="7" t="s">
        <v>9</v>
      </c>
      <c r="D1783" s="7">
        <f t="shared" si="34"/>
        <v>448</v>
      </c>
      <c r="E1783" s="7">
        <v>1704</v>
      </c>
      <c r="F1783" s="7">
        <v>111</v>
      </c>
      <c r="G1783" s="7">
        <v>40740</v>
      </c>
    </row>
    <row r="1784" spans="1:7" ht="18" x14ac:dyDescent="0.2">
      <c r="A1784" s="7" t="s">
        <v>37</v>
      </c>
      <c r="B1784" s="7" t="s">
        <v>0</v>
      </c>
      <c r="C1784" s="7" t="s">
        <v>9</v>
      </c>
      <c r="D1784" s="7">
        <f t="shared" si="34"/>
        <v>455</v>
      </c>
      <c r="E1784" s="7">
        <v>1705</v>
      </c>
      <c r="F1784" s="7">
        <v>111</v>
      </c>
      <c r="G1784" s="7">
        <v>41517</v>
      </c>
    </row>
    <row r="1785" spans="1:7" ht="18" x14ac:dyDescent="0.2">
      <c r="A1785" s="7" t="s">
        <v>37</v>
      </c>
      <c r="B1785" s="7" t="s">
        <v>0</v>
      </c>
      <c r="C1785" s="7" t="s">
        <v>9</v>
      </c>
      <c r="D1785" s="7">
        <f t="shared" si="34"/>
        <v>462</v>
      </c>
      <c r="E1785" s="7">
        <v>1706</v>
      </c>
      <c r="F1785" s="7">
        <v>111</v>
      </c>
      <c r="G1785" s="7">
        <v>42294</v>
      </c>
    </row>
    <row r="1786" spans="1:7" ht="18" x14ac:dyDescent="0.2">
      <c r="A1786" s="7" t="s">
        <v>37</v>
      </c>
      <c r="B1786" s="7" t="s">
        <v>0</v>
      </c>
      <c r="C1786" s="7" t="s">
        <v>9</v>
      </c>
      <c r="D1786" s="7">
        <f t="shared" si="34"/>
        <v>469</v>
      </c>
      <c r="E1786" s="7">
        <v>1707</v>
      </c>
      <c r="F1786" s="7">
        <v>111</v>
      </c>
      <c r="G1786" s="7">
        <v>43071</v>
      </c>
    </row>
    <row r="1787" spans="1:7" ht="18" x14ac:dyDescent="0.2">
      <c r="A1787" s="7" t="s">
        <v>37</v>
      </c>
      <c r="B1787" s="7" t="s">
        <v>0</v>
      </c>
      <c r="C1787" s="7" t="s">
        <v>9</v>
      </c>
      <c r="D1787" s="7">
        <f t="shared" si="34"/>
        <v>476</v>
      </c>
      <c r="E1787" s="7">
        <v>1708</v>
      </c>
      <c r="F1787" s="7">
        <v>111</v>
      </c>
      <c r="G1787" s="7">
        <v>43848</v>
      </c>
    </row>
    <row r="1788" spans="1:7" ht="18" x14ac:dyDescent="0.2">
      <c r="A1788" s="7" t="s">
        <v>37</v>
      </c>
      <c r="B1788" s="7" t="s">
        <v>0</v>
      </c>
      <c r="C1788" s="7" t="s">
        <v>9</v>
      </c>
      <c r="D1788" s="7">
        <f t="shared" ref="D1788:D1819" si="35">D1787+7</f>
        <v>483</v>
      </c>
      <c r="E1788" s="7">
        <v>1709</v>
      </c>
      <c r="F1788" s="7">
        <v>111</v>
      </c>
      <c r="G1788" s="7">
        <v>44625</v>
      </c>
    </row>
    <row r="1789" spans="1:7" ht="18" x14ac:dyDescent="0.2">
      <c r="A1789" s="7" t="s">
        <v>37</v>
      </c>
      <c r="B1789" s="7" t="s">
        <v>0</v>
      </c>
      <c r="C1789" s="7" t="s">
        <v>9</v>
      </c>
      <c r="D1789" s="7">
        <f t="shared" si="35"/>
        <v>490</v>
      </c>
      <c r="E1789" s="7">
        <v>1710</v>
      </c>
      <c r="F1789" s="7">
        <v>111</v>
      </c>
      <c r="G1789" s="7">
        <v>45402</v>
      </c>
    </row>
    <row r="1790" spans="1:7" ht="18" x14ac:dyDescent="0.2">
      <c r="A1790" s="7" t="s">
        <v>37</v>
      </c>
      <c r="B1790" s="7" t="s">
        <v>0</v>
      </c>
      <c r="C1790" s="7" t="s">
        <v>9</v>
      </c>
      <c r="D1790" s="7">
        <f t="shared" si="35"/>
        <v>497</v>
      </c>
      <c r="E1790" s="7">
        <v>1711</v>
      </c>
      <c r="F1790" s="7">
        <v>111</v>
      </c>
      <c r="G1790" s="7">
        <v>46179</v>
      </c>
    </row>
    <row r="1791" spans="1:7" ht="18" x14ac:dyDescent="0.2">
      <c r="A1791" s="7" t="s">
        <v>37</v>
      </c>
      <c r="B1791" s="7" t="s">
        <v>0</v>
      </c>
      <c r="C1791" s="7" t="s">
        <v>9</v>
      </c>
      <c r="D1791" s="7">
        <f t="shared" si="35"/>
        <v>504</v>
      </c>
      <c r="E1791" s="7">
        <v>1712</v>
      </c>
      <c r="F1791" s="7">
        <v>111</v>
      </c>
      <c r="G1791" s="7">
        <v>46956</v>
      </c>
    </row>
    <row r="1792" spans="1:7" ht="18" x14ac:dyDescent="0.2">
      <c r="A1792" s="7" t="s">
        <v>37</v>
      </c>
      <c r="B1792" s="7" t="s">
        <v>0</v>
      </c>
      <c r="C1792" s="7" t="s">
        <v>9</v>
      </c>
      <c r="D1792" s="7">
        <f t="shared" si="35"/>
        <v>511</v>
      </c>
      <c r="E1792" s="7">
        <v>1713</v>
      </c>
      <c r="F1792" s="7">
        <v>111</v>
      </c>
      <c r="G1792" s="7">
        <v>47733</v>
      </c>
    </row>
    <row r="1793" spans="1:7" ht="18" x14ac:dyDescent="0.2">
      <c r="A1793" s="7" t="s">
        <v>37</v>
      </c>
      <c r="B1793" s="7" t="s">
        <v>0</v>
      </c>
      <c r="C1793" s="7" t="s">
        <v>9</v>
      </c>
      <c r="D1793" s="7">
        <f t="shared" si="35"/>
        <v>518</v>
      </c>
      <c r="E1793" s="7">
        <v>1714</v>
      </c>
      <c r="F1793" s="7">
        <v>111</v>
      </c>
      <c r="G1793" s="7">
        <v>48510</v>
      </c>
    </row>
    <row r="1794" spans="1:7" ht="18" x14ac:dyDescent="0.2">
      <c r="A1794" s="7" t="s">
        <v>37</v>
      </c>
      <c r="B1794" s="7" t="s">
        <v>0</v>
      </c>
      <c r="C1794" s="7" t="s">
        <v>9</v>
      </c>
      <c r="D1794" s="7">
        <f t="shared" si="35"/>
        <v>525</v>
      </c>
      <c r="E1794" s="7">
        <v>1715</v>
      </c>
      <c r="F1794" s="7">
        <v>111</v>
      </c>
      <c r="G1794" s="7">
        <v>49287</v>
      </c>
    </row>
    <row r="1795" spans="1:7" ht="18" x14ac:dyDescent="0.2">
      <c r="A1795" s="7" t="s">
        <v>37</v>
      </c>
      <c r="B1795" s="7" t="s">
        <v>0</v>
      </c>
      <c r="C1795" s="7" t="s">
        <v>9</v>
      </c>
      <c r="D1795" s="7">
        <f t="shared" si="35"/>
        <v>532</v>
      </c>
      <c r="E1795" s="7">
        <v>1716</v>
      </c>
      <c r="F1795" s="7">
        <v>111</v>
      </c>
      <c r="G1795" s="7">
        <v>50064</v>
      </c>
    </row>
    <row r="1796" spans="1:7" ht="18" x14ac:dyDescent="0.2">
      <c r="A1796" s="7" t="s">
        <v>37</v>
      </c>
      <c r="B1796" s="7" t="s">
        <v>0</v>
      </c>
      <c r="C1796" s="7" t="s">
        <v>9</v>
      </c>
      <c r="D1796" s="7">
        <f t="shared" si="35"/>
        <v>539</v>
      </c>
      <c r="E1796" s="7">
        <v>1717</v>
      </c>
      <c r="F1796" s="7">
        <v>111</v>
      </c>
      <c r="G1796" s="7">
        <v>50841</v>
      </c>
    </row>
    <row r="1797" spans="1:7" ht="18" x14ac:dyDescent="0.2">
      <c r="A1797" s="7" t="s">
        <v>37</v>
      </c>
      <c r="B1797" s="7" t="s">
        <v>0</v>
      </c>
      <c r="C1797" s="7" t="s">
        <v>9</v>
      </c>
      <c r="D1797" s="7">
        <f t="shared" si="35"/>
        <v>546</v>
      </c>
      <c r="E1797" s="7">
        <v>1718</v>
      </c>
      <c r="F1797" s="7">
        <v>111</v>
      </c>
      <c r="G1797" s="7">
        <v>51618</v>
      </c>
    </row>
    <row r="1798" spans="1:7" ht="18" x14ac:dyDescent="0.2">
      <c r="A1798" s="7" t="s">
        <v>37</v>
      </c>
      <c r="B1798" s="7" t="s">
        <v>0</v>
      </c>
      <c r="C1798" s="7" t="s">
        <v>9</v>
      </c>
      <c r="D1798" s="7">
        <f t="shared" si="35"/>
        <v>553</v>
      </c>
      <c r="E1798" s="7">
        <v>1719</v>
      </c>
      <c r="F1798" s="7">
        <v>111</v>
      </c>
      <c r="G1798" s="7">
        <v>52395</v>
      </c>
    </row>
    <row r="1799" spans="1:7" ht="18" x14ac:dyDescent="0.2">
      <c r="A1799" s="7" t="s">
        <v>37</v>
      </c>
      <c r="B1799" s="7" t="s">
        <v>0</v>
      </c>
      <c r="C1799" s="7" t="s">
        <v>9</v>
      </c>
      <c r="D1799" s="7">
        <f t="shared" si="35"/>
        <v>560</v>
      </c>
      <c r="E1799" s="7">
        <v>1720</v>
      </c>
      <c r="F1799" s="7">
        <v>111</v>
      </c>
      <c r="G1799" s="7">
        <v>53172</v>
      </c>
    </row>
    <row r="1800" spans="1:7" ht="18" x14ac:dyDescent="0.2">
      <c r="A1800" s="7" t="s">
        <v>37</v>
      </c>
      <c r="B1800" s="7" t="s">
        <v>0</v>
      </c>
      <c r="C1800" s="7" t="s">
        <v>9</v>
      </c>
      <c r="D1800" s="7">
        <f t="shared" si="35"/>
        <v>567</v>
      </c>
      <c r="E1800" s="7">
        <v>1721</v>
      </c>
      <c r="F1800" s="7">
        <v>111</v>
      </c>
      <c r="G1800" s="7">
        <v>53949</v>
      </c>
    </row>
    <row r="1801" spans="1:7" ht="18" x14ac:dyDescent="0.2">
      <c r="A1801" s="7" t="s">
        <v>37</v>
      </c>
      <c r="B1801" s="7" t="s">
        <v>0</v>
      </c>
      <c r="C1801" s="7" t="s">
        <v>9</v>
      </c>
      <c r="D1801" s="7">
        <f t="shared" si="35"/>
        <v>574</v>
      </c>
      <c r="E1801" s="7">
        <v>1722</v>
      </c>
      <c r="F1801" s="7">
        <v>111</v>
      </c>
      <c r="G1801" s="7">
        <v>54726</v>
      </c>
    </row>
    <row r="1802" spans="1:7" ht="18" x14ac:dyDescent="0.2">
      <c r="A1802" s="7" t="s">
        <v>37</v>
      </c>
      <c r="B1802" s="7" t="s">
        <v>0</v>
      </c>
      <c r="C1802" s="7" t="s">
        <v>9</v>
      </c>
      <c r="D1802" s="7">
        <f t="shared" si="35"/>
        <v>581</v>
      </c>
      <c r="E1802" s="7">
        <v>1723</v>
      </c>
      <c r="F1802" s="7">
        <v>111</v>
      </c>
      <c r="G1802" s="7">
        <v>55503</v>
      </c>
    </row>
    <row r="1803" spans="1:7" ht="18" x14ac:dyDescent="0.2">
      <c r="A1803" s="7" t="s">
        <v>37</v>
      </c>
      <c r="B1803" s="7" t="s">
        <v>0</v>
      </c>
      <c r="C1803" s="7" t="s">
        <v>9</v>
      </c>
      <c r="D1803" s="7">
        <f t="shared" si="35"/>
        <v>588</v>
      </c>
      <c r="E1803" s="7">
        <v>1724</v>
      </c>
      <c r="F1803" s="7">
        <v>111</v>
      </c>
      <c r="G1803" s="7">
        <v>56280</v>
      </c>
    </row>
    <row r="1804" spans="1:7" ht="18" x14ac:dyDescent="0.2">
      <c r="A1804" s="7" t="s">
        <v>37</v>
      </c>
      <c r="B1804" s="7" t="s">
        <v>0</v>
      </c>
      <c r="C1804" s="7" t="s">
        <v>9</v>
      </c>
      <c r="D1804" s="7">
        <f t="shared" si="35"/>
        <v>595</v>
      </c>
      <c r="E1804" s="7">
        <v>1725</v>
      </c>
      <c r="F1804" s="7">
        <v>111</v>
      </c>
      <c r="G1804" s="7">
        <v>57057</v>
      </c>
    </row>
    <row r="1805" spans="1:7" ht="18" x14ac:dyDescent="0.2">
      <c r="A1805" s="7" t="s">
        <v>37</v>
      </c>
      <c r="B1805" s="7" t="s">
        <v>0</v>
      </c>
      <c r="C1805" s="7" t="s">
        <v>9</v>
      </c>
      <c r="D1805" s="7">
        <f t="shared" si="35"/>
        <v>602</v>
      </c>
      <c r="E1805" s="7">
        <v>1725</v>
      </c>
      <c r="F1805" s="7">
        <v>111</v>
      </c>
      <c r="G1805" s="7">
        <v>57834</v>
      </c>
    </row>
    <row r="1806" spans="1:7" ht="18" x14ac:dyDescent="0.2">
      <c r="A1806" s="7" t="s">
        <v>37</v>
      </c>
      <c r="B1806" s="7" t="s">
        <v>0</v>
      </c>
      <c r="C1806" s="7" t="s">
        <v>9</v>
      </c>
      <c r="D1806" s="7">
        <f t="shared" si="35"/>
        <v>609</v>
      </c>
      <c r="E1806" s="7">
        <v>1725</v>
      </c>
      <c r="F1806" s="7">
        <v>111</v>
      </c>
      <c r="G1806" s="7">
        <v>58611</v>
      </c>
    </row>
    <row r="1807" spans="1:7" ht="18" x14ac:dyDescent="0.2">
      <c r="A1807" s="7" t="s">
        <v>37</v>
      </c>
      <c r="B1807" s="7" t="s">
        <v>0</v>
      </c>
      <c r="C1807" s="7" t="s">
        <v>9</v>
      </c>
      <c r="D1807" s="7">
        <f t="shared" si="35"/>
        <v>616</v>
      </c>
      <c r="E1807" s="7">
        <v>1725</v>
      </c>
      <c r="F1807" s="7">
        <v>111</v>
      </c>
      <c r="G1807" s="7">
        <v>59388</v>
      </c>
    </row>
    <row r="1808" spans="1:7" ht="18" x14ac:dyDescent="0.2">
      <c r="A1808" s="7" t="s">
        <v>37</v>
      </c>
      <c r="B1808" s="7" t="s">
        <v>0</v>
      </c>
      <c r="C1808" s="7" t="s">
        <v>9</v>
      </c>
      <c r="D1808" s="7">
        <f t="shared" si="35"/>
        <v>623</v>
      </c>
      <c r="E1808" s="7">
        <v>1725</v>
      </c>
      <c r="F1808" s="7">
        <v>111</v>
      </c>
      <c r="G1808" s="7">
        <v>60165</v>
      </c>
    </row>
    <row r="1809" spans="1:7" ht="18" x14ac:dyDescent="0.2">
      <c r="A1809" s="7" t="s">
        <v>37</v>
      </c>
      <c r="B1809" s="7" t="s">
        <v>0</v>
      </c>
      <c r="C1809" s="7" t="s">
        <v>9</v>
      </c>
      <c r="D1809" s="7">
        <f t="shared" si="35"/>
        <v>630</v>
      </c>
      <c r="E1809" s="7">
        <v>1725</v>
      </c>
      <c r="F1809" s="7">
        <v>111</v>
      </c>
      <c r="G1809" s="7">
        <v>60942</v>
      </c>
    </row>
    <row r="1810" spans="1:7" ht="18" x14ac:dyDescent="0.2">
      <c r="A1810" s="7" t="s">
        <v>37</v>
      </c>
      <c r="B1810" s="7" t="s">
        <v>0</v>
      </c>
      <c r="C1810" s="7" t="s">
        <v>9</v>
      </c>
      <c r="D1810" s="7">
        <f t="shared" si="35"/>
        <v>637</v>
      </c>
      <c r="E1810" s="7">
        <v>1725</v>
      </c>
      <c r="F1810" s="7">
        <v>111</v>
      </c>
      <c r="G1810" s="7">
        <v>61719</v>
      </c>
    </row>
    <row r="1811" spans="1:7" ht="18" x14ac:dyDescent="0.2">
      <c r="A1811" s="7" t="s">
        <v>37</v>
      </c>
      <c r="B1811" s="7" t="s">
        <v>0</v>
      </c>
      <c r="C1811" s="7" t="s">
        <v>9</v>
      </c>
      <c r="D1811" s="7">
        <f t="shared" si="35"/>
        <v>644</v>
      </c>
      <c r="E1811" s="7">
        <v>1725</v>
      </c>
      <c r="F1811" s="7">
        <v>111</v>
      </c>
      <c r="G1811" s="7">
        <v>62496</v>
      </c>
    </row>
    <row r="1812" spans="1:7" ht="18" x14ac:dyDescent="0.2">
      <c r="A1812" s="7" t="s">
        <v>37</v>
      </c>
      <c r="B1812" s="7" t="s">
        <v>0</v>
      </c>
      <c r="C1812" s="7" t="s">
        <v>9</v>
      </c>
      <c r="D1812" s="7">
        <f t="shared" si="35"/>
        <v>651</v>
      </c>
      <c r="E1812" s="7">
        <v>1725</v>
      </c>
      <c r="F1812" s="7">
        <v>111</v>
      </c>
      <c r="G1812" s="7">
        <v>63273</v>
      </c>
    </row>
    <row r="1813" spans="1:7" ht="18" x14ac:dyDescent="0.2">
      <c r="A1813" s="7" t="s">
        <v>37</v>
      </c>
      <c r="B1813" s="7" t="s">
        <v>0</v>
      </c>
      <c r="C1813" s="7" t="s">
        <v>9</v>
      </c>
      <c r="D1813" s="7">
        <f t="shared" si="35"/>
        <v>658</v>
      </c>
      <c r="E1813" s="7">
        <v>1725</v>
      </c>
      <c r="F1813" s="7">
        <v>111</v>
      </c>
      <c r="G1813" s="7">
        <v>64050</v>
      </c>
    </row>
    <row r="1814" spans="1:7" ht="18" x14ac:dyDescent="0.2">
      <c r="A1814" s="7" t="s">
        <v>37</v>
      </c>
      <c r="B1814" s="7" t="s">
        <v>0</v>
      </c>
      <c r="C1814" s="7" t="s">
        <v>9</v>
      </c>
      <c r="D1814" s="7">
        <f t="shared" si="35"/>
        <v>665</v>
      </c>
      <c r="E1814" s="7">
        <v>1725</v>
      </c>
      <c r="F1814" s="7">
        <v>111</v>
      </c>
      <c r="G1814" s="7">
        <v>64827</v>
      </c>
    </row>
    <row r="1815" spans="1:7" ht="18" x14ac:dyDescent="0.2">
      <c r="A1815" s="7" t="s">
        <v>37</v>
      </c>
      <c r="B1815" s="7" t="s">
        <v>0</v>
      </c>
      <c r="C1815" s="7" t="s">
        <v>9</v>
      </c>
      <c r="D1815" s="7">
        <f t="shared" si="35"/>
        <v>672</v>
      </c>
      <c r="E1815" s="7">
        <v>1725</v>
      </c>
      <c r="F1815" s="7">
        <v>111</v>
      </c>
      <c r="G1815" s="7">
        <v>65604</v>
      </c>
    </row>
    <row r="1816" spans="1:7" ht="18" x14ac:dyDescent="0.2">
      <c r="A1816" s="7" t="s">
        <v>37</v>
      </c>
      <c r="B1816" s="7" t="s">
        <v>0</v>
      </c>
      <c r="C1816" s="7" t="s">
        <v>9</v>
      </c>
      <c r="D1816" s="7">
        <f t="shared" si="35"/>
        <v>679</v>
      </c>
      <c r="E1816" s="7">
        <v>1725</v>
      </c>
      <c r="F1816" s="7">
        <v>111</v>
      </c>
      <c r="G1816" s="7">
        <v>66381</v>
      </c>
    </row>
    <row r="1817" spans="1:7" ht="18" x14ac:dyDescent="0.2">
      <c r="A1817" s="7" t="s">
        <v>37</v>
      </c>
      <c r="B1817" s="7" t="s">
        <v>0</v>
      </c>
      <c r="C1817" s="7" t="s">
        <v>9</v>
      </c>
      <c r="D1817" s="7">
        <f t="shared" si="35"/>
        <v>686</v>
      </c>
      <c r="E1817" s="7">
        <v>1725</v>
      </c>
      <c r="F1817" s="7">
        <v>111</v>
      </c>
      <c r="G1817" s="7">
        <v>67158</v>
      </c>
    </row>
    <row r="1818" spans="1:7" ht="18" x14ac:dyDescent="0.2">
      <c r="A1818" s="7" t="s">
        <v>37</v>
      </c>
      <c r="B1818" s="7" t="s">
        <v>0</v>
      </c>
      <c r="C1818" s="7" t="s">
        <v>9</v>
      </c>
      <c r="D1818" s="7">
        <f t="shared" si="35"/>
        <v>693</v>
      </c>
      <c r="E1818" s="7">
        <v>1725</v>
      </c>
      <c r="F1818" s="7">
        <v>111</v>
      </c>
      <c r="G1818" s="7">
        <v>67935</v>
      </c>
    </row>
    <row r="1819" spans="1:7" ht="18" x14ac:dyDescent="0.2">
      <c r="A1819" s="7" t="s">
        <v>37</v>
      </c>
      <c r="B1819" s="7" t="s">
        <v>0</v>
      </c>
      <c r="C1819" s="7" t="s">
        <v>9</v>
      </c>
      <c r="D1819" s="7">
        <f t="shared" si="35"/>
        <v>700</v>
      </c>
      <c r="E1819" s="7">
        <v>1725</v>
      </c>
      <c r="F1819" s="7">
        <v>111</v>
      </c>
      <c r="G1819" s="7">
        <v>68712</v>
      </c>
    </row>
    <row r="1820" spans="1:7" ht="18" x14ac:dyDescent="0.2">
      <c r="A1820" s="7" t="s">
        <v>37</v>
      </c>
      <c r="B1820" s="7" t="s">
        <v>1</v>
      </c>
      <c r="C1820" s="7" t="s">
        <v>13</v>
      </c>
      <c r="D1820" s="7">
        <v>7</v>
      </c>
      <c r="E1820" s="7">
        <v>60</v>
      </c>
      <c r="F1820" s="7">
        <v>10</v>
      </c>
      <c r="G1820" s="7">
        <v>70</v>
      </c>
    </row>
    <row r="1821" spans="1:7" ht="18" x14ac:dyDescent="0.2">
      <c r="A1821" s="7" t="s">
        <v>37</v>
      </c>
      <c r="B1821" s="7" t="s">
        <v>1</v>
      </c>
      <c r="C1821" s="7" t="s">
        <v>13</v>
      </c>
      <c r="D1821" s="7">
        <v>14</v>
      </c>
      <c r="E1821" s="7">
        <v>115</v>
      </c>
      <c r="F1821" s="7">
        <v>16</v>
      </c>
      <c r="G1821" s="7">
        <v>182</v>
      </c>
    </row>
    <row r="1822" spans="1:7" ht="18" x14ac:dyDescent="0.2">
      <c r="A1822" s="7" t="s">
        <v>37</v>
      </c>
      <c r="B1822" s="7" t="s">
        <v>1</v>
      </c>
      <c r="C1822" s="7" t="s">
        <v>13</v>
      </c>
      <c r="D1822" s="7">
        <f>D1821+7</f>
        <v>21</v>
      </c>
      <c r="E1822" s="7">
        <v>170</v>
      </c>
      <c r="F1822" s="7">
        <v>24</v>
      </c>
      <c r="G1822" s="7">
        <v>350</v>
      </c>
    </row>
    <row r="1823" spans="1:7" ht="18" x14ac:dyDescent="0.2">
      <c r="A1823" s="7" t="s">
        <v>37</v>
      </c>
      <c r="B1823" s="7" t="s">
        <v>1</v>
      </c>
      <c r="C1823" s="7" t="s">
        <v>13</v>
      </c>
      <c r="D1823" s="7">
        <f>D1822+7</f>
        <v>28</v>
      </c>
      <c r="E1823" s="7">
        <v>240</v>
      </c>
      <c r="F1823" s="7">
        <v>31</v>
      </c>
      <c r="G1823" s="7">
        <v>567</v>
      </c>
    </row>
    <row r="1824" spans="1:7" ht="18" x14ac:dyDescent="0.2">
      <c r="A1824" s="7" t="s">
        <v>37</v>
      </c>
      <c r="B1824" s="7" t="s">
        <v>1</v>
      </c>
      <c r="C1824" s="7" t="s">
        <v>13</v>
      </c>
      <c r="D1824" s="7">
        <f t="shared" ref="D1824:D1887" si="36">D1823+7</f>
        <v>35</v>
      </c>
      <c r="E1824" s="7">
        <v>330</v>
      </c>
      <c r="F1824" s="7">
        <v>36</v>
      </c>
      <c r="G1824" s="7">
        <v>819</v>
      </c>
    </row>
    <row r="1825" spans="1:7" ht="18" x14ac:dyDescent="0.2">
      <c r="A1825" s="7" t="s">
        <v>37</v>
      </c>
      <c r="B1825" s="7" t="s">
        <v>1</v>
      </c>
      <c r="C1825" s="7" t="s">
        <v>13</v>
      </c>
      <c r="D1825" s="7">
        <f t="shared" si="36"/>
        <v>42</v>
      </c>
      <c r="E1825" s="7">
        <v>430</v>
      </c>
      <c r="F1825" s="7">
        <v>41</v>
      </c>
      <c r="G1825" s="7">
        <v>1106</v>
      </c>
    </row>
    <row r="1826" spans="1:7" ht="18" x14ac:dyDescent="0.2">
      <c r="A1826" s="7" t="s">
        <v>37</v>
      </c>
      <c r="B1826" s="7" t="s">
        <v>1</v>
      </c>
      <c r="C1826" s="7" t="s">
        <v>13</v>
      </c>
      <c r="D1826" s="7">
        <f t="shared" si="36"/>
        <v>49</v>
      </c>
      <c r="E1826" s="7">
        <v>530</v>
      </c>
      <c r="F1826" s="7">
        <v>45</v>
      </c>
      <c r="G1826" s="7">
        <v>1421</v>
      </c>
    </row>
    <row r="1827" spans="1:7" ht="18" x14ac:dyDescent="0.2">
      <c r="A1827" s="7" t="s">
        <v>37</v>
      </c>
      <c r="B1827" s="7" t="s">
        <v>1</v>
      </c>
      <c r="C1827" s="7" t="s">
        <v>13</v>
      </c>
      <c r="D1827" s="7">
        <f t="shared" si="36"/>
        <v>56</v>
      </c>
      <c r="E1827" s="7">
        <v>620</v>
      </c>
      <c r="F1827" s="7">
        <v>49</v>
      </c>
      <c r="G1827" s="7">
        <v>1764</v>
      </c>
    </row>
    <row r="1828" spans="1:7" ht="18" x14ac:dyDescent="0.2">
      <c r="A1828" s="7" t="s">
        <v>37</v>
      </c>
      <c r="B1828" s="7" t="s">
        <v>1</v>
      </c>
      <c r="C1828" s="7" t="s">
        <v>13</v>
      </c>
      <c r="D1828" s="7">
        <f t="shared" si="36"/>
        <v>63</v>
      </c>
      <c r="E1828" s="7">
        <v>710</v>
      </c>
      <c r="F1828" s="7">
        <v>53</v>
      </c>
      <c r="G1828" s="7">
        <v>2135</v>
      </c>
    </row>
    <row r="1829" spans="1:7" ht="18" x14ac:dyDescent="0.2">
      <c r="A1829" s="7" t="s">
        <v>37</v>
      </c>
      <c r="B1829" s="7" t="s">
        <v>1</v>
      </c>
      <c r="C1829" s="7" t="s">
        <v>13</v>
      </c>
      <c r="D1829" s="7">
        <f t="shared" si="36"/>
        <v>70</v>
      </c>
      <c r="E1829" s="7">
        <v>800</v>
      </c>
      <c r="F1829" s="7">
        <v>57</v>
      </c>
      <c r="G1829" s="7">
        <v>2534</v>
      </c>
    </row>
    <row r="1830" spans="1:7" ht="18" x14ac:dyDescent="0.2">
      <c r="A1830" s="7" t="s">
        <v>37</v>
      </c>
      <c r="B1830" s="7" t="s">
        <v>1</v>
      </c>
      <c r="C1830" s="7" t="s">
        <v>13</v>
      </c>
      <c r="D1830" s="7">
        <f t="shared" si="36"/>
        <v>77</v>
      </c>
      <c r="E1830" s="7">
        <v>890</v>
      </c>
      <c r="F1830" s="7">
        <v>60</v>
      </c>
      <c r="G1830" s="7">
        <v>2954</v>
      </c>
    </row>
    <row r="1831" spans="1:7" ht="18" x14ac:dyDescent="0.2">
      <c r="A1831" s="7" t="s">
        <v>37</v>
      </c>
      <c r="B1831" s="7" t="s">
        <v>1</v>
      </c>
      <c r="C1831" s="7" t="s">
        <v>13</v>
      </c>
      <c r="D1831" s="7">
        <f t="shared" si="36"/>
        <v>84</v>
      </c>
      <c r="E1831" s="7">
        <v>985</v>
      </c>
      <c r="F1831" s="7">
        <v>63</v>
      </c>
      <c r="G1831" s="7">
        <v>3395</v>
      </c>
    </row>
    <row r="1832" spans="1:7" ht="18" x14ac:dyDescent="0.2">
      <c r="A1832" s="7" t="s">
        <v>37</v>
      </c>
      <c r="B1832" s="7" t="s">
        <v>1</v>
      </c>
      <c r="C1832" s="7" t="s">
        <v>13</v>
      </c>
      <c r="D1832" s="7">
        <f t="shared" si="36"/>
        <v>91</v>
      </c>
      <c r="E1832" s="7">
        <v>1080</v>
      </c>
      <c r="F1832" s="7">
        <v>66</v>
      </c>
      <c r="G1832" s="7">
        <v>3857</v>
      </c>
    </row>
    <row r="1833" spans="1:7" ht="18" x14ac:dyDescent="0.2">
      <c r="A1833" s="7" t="s">
        <v>37</v>
      </c>
      <c r="B1833" s="7" t="s">
        <v>1</v>
      </c>
      <c r="C1833" s="7" t="s">
        <v>13</v>
      </c>
      <c r="D1833" s="7">
        <f t="shared" si="36"/>
        <v>98</v>
      </c>
      <c r="E1833" s="7">
        <v>1165</v>
      </c>
      <c r="F1833" s="7">
        <v>69</v>
      </c>
      <c r="G1833" s="7">
        <v>4340</v>
      </c>
    </row>
    <row r="1834" spans="1:7" ht="18" x14ac:dyDescent="0.2">
      <c r="A1834" s="7" t="s">
        <v>37</v>
      </c>
      <c r="B1834" s="7" t="s">
        <v>1</v>
      </c>
      <c r="C1834" s="7" t="s">
        <v>13</v>
      </c>
      <c r="D1834" s="7">
        <f t="shared" si="36"/>
        <v>105</v>
      </c>
      <c r="E1834" s="7">
        <v>1250</v>
      </c>
      <c r="F1834" s="7">
        <v>72</v>
      </c>
      <c r="G1834" s="7">
        <v>4844</v>
      </c>
    </row>
    <row r="1835" spans="1:7" ht="18" x14ac:dyDescent="0.2">
      <c r="A1835" s="7" t="s">
        <v>37</v>
      </c>
      <c r="B1835" s="7" t="s">
        <v>1</v>
      </c>
      <c r="C1835" s="7" t="s">
        <v>13</v>
      </c>
      <c r="D1835" s="7">
        <f t="shared" si="36"/>
        <v>112</v>
      </c>
      <c r="E1835" s="7">
        <v>1335</v>
      </c>
      <c r="F1835" s="7">
        <v>76</v>
      </c>
      <c r="G1835" s="7">
        <v>5376</v>
      </c>
    </row>
    <row r="1836" spans="1:7" ht="18" x14ac:dyDescent="0.2">
      <c r="A1836" s="7" t="s">
        <v>37</v>
      </c>
      <c r="B1836" s="7" t="s">
        <v>1</v>
      </c>
      <c r="C1836" s="7" t="s">
        <v>13</v>
      </c>
      <c r="D1836" s="7">
        <f t="shared" si="36"/>
        <v>119</v>
      </c>
      <c r="E1836" s="7">
        <v>1410</v>
      </c>
      <c r="F1836" s="7">
        <v>82</v>
      </c>
      <c r="G1836" s="7">
        <v>5950</v>
      </c>
    </row>
    <row r="1837" spans="1:7" ht="18" x14ac:dyDescent="0.2">
      <c r="A1837" s="7" t="s">
        <v>37</v>
      </c>
      <c r="B1837" s="7" t="s">
        <v>1</v>
      </c>
      <c r="C1837" s="7" t="s">
        <v>13</v>
      </c>
      <c r="D1837" s="7">
        <f t="shared" si="36"/>
        <v>126</v>
      </c>
      <c r="E1837" s="7">
        <v>1460</v>
      </c>
      <c r="F1837" s="7">
        <v>89</v>
      </c>
      <c r="G1837" s="7">
        <v>6573</v>
      </c>
    </row>
    <row r="1838" spans="1:7" ht="18" x14ac:dyDescent="0.2">
      <c r="A1838" s="7" t="s">
        <v>37</v>
      </c>
      <c r="B1838" s="7" t="s">
        <v>1</v>
      </c>
      <c r="C1838" s="7" t="s">
        <v>13</v>
      </c>
      <c r="D1838" s="7">
        <f t="shared" si="36"/>
        <v>133</v>
      </c>
      <c r="E1838" s="7">
        <v>1525</v>
      </c>
      <c r="F1838" s="7">
        <v>95</v>
      </c>
      <c r="G1838" s="7">
        <v>7238</v>
      </c>
    </row>
    <row r="1839" spans="1:7" ht="18" x14ac:dyDescent="0.2">
      <c r="A1839" s="7" t="s">
        <v>37</v>
      </c>
      <c r="B1839" s="7" t="s">
        <v>1</v>
      </c>
      <c r="C1839" s="7" t="s">
        <v>13</v>
      </c>
      <c r="D1839" s="7">
        <f t="shared" si="36"/>
        <v>140</v>
      </c>
      <c r="E1839" s="7">
        <v>1595</v>
      </c>
      <c r="F1839" s="7">
        <v>100</v>
      </c>
      <c r="G1839" s="7">
        <v>7938</v>
      </c>
    </row>
    <row r="1840" spans="1:7" ht="18" x14ac:dyDescent="0.2">
      <c r="A1840" s="7" t="s">
        <v>37</v>
      </c>
      <c r="B1840" s="7" t="s">
        <v>1</v>
      </c>
      <c r="C1840" s="7" t="s">
        <v>13</v>
      </c>
      <c r="D1840" s="7">
        <f t="shared" si="36"/>
        <v>147</v>
      </c>
      <c r="E1840" s="7">
        <v>1650</v>
      </c>
      <c r="F1840" s="7">
        <v>104</v>
      </c>
      <c r="G1840" s="7">
        <v>8666</v>
      </c>
    </row>
    <row r="1841" spans="1:7" ht="18" x14ac:dyDescent="0.2">
      <c r="A1841" s="7" t="s">
        <v>37</v>
      </c>
      <c r="B1841" s="7" t="s">
        <v>1</v>
      </c>
      <c r="C1841" s="7" t="s">
        <v>13</v>
      </c>
      <c r="D1841" s="7">
        <f t="shared" si="36"/>
        <v>154</v>
      </c>
      <c r="E1841" s="7">
        <v>1695</v>
      </c>
      <c r="F1841" s="7">
        <v>107</v>
      </c>
      <c r="G1841" s="7">
        <v>9415</v>
      </c>
    </row>
    <row r="1842" spans="1:7" ht="18" x14ac:dyDescent="0.2">
      <c r="A1842" s="7" t="s">
        <v>37</v>
      </c>
      <c r="B1842" s="7" t="s">
        <v>1</v>
      </c>
      <c r="C1842" s="7" t="s">
        <v>13</v>
      </c>
      <c r="D1842" s="7">
        <f t="shared" si="36"/>
        <v>161</v>
      </c>
      <c r="E1842" s="7">
        <v>1730</v>
      </c>
      <c r="F1842" s="7">
        <v>109</v>
      </c>
      <c r="G1842" s="7">
        <v>10178</v>
      </c>
    </row>
    <row r="1843" spans="1:7" ht="18" x14ac:dyDescent="0.2">
      <c r="A1843" s="7" t="s">
        <v>37</v>
      </c>
      <c r="B1843" s="7" t="s">
        <v>1</v>
      </c>
      <c r="C1843" s="7" t="s">
        <v>13</v>
      </c>
      <c r="D1843" s="7">
        <f t="shared" si="36"/>
        <v>168</v>
      </c>
      <c r="E1843" s="7">
        <v>1755</v>
      </c>
      <c r="F1843" s="7">
        <v>111</v>
      </c>
      <c r="G1843" s="7">
        <v>10955</v>
      </c>
    </row>
    <row r="1844" spans="1:7" ht="18" x14ac:dyDescent="0.2">
      <c r="A1844" s="7" t="s">
        <v>37</v>
      </c>
      <c r="B1844" s="7" t="s">
        <v>1</v>
      </c>
      <c r="C1844" s="7" t="s">
        <v>13</v>
      </c>
      <c r="D1844" s="7">
        <f t="shared" si="36"/>
        <v>175</v>
      </c>
      <c r="E1844" s="7">
        <v>1775</v>
      </c>
      <c r="F1844" s="7">
        <v>112</v>
      </c>
      <c r="G1844" s="7">
        <v>11739</v>
      </c>
    </row>
    <row r="1845" spans="1:7" ht="18" x14ac:dyDescent="0.2">
      <c r="A1845" s="7" t="s">
        <v>37</v>
      </c>
      <c r="B1845" s="7" t="s">
        <v>1</v>
      </c>
      <c r="C1845" s="7" t="s">
        <v>13</v>
      </c>
      <c r="D1845" s="7">
        <f t="shared" si="36"/>
        <v>182</v>
      </c>
      <c r="E1845" s="7">
        <v>1790</v>
      </c>
      <c r="F1845" s="7">
        <v>113</v>
      </c>
      <c r="G1845" s="7">
        <v>12530</v>
      </c>
    </row>
    <row r="1846" spans="1:7" ht="18" x14ac:dyDescent="0.2">
      <c r="A1846" s="7" t="s">
        <v>37</v>
      </c>
      <c r="B1846" s="7" t="s">
        <v>1</v>
      </c>
      <c r="C1846" s="7" t="s">
        <v>13</v>
      </c>
      <c r="D1846" s="7">
        <f t="shared" si="36"/>
        <v>189</v>
      </c>
      <c r="E1846" s="7">
        <v>1800</v>
      </c>
      <c r="F1846" s="7">
        <v>114</v>
      </c>
      <c r="G1846" s="7">
        <v>13328</v>
      </c>
    </row>
    <row r="1847" spans="1:7" ht="18" x14ac:dyDescent="0.2">
      <c r="A1847" s="7" t="s">
        <v>37</v>
      </c>
      <c r="B1847" s="7" t="s">
        <v>1</v>
      </c>
      <c r="C1847" s="7" t="s">
        <v>13</v>
      </c>
      <c r="D1847" s="7">
        <f t="shared" si="36"/>
        <v>196</v>
      </c>
      <c r="E1847" s="7">
        <v>1809</v>
      </c>
      <c r="F1847" s="7">
        <v>115</v>
      </c>
      <c r="G1847" s="7">
        <v>14133</v>
      </c>
    </row>
    <row r="1848" spans="1:7" ht="18" x14ac:dyDescent="0.2">
      <c r="A1848" s="7" t="s">
        <v>37</v>
      </c>
      <c r="B1848" s="7" t="s">
        <v>1</v>
      </c>
      <c r="C1848" s="7" t="s">
        <v>13</v>
      </c>
      <c r="D1848" s="7">
        <f t="shared" si="36"/>
        <v>203</v>
      </c>
      <c r="E1848" s="7">
        <v>1817</v>
      </c>
      <c r="F1848" s="7">
        <v>115</v>
      </c>
      <c r="G1848" s="7">
        <v>14938</v>
      </c>
    </row>
    <row r="1849" spans="1:7" ht="18" x14ac:dyDescent="0.2">
      <c r="A1849" s="7" t="s">
        <v>37</v>
      </c>
      <c r="B1849" s="7" t="s">
        <v>1</v>
      </c>
      <c r="C1849" s="7" t="s">
        <v>13</v>
      </c>
      <c r="D1849" s="7">
        <f t="shared" si="36"/>
        <v>210</v>
      </c>
      <c r="E1849" s="7">
        <v>1824</v>
      </c>
      <c r="F1849" s="7">
        <v>115</v>
      </c>
      <c r="G1849" s="7">
        <v>15743</v>
      </c>
    </row>
    <row r="1850" spans="1:7" ht="18" x14ac:dyDescent="0.2">
      <c r="A1850" s="7" t="s">
        <v>37</v>
      </c>
      <c r="B1850" s="7" t="s">
        <v>1</v>
      </c>
      <c r="C1850" s="7" t="s">
        <v>13</v>
      </c>
      <c r="D1850" s="7">
        <f t="shared" si="36"/>
        <v>217</v>
      </c>
      <c r="E1850" s="7">
        <v>1830</v>
      </c>
      <c r="F1850" s="7">
        <v>115</v>
      </c>
      <c r="G1850" s="7">
        <v>16548</v>
      </c>
    </row>
    <row r="1851" spans="1:7" ht="18" x14ac:dyDescent="0.2">
      <c r="A1851" s="7" t="s">
        <v>37</v>
      </c>
      <c r="B1851" s="7" t="s">
        <v>1</v>
      </c>
      <c r="C1851" s="7" t="s">
        <v>13</v>
      </c>
      <c r="D1851" s="7">
        <f t="shared" si="36"/>
        <v>224</v>
      </c>
      <c r="E1851" s="7">
        <v>1835</v>
      </c>
      <c r="F1851" s="7">
        <v>115</v>
      </c>
      <c r="G1851" s="7">
        <v>17353</v>
      </c>
    </row>
    <row r="1852" spans="1:7" ht="18" x14ac:dyDescent="0.2">
      <c r="A1852" s="7" t="s">
        <v>37</v>
      </c>
      <c r="B1852" s="7" t="s">
        <v>1</v>
      </c>
      <c r="C1852" s="7" t="s">
        <v>13</v>
      </c>
      <c r="D1852" s="7">
        <f t="shared" si="36"/>
        <v>231</v>
      </c>
      <c r="E1852" s="7">
        <v>1840</v>
      </c>
      <c r="F1852" s="7">
        <v>115</v>
      </c>
      <c r="G1852" s="7">
        <v>18158</v>
      </c>
    </row>
    <row r="1853" spans="1:7" ht="18" x14ac:dyDescent="0.2">
      <c r="A1853" s="7" t="s">
        <v>37</v>
      </c>
      <c r="B1853" s="7" t="s">
        <v>1</v>
      </c>
      <c r="C1853" s="7" t="s">
        <v>13</v>
      </c>
      <c r="D1853" s="7">
        <f t="shared" si="36"/>
        <v>238</v>
      </c>
      <c r="E1853" s="7">
        <v>1845</v>
      </c>
      <c r="F1853" s="7">
        <v>115</v>
      </c>
      <c r="G1853" s="7">
        <v>18963</v>
      </c>
    </row>
    <row r="1854" spans="1:7" ht="18" x14ac:dyDescent="0.2">
      <c r="A1854" s="7" t="s">
        <v>37</v>
      </c>
      <c r="B1854" s="7" t="s">
        <v>1</v>
      </c>
      <c r="C1854" s="7" t="s">
        <v>13</v>
      </c>
      <c r="D1854" s="7">
        <f t="shared" si="36"/>
        <v>245</v>
      </c>
      <c r="E1854" s="7">
        <v>1850</v>
      </c>
      <c r="F1854" s="7">
        <v>115</v>
      </c>
      <c r="G1854" s="7">
        <v>19768</v>
      </c>
    </row>
    <row r="1855" spans="1:7" ht="18" x14ac:dyDescent="0.2">
      <c r="A1855" s="7" t="s">
        <v>37</v>
      </c>
      <c r="B1855" s="7" t="s">
        <v>1</v>
      </c>
      <c r="C1855" s="7" t="s">
        <v>13</v>
      </c>
      <c r="D1855" s="7">
        <f t="shared" si="36"/>
        <v>252</v>
      </c>
      <c r="E1855" s="7">
        <v>1854</v>
      </c>
      <c r="F1855" s="7">
        <v>115</v>
      </c>
      <c r="G1855" s="7">
        <v>20573</v>
      </c>
    </row>
    <row r="1856" spans="1:7" ht="18" x14ac:dyDescent="0.2">
      <c r="A1856" s="7" t="s">
        <v>37</v>
      </c>
      <c r="B1856" s="7" t="s">
        <v>1</v>
      </c>
      <c r="C1856" s="7" t="s">
        <v>13</v>
      </c>
      <c r="D1856" s="7">
        <f t="shared" si="36"/>
        <v>259</v>
      </c>
      <c r="E1856" s="7">
        <v>1858</v>
      </c>
      <c r="F1856" s="7">
        <v>115</v>
      </c>
      <c r="G1856" s="7">
        <v>21378</v>
      </c>
    </row>
    <row r="1857" spans="1:7" ht="18" x14ac:dyDescent="0.2">
      <c r="A1857" s="7" t="s">
        <v>37</v>
      </c>
      <c r="B1857" s="7" t="s">
        <v>1</v>
      </c>
      <c r="C1857" s="7" t="s">
        <v>13</v>
      </c>
      <c r="D1857" s="7">
        <f t="shared" si="36"/>
        <v>266</v>
      </c>
      <c r="E1857" s="7">
        <v>1862</v>
      </c>
      <c r="F1857" s="7">
        <v>115</v>
      </c>
      <c r="G1857" s="7">
        <v>22183</v>
      </c>
    </row>
    <row r="1858" spans="1:7" ht="18" x14ac:dyDescent="0.2">
      <c r="A1858" s="7" t="s">
        <v>37</v>
      </c>
      <c r="B1858" s="7" t="s">
        <v>1</v>
      </c>
      <c r="C1858" s="7" t="s">
        <v>13</v>
      </c>
      <c r="D1858" s="7">
        <f t="shared" si="36"/>
        <v>273</v>
      </c>
      <c r="E1858" s="7">
        <v>1865</v>
      </c>
      <c r="F1858" s="7">
        <v>115</v>
      </c>
      <c r="G1858" s="7">
        <v>22988</v>
      </c>
    </row>
    <row r="1859" spans="1:7" ht="18" x14ac:dyDescent="0.2">
      <c r="A1859" s="7" t="s">
        <v>37</v>
      </c>
      <c r="B1859" s="7" t="s">
        <v>1</v>
      </c>
      <c r="C1859" s="7" t="s">
        <v>13</v>
      </c>
      <c r="D1859" s="7">
        <f t="shared" si="36"/>
        <v>280</v>
      </c>
      <c r="E1859" s="7">
        <v>1868</v>
      </c>
      <c r="F1859" s="7">
        <v>115</v>
      </c>
      <c r="G1859" s="7">
        <v>23793</v>
      </c>
    </row>
    <row r="1860" spans="1:7" ht="18" x14ac:dyDescent="0.2">
      <c r="A1860" s="7" t="s">
        <v>37</v>
      </c>
      <c r="B1860" s="7" t="s">
        <v>1</v>
      </c>
      <c r="C1860" s="7" t="s">
        <v>13</v>
      </c>
      <c r="D1860" s="7">
        <f t="shared" si="36"/>
        <v>287</v>
      </c>
      <c r="E1860" s="7">
        <v>1870</v>
      </c>
      <c r="F1860" s="7">
        <v>115</v>
      </c>
      <c r="G1860" s="7">
        <v>24598</v>
      </c>
    </row>
    <row r="1861" spans="1:7" ht="18" x14ac:dyDescent="0.2">
      <c r="A1861" s="7" t="s">
        <v>37</v>
      </c>
      <c r="B1861" s="7" t="s">
        <v>1</v>
      </c>
      <c r="C1861" s="7" t="s">
        <v>13</v>
      </c>
      <c r="D1861" s="7">
        <f t="shared" si="36"/>
        <v>294</v>
      </c>
      <c r="E1861" s="7">
        <v>1872</v>
      </c>
      <c r="F1861" s="7">
        <v>115</v>
      </c>
      <c r="G1861" s="7">
        <v>25403</v>
      </c>
    </row>
    <row r="1862" spans="1:7" ht="18" x14ac:dyDescent="0.2">
      <c r="A1862" s="7" t="s">
        <v>37</v>
      </c>
      <c r="B1862" s="7" t="s">
        <v>1</v>
      </c>
      <c r="C1862" s="7" t="s">
        <v>13</v>
      </c>
      <c r="D1862" s="7">
        <f t="shared" si="36"/>
        <v>301</v>
      </c>
      <c r="E1862" s="7">
        <v>1874</v>
      </c>
      <c r="F1862" s="7">
        <v>115</v>
      </c>
      <c r="G1862" s="7">
        <v>26208</v>
      </c>
    </row>
    <row r="1863" spans="1:7" ht="18" x14ac:dyDescent="0.2">
      <c r="A1863" s="7" t="s">
        <v>37</v>
      </c>
      <c r="B1863" s="7" t="s">
        <v>1</v>
      </c>
      <c r="C1863" s="7" t="s">
        <v>13</v>
      </c>
      <c r="D1863" s="7">
        <f t="shared" si="36"/>
        <v>308</v>
      </c>
      <c r="E1863" s="7">
        <v>1876</v>
      </c>
      <c r="F1863" s="7">
        <v>115</v>
      </c>
      <c r="G1863" s="7">
        <v>27013</v>
      </c>
    </row>
    <row r="1864" spans="1:7" ht="18" x14ac:dyDescent="0.2">
      <c r="A1864" s="7" t="s">
        <v>37</v>
      </c>
      <c r="B1864" s="7" t="s">
        <v>1</v>
      </c>
      <c r="C1864" s="7" t="s">
        <v>13</v>
      </c>
      <c r="D1864" s="7">
        <f t="shared" si="36"/>
        <v>315</v>
      </c>
      <c r="E1864" s="7">
        <v>1878</v>
      </c>
      <c r="F1864" s="7">
        <v>115</v>
      </c>
      <c r="G1864" s="7">
        <v>27818</v>
      </c>
    </row>
    <row r="1865" spans="1:7" ht="18" x14ac:dyDescent="0.2">
      <c r="A1865" s="7" t="s">
        <v>37</v>
      </c>
      <c r="B1865" s="7" t="s">
        <v>1</v>
      </c>
      <c r="C1865" s="7" t="s">
        <v>13</v>
      </c>
      <c r="D1865" s="7">
        <f t="shared" si="36"/>
        <v>322</v>
      </c>
      <c r="E1865" s="7">
        <v>1880</v>
      </c>
      <c r="F1865" s="7">
        <v>115</v>
      </c>
      <c r="G1865" s="7">
        <v>28623</v>
      </c>
    </row>
    <row r="1866" spans="1:7" ht="18" x14ac:dyDescent="0.2">
      <c r="A1866" s="7" t="s">
        <v>37</v>
      </c>
      <c r="B1866" s="7" t="s">
        <v>1</v>
      </c>
      <c r="C1866" s="7" t="s">
        <v>13</v>
      </c>
      <c r="D1866" s="7">
        <f t="shared" si="36"/>
        <v>329</v>
      </c>
      <c r="E1866" s="7">
        <v>1882</v>
      </c>
      <c r="F1866" s="7">
        <v>115</v>
      </c>
      <c r="G1866" s="7">
        <v>29428</v>
      </c>
    </row>
    <row r="1867" spans="1:7" ht="18" x14ac:dyDescent="0.2">
      <c r="A1867" s="7" t="s">
        <v>37</v>
      </c>
      <c r="B1867" s="7" t="s">
        <v>1</v>
      </c>
      <c r="C1867" s="7" t="s">
        <v>13</v>
      </c>
      <c r="D1867" s="7">
        <f t="shared" si="36"/>
        <v>336</v>
      </c>
      <c r="E1867" s="7">
        <v>1884</v>
      </c>
      <c r="F1867" s="7">
        <v>115</v>
      </c>
      <c r="G1867" s="7">
        <v>30233</v>
      </c>
    </row>
    <row r="1868" spans="1:7" ht="18" x14ac:dyDescent="0.2">
      <c r="A1868" s="7" t="s">
        <v>37</v>
      </c>
      <c r="B1868" s="7" t="s">
        <v>1</v>
      </c>
      <c r="C1868" s="7" t="s">
        <v>13</v>
      </c>
      <c r="D1868" s="7">
        <f t="shared" si="36"/>
        <v>343</v>
      </c>
      <c r="E1868" s="7">
        <v>1886</v>
      </c>
      <c r="F1868" s="7">
        <v>115</v>
      </c>
      <c r="G1868" s="7">
        <v>31038</v>
      </c>
    </row>
    <row r="1869" spans="1:7" ht="18" x14ac:dyDescent="0.2">
      <c r="A1869" s="7" t="s">
        <v>37</v>
      </c>
      <c r="B1869" s="7" t="s">
        <v>1</v>
      </c>
      <c r="C1869" s="7" t="s">
        <v>13</v>
      </c>
      <c r="D1869" s="7">
        <f t="shared" si="36"/>
        <v>350</v>
      </c>
      <c r="E1869" s="7">
        <v>1888</v>
      </c>
      <c r="F1869" s="7">
        <v>115</v>
      </c>
      <c r="G1869" s="7">
        <v>31843</v>
      </c>
    </row>
    <row r="1870" spans="1:7" ht="18" x14ac:dyDescent="0.2">
      <c r="A1870" s="7" t="s">
        <v>37</v>
      </c>
      <c r="B1870" s="7" t="s">
        <v>1</v>
      </c>
      <c r="C1870" s="7" t="s">
        <v>13</v>
      </c>
      <c r="D1870" s="7">
        <f t="shared" si="36"/>
        <v>357</v>
      </c>
      <c r="E1870" s="7">
        <v>1890</v>
      </c>
      <c r="F1870" s="7">
        <v>115</v>
      </c>
      <c r="G1870" s="7">
        <v>32648</v>
      </c>
    </row>
    <row r="1871" spans="1:7" ht="18" x14ac:dyDescent="0.2">
      <c r="A1871" s="7" t="s">
        <v>37</v>
      </c>
      <c r="B1871" s="7" t="s">
        <v>1</v>
      </c>
      <c r="C1871" s="7" t="s">
        <v>13</v>
      </c>
      <c r="D1871" s="7">
        <f t="shared" si="36"/>
        <v>364</v>
      </c>
      <c r="E1871" s="7">
        <v>1892</v>
      </c>
      <c r="F1871" s="7">
        <v>115</v>
      </c>
      <c r="G1871" s="7">
        <v>33453</v>
      </c>
    </row>
    <row r="1872" spans="1:7" ht="18" x14ac:dyDescent="0.2">
      <c r="A1872" s="7" t="s">
        <v>37</v>
      </c>
      <c r="B1872" s="7" t="s">
        <v>1</v>
      </c>
      <c r="C1872" s="7" t="s">
        <v>13</v>
      </c>
      <c r="D1872" s="7">
        <f t="shared" si="36"/>
        <v>371</v>
      </c>
      <c r="E1872" s="7">
        <v>1894</v>
      </c>
      <c r="F1872" s="7">
        <v>115</v>
      </c>
      <c r="G1872" s="7">
        <v>34258</v>
      </c>
    </row>
    <row r="1873" spans="1:7" ht="18" x14ac:dyDescent="0.2">
      <c r="A1873" s="7" t="s">
        <v>37</v>
      </c>
      <c r="B1873" s="7" t="s">
        <v>1</v>
      </c>
      <c r="C1873" s="7" t="s">
        <v>13</v>
      </c>
      <c r="D1873" s="7">
        <f t="shared" si="36"/>
        <v>378</v>
      </c>
      <c r="E1873" s="7">
        <v>1896</v>
      </c>
      <c r="F1873" s="7">
        <v>115</v>
      </c>
      <c r="G1873" s="7">
        <v>35063</v>
      </c>
    </row>
    <row r="1874" spans="1:7" ht="18" x14ac:dyDescent="0.2">
      <c r="A1874" s="7" t="s">
        <v>37</v>
      </c>
      <c r="B1874" s="7" t="s">
        <v>1</v>
      </c>
      <c r="C1874" s="7" t="s">
        <v>13</v>
      </c>
      <c r="D1874" s="7">
        <f t="shared" si="36"/>
        <v>385</v>
      </c>
      <c r="E1874" s="7">
        <v>1898</v>
      </c>
      <c r="F1874" s="7">
        <v>115</v>
      </c>
      <c r="G1874" s="7">
        <v>35868</v>
      </c>
    </row>
    <row r="1875" spans="1:7" ht="18" x14ac:dyDescent="0.2">
      <c r="A1875" s="7" t="s">
        <v>37</v>
      </c>
      <c r="B1875" s="7" t="s">
        <v>1</v>
      </c>
      <c r="C1875" s="7" t="s">
        <v>13</v>
      </c>
      <c r="D1875" s="7">
        <f t="shared" si="36"/>
        <v>392</v>
      </c>
      <c r="E1875" s="7">
        <v>1900</v>
      </c>
      <c r="F1875" s="7">
        <v>115</v>
      </c>
      <c r="G1875" s="7">
        <v>36673</v>
      </c>
    </row>
    <row r="1876" spans="1:7" ht="18" x14ac:dyDescent="0.2">
      <c r="A1876" s="7" t="s">
        <v>37</v>
      </c>
      <c r="B1876" s="7" t="s">
        <v>1</v>
      </c>
      <c r="C1876" s="7" t="s">
        <v>13</v>
      </c>
      <c r="D1876" s="7">
        <f t="shared" si="36"/>
        <v>399</v>
      </c>
      <c r="E1876" s="7">
        <v>1902</v>
      </c>
      <c r="F1876" s="7">
        <v>115</v>
      </c>
      <c r="G1876" s="7">
        <v>37478</v>
      </c>
    </row>
    <row r="1877" spans="1:7" ht="18" x14ac:dyDescent="0.2">
      <c r="A1877" s="7" t="s">
        <v>37</v>
      </c>
      <c r="B1877" s="7" t="s">
        <v>1</v>
      </c>
      <c r="C1877" s="7" t="s">
        <v>13</v>
      </c>
      <c r="D1877" s="7">
        <f t="shared" si="36"/>
        <v>406</v>
      </c>
      <c r="E1877" s="7">
        <v>1904</v>
      </c>
      <c r="F1877" s="7">
        <v>115</v>
      </c>
      <c r="G1877" s="7">
        <v>38283</v>
      </c>
    </row>
    <row r="1878" spans="1:7" ht="18" x14ac:dyDescent="0.2">
      <c r="A1878" s="7" t="s">
        <v>37</v>
      </c>
      <c r="B1878" s="7" t="s">
        <v>1</v>
      </c>
      <c r="C1878" s="7" t="s">
        <v>13</v>
      </c>
      <c r="D1878" s="7">
        <f t="shared" si="36"/>
        <v>413</v>
      </c>
      <c r="E1878" s="7">
        <v>1906</v>
      </c>
      <c r="F1878" s="7">
        <v>115</v>
      </c>
      <c r="G1878" s="7">
        <v>39088</v>
      </c>
    </row>
    <row r="1879" spans="1:7" ht="18" x14ac:dyDescent="0.2">
      <c r="A1879" s="7" t="s">
        <v>37</v>
      </c>
      <c r="B1879" s="7" t="s">
        <v>1</v>
      </c>
      <c r="C1879" s="7" t="s">
        <v>13</v>
      </c>
      <c r="D1879" s="7">
        <f t="shared" si="36"/>
        <v>420</v>
      </c>
      <c r="E1879" s="7">
        <v>1908</v>
      </c>
      <c r="F1879" s="7">
        <v>115</v>
      </c>
      <c r="G1879" s="7">
        <v>39893</v>
      </c>
    </row>
    <row r="1880" spans="1:7" ht="18" x14ac:dyDescent="0.2">
      <c r="A1880" s="7" t="s">
        <v>37</v>
      </c>
      <c r="B1880" s="7" t="s">
        <v>1</v>
      </c>
      <c r="C1880" s="7" t="s">
        <v>13</v>
      </c>
      <c r="D1880" s="7">
        <f t="shared" si="36"/>
        <v>427</v>
      </c>
      <c r="E1880" s="7">
        <v>1910</v>
      </c>
      <c r="F1880" s="7">
        <v>115</v>
      </c>
      <c r="G1880" s="7">
        <v>40698</v>
      </c>
    </row>
    <row r="1881" spans="1:7" ht="18" x14ac:dyDescent="0.2">
      <c r="A1881" s="7" t="s">
        <v>37</v>
      </c>
      <c r="B1881" s="7" t="s">
        <v>1</v>
      </c>
      <c r="C1881" s="7" t="s">
        <v>13</v>
      </c>
      <c r="D1881" s="7">
        <f t="shared" si="36"/>
        <v>434</v>
      </c>
      <c r="E1881" s="7">
        <v>1912</v>
      </c>
      <c r="F1881" s="7">
        <v>115</v>
      </c>
      <c r="G1881" s="7">
        <v>41503</v>
      </c>
    </row>
    <row r="1882" spans="1:7" ht="18" x14ac:dyDescent="0.2">
      <c r="A1882" s="7" t="s">
        <v>37</v>
      </c>
      <c r="B1882" s="7" t="s">
        <v>1</v>
      </c>
      <c r="C1882" s="7" t="s">
        <v>13</v>
      </c>
      <c r="D1882" s="7">
        <f t="shared" si="36"/>
        <v>441</v>
      </c>
      <c r="E1882" s="7">
        <v>1914</v>
      </c>
      <c r="F1882" s="7">
        <v>115</v>
      </c>
      <c r="G1882" s="7">
        <v>42308</v>
      </c>
    </row>
    <row r="1883" spans="1:7" ht="18" x14ac:dyDescent="0.2">
      <c r="A1883" s="7" t="s">
        <v>37</v>
      </c>
      <c r="B1883" s="7" t="s">
        <v>1</v>
      </c>
      <c r="C1883" s="7" t="s">
        <v>13</v>
      </c>
      <c r="D1883" s="7">
        <f t="shared" si="36"/>
        <v>448</v>
      </c>
      <c r="E1883" s="7">
        <v>1916</v>
      </c>
      <c r="F1883" s="7">
        <v>115</v>
      </c>
      <c r="G1883" s="7">
        <v>43113</v>
      </c>
    </row>
    <row r="1884" spans="1:7" ht="18" x14ac:dyDescent="0.2">
      <c r="A1884" s="7" t="s">
        <v>37</v>
      </c>
      <c r="B1884" s="7" t="s">
        <v>1</v>
      </c>
      <c r="C1884" s="7" t="s">
        <v>13</v>
      </c>
      <c r="D1884" s="7">
        <f t="shared" si="36"/>
        <v>455</v>
      </c>
      <c r="E1884" s="7">
        <v>1918</v>
      </c>
      <c r="F1884" s="7">
        <v>115</v>
      </c>
      <c r="G1884" s="7">
        <v>43918</v>
      </c>
    </row>
    <row r="1885" spans="1:7" ht="18" x14ac:dyDescent="0.2">
      <c r="A1885" s="7" t="s">
        <v>37</v>
      </c>
      <c r="B1885" s="7" t="s">
        <v>1</v>
      </c>
      <c r="C1885" s="7" t="s">
        <v>13</v>
      </c>
      <c r="D1885" s="7">
        <f t="shared" si="36"/>
        <v>462</v>
      </c>
      <c r="E1885" s="7">
        <v>1920</v>
      </c>
      <c r="F1885" s="7">
        <v>115</v>
      </c>
      <c r="G1885" s="7">
        <v>44723</v>
      </c>
    </row>
    <row r="1886" spans="1:7" ht="18" x14ac:dyDescent="0.2">
      <c r="A1886" s="7" t="s">
        <v>37</v>
      </c>
      <c r="B1886" s="7" t="s">
        <v>1</v>
      </c>
      <c r="C1886" s="7" t="s">
        <v>13</v>
      </c>
      <c r="D1886" s="7">
        <f t="shared" si="36"/>
        <v>469</v>
      </c>
      <c r="E1886" s="7">
        <v>1922</v>
      </c>
      <c r="F1886" s="7">
        <v>115</v>
      </c>
      <c r="G1886" s="7">
        <v>45528</v>
      </c>
    </row>
    <row r="1887" spans="1:7" ht="18" x14ac:dyDescent="0.2">
      <c r="A1887" s="7" t="s">
        <v>37</v>
      </c>
      <c r="B1887" s="7" t="s">
        <v>1</v>
      </c>
      <c r="C1887" s="7" t="s">
        <v>13</v>
      </c>
      <c r="D1887" s="7">
        <f t="shared" si="36"/>
        <v>476</v>
      </c>
      <c r="E1887" s="7">
        <v>1924</v>
      </c>
      <c r="F1887" s="7">
        <v>115</v>
      </c>
      <c r="G1887" s="7">
        <v>46333</v>
      </c>
    </row>
    <row r="1888" spans="1:7" ht="18" x14ac:dyDescent="0.2">
      <c r="A1888" s="7" t="s">
        <v>37</v>
      </c>
      <c r="B1888" s="7" t="s">
        <v>1</v>
      </c>
      <c r="C1888" s="7" t="s">
        <v>13</v>
      </c>
      <c r="D1888" s="7">
        <f t="shared" ref="D1888:D1919" si="37">D1887+7</f>
        <v>483</v>
      </c>
      <c r="E1888" s="7">
        <v>1926</v>
      </c>
      <c r="F1888" s="7">
        <v>115</v>
      </c>
      <c r="G1888" s="7">
        <v>47138</v>
      </c>
    </row>
    <row r="1889" spans="1:7" ht="18" x14ac:dyDescent="0.2">
      <c r="A1889" s="7" t="s">
        <v>37</v>
      </c>
      <c r="B1889" s="7" t="s">
        <v>1</v>
      </c>
      <c r="C1889" s="7" t="s">
        <v>13</v>
      </c>
      <c r="D1889" s="7">
        <f t="shared" si="37"/>
        <v>490</v>
      </c>
      <c r="E1889" s="7">
        <v>1928</v>
      </c>
      <c r="F1889" s="7">
        <v>115</v>
      </c>
      <c r="G1889" s="7">
        <v>47943</v>
      </c>
    </row>
    <row r="1890" spans="1:7" ht="18" x14ac:dyDescent="0.2">
      <c r="A1890" s="7" t="s">
        <v>37</v>
      </c>
      <c r="B1890" s="7" t="s">
        <v>1</v>
      </c>
      <c r="C1890" s="7" t="s">
        <v>13</v>
      </c>
      <c r="D1890" s="7">
        <f t="shared" si="37"/>
        <v>497</v>
      </c>
      <c r="E1890" s="7">
        <v>1930</v>
      </c>
      <c r="F1890" s="7">
        <v>115</v>
      </c>
      <c r="G1890" s="7">
        <v>48748</v>
      </c>
    </row>
    <row r="1891" spans="1:7" ht="18" x14ac:dyDescent="0.2">
      <c r="A1891" s="7" t="s">
        <v>37</v>
      </c>
      <c r="B1891" s="7" t="s">
        <v>1</v>
      </c>
      <c r="C1891" s="7" t="s">
        <v>13</v>
      </c>
      <c r="D1891" s="7">
        <f t="shared" si="37"/>
        <v>504</v>
      </c>
      <c r="E1891" s="7">
        <v>1932</v>
      </c>
      <c r="F1891" s="7">
        <v>115</v>
      </c>
      <c r="G1891" s="7">
        <v>49553</v>
      </c>
    </row>
    <row r="1892" spans="1:7" ht="18" x14ac:dyDescent="0.2">
      <c r="A1892" s="7" t="s">
        <v>37</v>
      </c>
      <c r="B1892" s="7" t="s">
        <v>1</v>
      </c>
      <c r="C1892" s="7" t="s">
        <v>13</v>
      </c>
      <c r="D1892" s="7">
        <f t="shared" si="37"/>
        <v>511</v>
      </c>
      <c r="E1892" s="7">
        <v>1934</v>
      </c>
      <c r="F1892" s="7">
        <v>115</v>
      </c>
      <c r="G1892" s="7">
        <v>50358</v>
      </c>
    </row>
    <row r="1893" spans="1:7" ht="18" x14ac:dyDescent="0.2">
      <c r="A1893" s="7" t="s">
        <v>37</v>
      </c>
      <c r="B1893" s="7" t="s">
        <v>1</v>
      </c>
      <c r="C1893" s="7" t="s">
        <v>13</v>
      </c>
      <c r="D1893" s="7">
        <f t="shared" si="37"/>
        <v>518</v>
      </c>
      <c r="E1893" s="7">
        <v>1936</v>
      </c>
      <c r="F1893" s="7">
        <v>115</v>
      </c>
      <c r="G1893" s="7">
        <v>51163</v>
      </c>
    </row>
    <row r="1894" spans="1:7" ht="18" x14ac:dyDescent="0.2">
      <c r="A1894" s="7" t="s">
        <v>37</v>
      </c>
      <c r="B1894" s="7" t="s">
        <v>1</v>
      </c>
      <c r="C1894" s="7" t="s">
        <v>13</v>
      </c>
      <c r="D1894" s="7">
        <f t="shared" si="37"/>
        <v>525</v>
      </c>
      <c r="E1894" s="7">
        <v>1938</v>
      </c>
      <c r="F1894" s="7">
        <v>115</v>
      </c>
      <c r="G1894" s="7">
        <v>51968</v>
      </c>
    </row>
    <row r="1895" spans="1:7" ht="18" x14ac:dyDescent="0.2">
      <c r="A1895" s="7" t="s">
        <v>37</v>
      </c>
      <c r="B1895" s="7" t="s">
        <v>1</v>
      </c>
      <c r="C1895" s="7" t="s">
        <v>13</v>
      </c>
      <c r="D1895" s="7">
        <f t="shared" si="37"/>
        <v>532</v>
      </c>
      <c r="E1895" s="7">
        <v>1940</v>
      </c>
      <c r="F1895" s="7">
        <v>115</v>
      </c>
      <c r="G1895" s="7">
        <v>52773</v>
      </c>
    </row>
    <row r="1896" spans="1:7" ht="18" x14ac:dyDescent="0.2">
      <c r="A1896" s="7" t="s">
        <v>37</v>
      </c>
      <c r="B1896" s="7" t="s">
        <v>1</v>
      </c>
      <c r="C1896" s="7" t="s">
        <v>13</v>
      </c>
      <c r="D1896" s="7">
        <f t="shared" si="37"/>
        <v>539</v>
      </c>
      <c r="E1896" s="7">
        <v>1941</v>
      </c>
      <c r="F1896" s="7">
        <v>115</v>
      </c>
      <c r="G1896" s="7">
        <v>53578</v>
      </c>
    </row>
    <row r="1897" spans="1:7" ht="18" x14ac:dyDescent="0.2">
      <c r="A1897" s="7" t="s">
        <v>37</v>
      </c>
      <c r="B1897" s="7" t="s">
        <v>1</v>
      </c>
      <c r="C1897" s="7" t="s">
        <v>13</v>
      </c>
      <c r="D1897" s="7">
        <f t="shared" si="37"/>
        <v>546</v>
      </c>
      <c r="E1897" s="7">
        <v>1942</v>
      </c>
      <c r="F1897" s="7">
        <v>115</v>
      </c>
      <c r="G1897" s="7">
        <v>54383</v>
      </c>
    </row>
    <row r="1898" spans="1:7" ht="18" x14ac:dyDescent="0.2">
      <c r="A1898" s="7" t="s">
        <v>37</v>
      </c>
      <c r="B1898" s="7" t="s">
        <v>1</v>
      </c>
      <c r="C1898" s="7" t="s">
        <v>13</v>
      </c>
      <c r="D1898" s="7">
        <f t="shared" si="37"/>
        <v>553</v>
      </c>
      <c r="E1898" s="7">
        <v>1943</v>
      </c>
      <c r="F1898" s="7">
        <v>115</v>
      </c>
      <c r="G1898" s="7">
        <v>55188</v>
      </c>
    </row>
    <row r="1899" spans="1:7" ht="18" x14ac:dyDescent="0.2">
      <c r="A1899" s="7" t="s">
        <v>37</v>
      </c>
      <c r="B1899" s="7" t="s">
        <v>1</v>
      </c>
      <c r="C1899" s="7" t="s">
        <v>13</v>
      </c>
      <c r="D1899" s="7">
        <f t="shared" si="37"/>
        <v>560</v>
      </c>
      <c r="E1899" s="7">
        <v>1944</v>
      </c>
      <c r="F1899" s="7">
        <v>115</v>
      </c>
      <c r="G1899" s="7">
        <v>55993</v>
      </c>
    </row>
    <row r="1900" spans="1:7" ht="18" x14ac:dyDescent="0.2">
      <c r="A1900" s="7" t="s">
        <v>37</v>
      </c>
      <c r="B1900" s="7" t="s">
        <v>1</v>
      </c>
      <c r="C1900" s="7" t="s">
        <v>13</v>
      </c>
      <c r="D1900" s="7">
        <f t="shared" si="37"/>
        <v>567</v>
      </c>
      <c r="E1900" s="7">
        <v>1945</v>
      </c>
      <c r="F1900" s="7">
        <v>115</v>
      </c>
      <c r="G1900" s="7">
        <v>56798</v>
      </c>
    </row>
    <row r="1901" spans="1:7" ht="18" x14ac:dyDescent="0.2">
      <c r="A1901" s="7" t="s">
        <v>37</v>
      </c>
      <c r="B1901" s="7" t="s">
        <v>1</v>
      </c>
      <c r="C1901" s="7" t="s">
        <v>13</v>
      </c>
      <c r="D1901" s="7">
        <f t="shared" si="37"/>
        <v>574</v>
      </c>
      <c r="E1901" s="7">
        <v>1946</v>
      </c>
      <c r="F1901" s="7">
        <v>115</v>
      </c>
      <c r="G1901" s="7">
        <v>57603</v>
      </c>
    </row>
    <row r="1902" spans="1:7" ht="18" x14ac:dyDescent="0.2">
      <c r="A1902" s="7" t="s">
        <v>37</v>
      </c>
      <c r="B1902" s="7" t="s">
        <v>1</v>
      </c>
      <c r="C1902" s="7" t="s">
        <v>13</v>
      </c>
      <c r="D1902" s="7">
        <f t="shared" si="37"/>
        <v>581</v>
      </c>
      <c r="E1902" s="7">
        <v>1947</v>
      </c>
      <c r="F1902" s="7">
        <v>115</v>
      </c>
      <c r="G1902" s="7">
        <v>58408</v>
      </c>
    </row>
    <row r="1903" spans="1:7" ht="18" x14ac:dyDescent="0.2">
      <c r="A1903" s="7" t="s">
        <v>37</v>
      </c>
      <c r="B1903" s="7" t="s">
        <v>1</v>
      </c>
      <c r="C1903" s="7" t="s">
        <v>13</v>
      </c>
      <c r="D1903" s="7">
        <f t="shared" si="37"/>
        <v>588</v>
      </c>
      <c r="E1903" s="7">
        <v>1948</v>
      </c>
      <c r="F1903" s="7">
        <v>115</v>
      </c>
      <c r="G1903" s="7">
        <v>59213</v>
      </c>
    </row>
    <row r="1904" spans="1:7" ht="18" x14ac:dyDescent="0.2">
      <c r="A1904" s="7" t="s">
        <v>37</v>
      </c>
      <c r="B1904" s="7" t="s">
        <v>1</v>
      </c>
      <c r="C1904" s="7" t="s">
        <v>13</v>
      </c>
      <c r="D1904" s="7">
        <f t="shared" si="37"/>
        <v>595</v>
      </c>
      <c r="E1904" s="7">
        <v>1949</v>
      </c>
      <c r="F1904" s="7">
        <v>115</v>
      </c>
      <c r="G1904" s="7">
        <v>60018</v>
      </c>
    </row>
    <row r="1905" spans="1:7" ht="18" x14ac:dyDescent="0.2">
      <c r="A1905" s="7" t="s">
        <v>37</v>
      </c>
      <c r="B1905" s="7" t="s">
        <v>1</v>
      </c>
      <c r="C1905" s="7" t="s">
        <v>13</v>
      </c>
      <c r="D1905" s="7">
        <f t="shared" si="37"/>
        <v>602</v>
      </c>
      <c r="E1905" s="7">
        <v>1950</v>
      </c>
      <c r="F1905" s="7">
        <v>115</v>
      </c>
      <c r="G1905" s="7">
        <v>60823</v>
      </c>
    </row>
    <row r="1906" spans="1:7" ht="18" x14ac:dyDescent="0.2">
      <c r="A1906" s="7" t="s">
        <v>37</v>
      </c>
      <c r="B1906" s="7" t="s">
        <v>1</v>
      </c>
      <c r="C1906" s="7" t="s">
        <v>13</v>
      </c>
      <c r="D1906" s="7">
        <f t="shared" si="37"/>
        <v>609</v>
      </c>
      <c r="E1906" s="7">
        <v>1950</v>
      </c>
      <c r="F1906" s="7">
        <v>115</v>
      </c>
      <c r="G1906" s="7">
        <v>61628</v>
      </c>
    </row>
    <row r="1907" spans="1:7" ht="18" x14ac:dyDescent="0.2">
      <c r="A1907" s="7" t="s">
        <v>37</v>
      </c>
      <c r="B1907" s="7" t="s">
        <v>1</v>
      </c>
      <c r="C1907" s="7" t="s">
        <v>13</v>
      </c>
      <c r="D1907" s="7">
        <f t="shared" si="37"/>
        <v>616</v>
      </c>
      <c r="E1907" s="7">
        <v>1950</v>
      </c>
      <c r="F1907" s="7">
        <v>115</v>
      </c>
      <c r="G1907" s="7">
        <v>62433</v>
      </c>
    </row>
    <row r="1908" spans="1:7" ht="18" x14ac:dyDescent="0.2">
      <c r="A1908" s="7" t="s">
        <v>37</v>
      </c>
      <c r="B1908" s="7" t="s">
        <v>1</v>
      </c>
      <c r="C1908" s="7" t="s">
        <v>13</v>
      </c>
      <c r="D1908" s="7">
        <f t="shared" si="37"/>
        <v>623</v>
      </c>
      <c r="E1908" s="7">
        <v>1950</v>
      </c>
      <c r="F1908" s="7">
        <v>115</v>
      </c>
      <c r="G1908" s="7">
        <v>63238</v>
      </c>
    </row>
    <row r="1909" spans="1:7" ht="18" x14ac:dyDescent="0.2">
      <c r="A1909" s="7" t="s">
        <v>37</v>
      </c>
      <c r="B1909" s="7" t="s">
        <v>1</v>
      </c>
      <c r="C1909" s="7" t="s">
        <v>13</v>
      </c>
      <c r="D1909" s="7">
        <f t="shared" si="37"/>
        <v>630</v>
      </c>
      <c r="E1909" s="7">
        <v>1950</v>
      </c>
      <c r="F1909" s="7">
        <v>115</v>
      </c>
      <c r="G1909" s="7">
        <v>64043</v>
      </c>
    </row>
    <row r="1910" spans="1:7" ht="18" x14ac:dyDescent="0.2">
      <c r="A1910" s="7" t="s">
        <v>37</v>
      </c>
      <c r="B1910" s="7" t="s">
        <v>1</v>
      </c>
      <c r="C1910" s="7" t="s">
        <v>13</v>
      </c>
      <c r="D1910" s="7">
        <f t="shared" si="37"/>
        <v>637</v>
      </c>
      <c r="E1910" s="7">
        <v>1950</v>
      </c>
      <c r="F1910" s="7">
        <v>115</v>
      </c>
      <c r="G1910" s="7">
        <v>64848</v>
      </c>
    </row>
    <row r="1911" spans="1:7" ht="18" x14ac:dyDescent="0.2">
      <c r="A1911" s="7" t="s">
        <v>37</v>
      </c>
      <c r="B1911" s="7" t="s">
        <v>1</v>
      </c>
      <c r="C1911" s="7" t="s">
        <v>13</v>
      </c>
      <c r="D1911" s="7">
        <f t="shared" si="37"/>
        <v>644</v>
      </c>
      <c r="E1911" s="7">
        <v>1950</v>
      </c>
      <c r="F1911" s="7">
        <v>115</v>
      </c>
      <c r="G1911" s="7">
        <v>65653</v>
      </c>
    </row>
    <row r="1912" spans="1:7" ht="18" x14ac:dyDescent="0.2">
      <c r="A1912" s="7" t="s">
        <v>37</v>
      </c>
      <c r="B1912" s="7" t="s">
        <v>1</v>
      </c>
      <c r="C1912" s="7" t="s">
        <v>13</v>
      </c>
      <c r="D1912" s="7">
        <f t="shared" si="37"/>
        <v>651</v>
      </c>
      <c r="E1912" s="7">
        <v>1950</v>
      </c>
      <c r="F1912" s="7">
        <v>115</v>
      </c>
      <c r="G1912" s="7">
        <v>66458</v>
      </c>
    </row>
    <row r="1913" spans="1:7" ht="18" x14ac:dyDescent="0.2">
      <c r="A1913" s="7" t="s">
        <v>37</v>
      </c>
      <c r="B1913" s="7" t="s">
        <v>1</v>
      </c>
      <c r="C1913" s="7" t="s">
        <v>13</v>
      </c>
      <c r="D1913" s="7">
        <f t="shared" si="37"/>
        <v>658</v>
      </c>
      <c r="E1913" s="7">
        <v>1950</v>
      </c>
      <c r="F1913" s="7">
        <v>115</v>
      </c>
      <c r="G1913" s="7">
        <v>67263</v>
      </c>
    </row>
    <row r="1914" spans="1:7" ht="18" x14ac:dyDescent="0.2">
      <c r="A1914" s="7" t="s">
        <v>37</v>
      </c>
      <c r="B1914" s="7" t="s">
        <v>1</v>
      </c>
      <c r="C1914" s="7" t="s">
        <v>13</v>
      </c>
      <c r="D1914" s="7">
        <f t="shared" si="37"/>
        <v>665</v>
      </c>
      <c r="E1914" s="7">
        <v>1950</v>
      </c>
      <c r="F1914" s="7">
        <v>115</v>
      </c>
      <c r="G1914" s="7">
        <v>68068</v>
      </c>
    </row>
    <row r="1915" spans="1:7" ht="18" x14ac:dyDescent="0.2">
      <c r="A1915" s="7" t="s">
        <v>37</v>
      </c>
      <c r="B1915" s="7" t="s">
        <v>1</v>
      </c>
      <c r="C1915" s="7" t="s">
        <v>13</v>
      </c>
      <c r="D1915" s="7">
        <f t="shared" si="37"/>
        <v>672</v>
      </c>
      <c r="E1915" s="7">
        <v>1950</v>
      </c>
      <c r="F1915" s="7">
        <v>115</v>
      </c>
      <c r="G1915" s="7">
        <v>68873</v>
      </c>
    </row>
    <row r="1916" spans="1:7" ht="18" x14ac:dyDescent="0.2">
      <c r="A1916" s="7" t="s">
        <v>37</v>
      </c>
      <c r="B1916" s="7" t="s">
        <v>1</v>
      </c>
      <c r="C1916" s="7" t="s">
        <v>13</v>
      </c>
      <c r="D1916" s="7">
        <f t="shared" si="37"/>
        <v>679</v>
      </c>
      <c r="E1916" s="7">
        <v>1950</v>
      </c>
      <c r="F1916" s="7">
        <v>115</v>
      </c>
      <c r="G1916" s="7">
        <v>69678</v>
      </c>
    </row>
    <row r="1917" spans="1:7" ht="18" x14ac:dyDescent="0.2">
      <c r="A1917" s="7" t="s">
        <v>37</v>
      </c>
      <c r="B1917" s="7" t="s">
        <v>1</v>
      </c>
      <c r="C1917" s="7" t="s">
        <v>13</v>
      </c>
      <c r="D1917" s="7">
        <f t="shared" si="37"/>
        <v>686</v>
      </c>
      <c r="E1917" s="7">
        <v>1950</v>
      </c>
      <c r="F1917" s="7">
        <v>115</v>
      </c>
      <c r="G1917" s="7">
        <v>70483</v>
      </c>
    </row>
    <row r="1918" spans="1:7" ht="18" x14ac:dyDescent="0.2">
      <c r="A1918" s="7" t="s">
        <v>37</v>
      </c>
      <c r="B1918" s="7" t="s">
        <v>1</v>
      </c>
      <c r="C1918" s="7" t="s">
        <v>13</v>
      </c>
      <c r="D1918" s="7">
        <f t="shared" si="37"/>
        <v>693</v>
      </c>
      <c r="E1918" s="7">
        <v>1950</v>
      </c>
      <c r="F1918" s="7">
        <v>115</v>
      </c>
      <c r="G1918" s="7">
        <v>71288</v>
      </c>
    </row>
    <row r="1919" spans="1:7" ht="18" x14ac:dyDescent="0.2">
      <c r="A1919" s="7" t="s">
        <v>37</v>
      </c>
      <c r="B1919" s="7" t="s">
        <v>1</v>
      </c>
      <c r="C1919" s="7" t="s">
        <v>13</v>
      </c>
      <c r="D1919" s="7">
        <f t="shared" si="37"/>
        <v>700</v>
      </c>
      <c r="E1919" s="7">
        <v>1950</v>
      </c>
      <c r="F1919" s="7">
        <v>115</v>
      </c>
      <c r="G1919" s="7">
        <v>72093</v>
      </c>
    </row>
    <row r="1920" spans="1:7" ht="18" x14ac:dyDescent="0.2">
      <c r="A1920" s="7" t="s">
        <v>36</v>
      </c>
      <c r="B1920" s="7" t="s">
        <v>2</v>
      </c>
      <c r="C1920" s="7" t="s">
        <v>117</v>
      </c>
      <c r="D1920" s="7">
        <v>7</v>
      </c>
      <c r="E1920" s="7">
        <v>135</v>
      </c>
      <c r="F1920" s="7">
        <v>16</v>
      </c>
      <c r="G1920" s="7">
        <v>112</v>
      </c>
    </row>
    <row r="1921" spans="1:7" ht="18" x14ac:dyDescent="0.2">
      <c r="A1921" s="7" t="s">
        <v>36</v>
      </c>
      <c r="B1921" s="7" t="s">
        <v>2</v>
      </c>
      <c r="C1921" s="7" t="s">
        <v>117</v>
      </c>
      <c r="D1921" s="7">
        <v>14</v>
      </c>
      <c r="E1921" s="7">
        <v>310</v>
      </c>
      <c r="F1921" s="7">
        <v>32</v>
      </c>
      <c r="G1921" s="7">
        <v>336</v>
      </c>
    </row>
    <row r="1922" spans="1:7" ht="18" x14ac:dyDescent="0.2">
      <c r="A1922" s="7" t="s">
        <v>36</v>
      </c>
      <c r="B1922" s="7" t="s">
        <v>2</v>
      </c>
      <c r="C1922" s="7" t="s">
        <v>117</v>
      </c>
      <c r="D1922" s="7">
        <v>21</v>
      </c>
      <c r="E1922" s="7">
        <v>560</v>
      </c>
      <c r="F1922" s="7">
        <v>48</v>
      </c>
      <c r="G1922" s="7">
        <v>672</v>
      </c>
    </row>
    <row r="1923" spans="1:7" ht="18" x14ac:dyDescent="0.2">
      <c r="A1923" s="7" t="s">
        <v>36</v>
      </c>
      <c r="B1923" s="7" t="s">
        <v>2</v>
      </c>
      <c r="C1923" s="7" t="s">
        <v>117</v>
      </c>
      <c r="D1923" s="7">
        <v>28</v>
      </c>
      <c r="E1923" s="7">
        <v>860</v>
      </c>
      <c r="F1923" s="7">
        <v>65</v>
      </c>
      <c r="G1923" s="7">
        <v>1127</v>
      </c>
    </row>
    <row r="1924" spans="1:7" ht="18" x14ac:dyDescent="0.2">
      <c r="A1924" s="7" t="s">
        <v>36</v>
      </c>
      <c r="B1924" s="7" t="s">
        <v>2</v>
      </c>
      <c r="C1924" s="7" t="s">
        <v>117</v>
      </c>
      <c r="D1924" s="7">
        <v>35</v>
      </c>
      <c r="E1924" s="7">
        <v>1190</v>
      </c>
      <c r="F1924" s="7">
        <v>80</v>
      </c>
      <c r="G1924" s="7">
        <v>1687</v>
      </c>
    </row>
    <row r="1925" spans="1:7" ht="18" x14ac:dyDescent="0.2">
      <c r="A1925" s="7" t="s">
        <v>36</v>
      </c>
      <c r="B1925" s="7" t="s">
        <v>2</v>
      </c>
      <c r="C1925" s="7" t="s">
        <v>117</v>
      </c>
      <c r="D1925" s="7">
        <v>42</v>
      </c>
      <c r="E1925" s="7">
        <v>1520</v>
      </c>
      <c r="F1925" s="7">
        <v>95</v>
      </c>
      <c r="G1925" s="7">
        <v>2352</v>
      </c>
    </row>
    <row r="1926" spans="1:7" ht="18" x14ac:dyDescent="0.2">
      <c r="A1926" s="7" t="s">
        <v>36</v>
      </c>
      <c r="B1926" s="7" t="s">
        <v>2</v>
      </c>
      <c r="C1926" s="7" t="s">
        <v>117</v>
      </c>
      <c r="D1926" s="7">
        <v>49</v>
      </c>
      <c r="E1926" s="7">
        <v>1840</v>
      </c>
      <c r="F1926" s="7">
        <v>107</v>
      </c>
      <c r="G1926" s="7">
        <v>3101</v>
      </c>
    </row>
    <row r="1927" spans="1:7" ht="18" x14ac:dyDescent="0.2">
      <c r="A1927" s="7" t="s">
        <v>36</v>
      </c>
      <c r="B1927" s="7" t="s">
        <v>2</v>
      </c>
      <c r="C1927" s="7" t="s">
        <v>117</v>
      </c>
      <c r="D1927" s="7">
        <v>56</v>
      </c>
      <c r="E1927" s="7">
        <v>2140</v>
      </c>
      <c r="F1927" s="7">
        <v>117</v>
      </c>
      <c r="G1927" s="7">
        <v>3920</v>
      </c>
    </row>
    <row r="1928" spans="1:7" ht="18" x14ac:dyDescent="0.2">
      <c r="A1928" s="7" t="s">
        <v>36</v>
      </c>
      <c r="B1928" s="7" t="s">
        <v>2</v>
      </c>
      <c r="C1928" s="7" t="s">
        <v>117</v>
      </c>
      <c r="D1928" s="7">
        <v>63</v>
      </c>
      <c r="E1928" s="7">
        <v>2410</v>
      </c>
      <c r="F1928" s="7">
        <v>124</v>
      </c>
      <c r="G1928" s="7">
        <v>4788</v>
      </c>
    </row>
    <row r="1929" spans="1:7" ht="18" x14ac:dyDescent="0.2">
      <c r="A1929" s="7" t="s">
        <v>36</v>
      </c>
      <c r="B1929" s="7" t="s">
        <v>2</v>
      </c>
      <c r="C1929" s="7" t="s">
        <v>117</v>
      </c>
      <c r="D1929" s="7">
        <v>70</v>
      </c>
      <c r="E1929" s="7">
        <v>2650</v>
      </c>
      <c r="F1929" s="7">
        <v>130</v>
      </c>
      <c r="G1929" s="7">
        <v>5698</v>
      </c>
    </row>
    <row r="1930" spans="1:7" ht="18" x14ac:dyDescent="0.2">
      <c r="A1930" s="7" t="s">
        <v>36</v>
      </c>
      <c r="B1930" s="7" t="s">
        <v>2</v>
      </c>
      <c r="C1930" s="7" t="s">
        <v>117</v>
      </c>
      <c r="D1930" s="7">
        <v>77</v>
      </c>
      <c r="E1930" s="7">
        <v>2860</v>
      </c>
      <c r="F1930" s="7">
        <v>134</v>
      </c>
      <c r="G1930" s="7">
        <v>6636</v>
      </c>
    </row>
    <row r="1931" spans="1:7" ht="18" x14ac:dyDescent="0.2">
      <c r="A1931" s="7" t="s">
        <v>36</v>
      </c>
      <c r="B1931" s="7" t="s">
        <v>2</v>
      </c>
      <c r="C1931" s="7" t="s">
        <v>117</v>
      </c>
      <c r="D1931" s="7">
        <v>84</v>
      </c>
      <c r="E1931" s="7">
        <v>3050</v>
      </c>
      <c r="F1931" s="7">
        <v>137</v>
      </c>
      <c r="G1931" s="7">
        <v>7595</v>
      </c>
    </row>
  </sheetData>
  <sheetProtection formatCells="0"/>
  <phoneticPr fontId="4" type="noConversion"/>
  <dataValidations count="3">
    <dataValidation type="list" allowBlank="1" showInputMessage="1" showErrorMessage="1" sqref="C2:C419" xr:uid="{84093443-4403-DB4E-B11A-D47DE14C75F0}">
      <formula1>IF(A2="Frango",Linhagem_Frango,IF(AND(A2="Poedeira",C2="Marrom"),Linhagem_Poedeira_Marrom,Linhagem_Poedeira_Branca))</formula1>
    </dataValidation>
    <dataValidation type="list" allowBlank="1" showInputMessage="1" showErrorMessage="1" sqref="A2:A1931" xr:uid="{A51F5B51-8C7C-9B4B-9810-82CE63843E68}">
      <formula1>"Frango, Poedeira"</formula1>
    </dataValidation>
    <dataValidation type="list" allowBlank="1" showInputMessage="1" showErrorMessage="1" sqref="B2:B1931" xr:uid="{75334CDE-BAFB-F94D-AB62-B33539332B00}">
      <formula1>INDIRECT("Tipo_"&amp;A2)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71408-140D-D648-9AA7-9E9B596A3D79}">
  <sheetPr codeName="Planilha3"/>
  <dimension ref="A1:D13"/>
  <sheetViews>
    <sheetView workbookViewId="0">
      <selection activeCell="F21" sqref="F21"/>
    </sheetView>
  </sheetViews>
  <sheetFormatPr baseColWidth="10" defaultRowHeight="18" x14ac:dyDescent="0.2"/>
  <cols>
    <col min="1" max="1" width="14.6640625" style="7" bestFit="1" customWidth="1"/>
    <col min="2" max="2" width="17.5" style="7" bestFit="1" customWidth="1"/>
    <col min="3" max="3" width="16.33203125" style="7" bestFit="1" customWidth="1"/>
    <col min="4" max="4" width="21.6640625" style="7" bestFit="1" customWidth="1"/>
  </cols>
  <sheetData>
    <row r="1" spans="1:4" x14ac:dyDescent="0.2">
      <c r="A1" s="7" t="s">
        <v>23</v>
      </c>
      <c r="B1" s="7" t="s">
        <v>38</v>
      </c>
      <c r="C1" s="7" t="s">
        <v>39</v>
      </c>
      <c r="D1" s="7" t="s">
        <v>40</v>
      </c>
    </row>
    <row r="2" spans="1:4" x14ac:dyDescent="0.2">
      <c r="A2" s="7" t="s">
        <v>36</v>
      </c>
      <c r="B2" s="7">
        <v>1</v>
      </c>
      <c r="C2" s="7">
        <v>7</v>
      </c>
      <c r="D2" s="7" t="s">
        <v>41</v>
      </c>
    </row>
    <row r="3" spans="1:4" x14ac:dyDescent="0.2">
      <c r="A3" s="7" t="s">
        <v>36</v>
      </c>
      <c r="B3" s="7">
        <v>8</v>
      </c>
      <c r="C3" s="7">
        <v>14</v>
      </c>
      <c r="D3" s="7" t="s">
        <v>42</v>
      </c>
    </row>
    <row r="4" spans="1:4" x14ac:dyDescent="0.2">
      <c r="A4" s="7" t="s">
        <v>36</v>
      </c>
      <c r="B4" s="7">
        <v>15</v>
      </c>
      <c r="C4" s="7">
        <v>21</v>
      </c>
      <c r="D4" s="7" t="s">
        <v>43</v>
      </c>
    </row>
    <row r="5" spans="1:4" x14ac:dyDescent="0.2">
      <c r="A5" s="7" t="s">
        <v>36</v>
      </c>
      <c r="B5" s="7">
        <v>22</v>
      </c>
      <c r="C5" s="7">
        <v>28</v>
      </c>
      <c r="D5" s="7" t="s">
        <v>44</v>
      </c>
    </row>
    <row r="6" spans="1:4" x14ac:dyDescent="0.2">
      <c r="A6" s="7" t="s">
        <v>36</v>
      </c>
      <c r="B6" s="7">
        <v>29</v>
      </c>
      <c r="C6" s="7">
        <v>35</v>
      </c>
      <c r="D6" s="7" t="s">
        <v>44</v>
      </c>
    </row>
    <row r="7" spans="1:4" x14ac:dyDescent="0.2">
      <c r="A7" s="7" t="s">
        <v>36</v>
      </c>
      <c r="B7" s="7">
        <v>36</v>
      </c>
      <c r="C7" s="7">
        <v>42</v>
      </c>
      <c r="D7" s="7" t="s">
        <v>45</v>
      </c>
    </row>
    <row r="8" spans="1:4" x14ac:dyDescent="0.2">
      <c r="A8" s="7" t="s">
        <v>37</v>
      </c>
      <c r="B8" s="7">
        <v>0</v>
      </c>
      <c r="C8" s="7">
        <v>21</v>
      </c>
      <c r="D8" s="7" t="s">
        <v>41</v>
      </c>
    </row>
    <row r="9" spans="1:4" x14ac:dyDescent="0.2">
      <c r="A9" s="7" t="s">
        <v>37</v>
      </c>
      <c r="B9" s="7">
        <v>22</v>
      </c>
      <c r="C9" s="7">
        <v>42</v>
      </c>
      <c r="D9" s="7" t="s">
        <v>42</v>
      </c>
    </row>
    <row r="10" spans="1:4" x14ac:dyDescent="0.2">
      <c r="A10" s="7" t="s">
        <v>37</v>
      </c>
      <c r="B10" s="7">
        <v>43</v>
      </c>
      <c r="C10" s="7">
        <v>84</v>
      </c>
      <c r="D10" s="7" t="s">
        <v>43</v>
      </c>
    </row>
    <row r="11" spans="1:4" x14ac:dyDescent="0.2">
      <c r="A11" s="7" t="s">
        <v>37</v>
      </c>
      <c r="B11" s="7">
        <v>85</v>
      </c>
      <c r="C11" s="7">
        <v>112</v>
      </c>
      <c r="D11" s="7" t="s">
        <v>46</v>
      </c>
    </row>
    <row r="12" spans="1:4" x14ac:dyDescent="0.2">
      <c r="A12" s="7" t="s">
        <v>37</v>
      </c>
      <c r="B12" s="7">
        <v>113</v>
      </c>
      <c r="C12" s="7">
        <v>133</v>
      </c>
      <c r="D12" s="7" t="s">
        <v>47</v>
      </c>
    </row>
    <row r="13" spans="1:4" x14ac:dyDescent="0.2">
      <c r="A13" s="7" t="s">
        <v>37</v>
      </c>
      <c r="B13" s="7">
        <v>134</v>
      </c>
      <c r="C13" s="7">
        <v>190</v>
      </c>
      <c r="D13" s="7" t="s">
        <v>48</v>
      </c>
    </row>
  </sheetData>
  <sheetProtection algorithmName="SHA-512" hashValue="wF5tSARgszxrFESk4YDrDsiqe2T0AGOODuizLwF2fjjpPXpDWuLjiIwz++oOsGdWzOn3naV7RyToFR3sVpzfrA==" saltValue="d7n0Z+PnHyfQthjw+9DCQg==" spinCount="100000" sheet="1" objects="1" scenarios="1" formatCell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FA23A-B2F6-1445-9F76-C5B4740B6324}">
  <sheetPr codeName="Planilha4">
    <tabColor theme="5" tint="0.39997558519241921"/>
  </sheetPr>
  <dimension ref="A1:F478"/>
  <sheetViews>
    <sheetView zoomScale="140" zoomScaleNormal="140" workbookViewId="0">
      <pane xSplit="6" ySplit="1" topLeftCell="G2" activePane="bottomRight" state="frozen"/>
      <selection pane="topRight" activeCell="G1" sqref="G1"/>
      <selection pane="bottomLeft" activeCell="A2" sqref="A2"/>
      <selection pane="bottomRight"/>
    </sheetView>
  </sheetViews>
  <sheetFormatPr baseColWidth="10" defaultRowHeight="16" x14ac:dyDescent="0.2"/>
  <cols>
    <col min="1" max="1" width="18" customWidth="1"/>
    <col min="2" max="2" width="11.6640625" customWidth="1"/>
    <col min="4" max="4" width="15.33203125" bestFit="1" customWidth="1"/>
    <col min="5" max="5" width="19.6640625" style="4" customWidth="1"/>
    <col min="6" max="6" width="11.33203125" customWidth="1"/>
  </cols>
  <sheetData>
    <row r="1" spans="1:6" x14ac:dyDescent="0.2">
      <c r="A1" t="s">
        <v>50</v>
      </c>
      <c r="B1" t="s">
        <v>23</v>
      </c>
      <c r="C1" t="s">
        <v>24</v>
      </c>
      <c r="D1" t="s">
        <v>25</v>
      </c>
      <c r="E1" s="4" t="s">
        <v>26</v>
      </c>
      <c r="F1" t="s">
        <v>27</v>
      </c>
    </row>
    <row r="2" spans="1:6" x14ac:dyDescent="0.2">
      <c r="A2" t="s">
        <v>28</v>
      </c>
      <c r="B2" t="s">
        <v>120</v>
      </c>
      <c r="C2" t="s">
        <v>1</v>
      </c>
      <c r="D2" t="s">
        <v>20</v>
      </c>
      <c r="E2" s="4">
        <v>45877</v>
      </c>
      <c r="F2" s="5">
        <v>45000</v>
      </c>
    </row>
    <row r="3" spans="1:6" x14ac:dyDescent="0.2">
      <c r="A3" t="s">
        <v>121</v>
      </c>
      <c r="B3" t="s">
        <v>70</v>
      </c>
      <c r="C3" t="s">
        <v>2</v>
      </c>
      <c r="D3" t="s">
        <v>22</v>
      </c>
      <c r="E3" s="4">
        <v>45916</v>
      </c>
      <c r="F3" s="5">
        <v>50000</v>
      </c>
    </row>
    <row r="4" spans="1:6" x14ac:dyDescent="0.2">
      <c r="A4" t="s">
        <v>119</v>
      </c>
      <c r="B4" t="s">
        <v>120</v>
      </c>
      <c r="C4" t="s">
        <v>0</v>
      </c>
      <c r="D4" t="s">
        <v>11</v>
      </c>
      <c r="E4" s="4">
        <v>45796</v>
      </c>
      <c r="F4" s="5">
        <v>30000</v>
      </c>
    </row>
    <row r="5" spans="1:6" x14ac:dyDescent="0.2">
      <c r="A5" t="s">
        <v>122</v>
      </c>
      <c r="B5" t="s">
        <v>70</v>
      </c>
      <c r="C5" t="s">
        <v>2</v>
      </c>
      <c r="D5" t="s">
        <v>21</v>
      </c>
      <c r="E5" s="4">
        <v>45770</v>
      </c>
      <c r="F5" s="5">
        <v>69000</v>
      </c>
    </row>
    <row r="6" spans="1:6" x14ac:dyDescent="0.2">
      <c r="F6" s="5"/>
    </row>
    <row r="7" spans="1:6" x14ac:dyDescent="0.2">
      <c r="E7" s="51"/>
      <c r="F7" s="5"/>
    </row>
    <row r="8" spans="1:6" x14ac:dyDescent="0.2">
      <c r="E8" s="51"/>
      <c r="F8" s="5"/>
    </row>
    <row r="9" spans="1:6" x14ac:dyDescent="0.2">
      <c r="E9" s="51"/>
      <c r="F9" s="5"/>
    </row>
    <row r="10" spans="1:6" x14ac:dyDescent="0.2">
      <c r="E10" s="51"/>
      <c r="F10" s="5"/>
    </row>
    <row r="11" spans="1:6" x14ac:dyDescent="0.2">
      <c r="E11" s="51"/>
      <c r="F11" s="5"/>
    </row>
    <row r="12" spans="1:6" x14ac:dyDescent="0.2">
      <c r="E12" s="51"/>
      <c r="F12" s="5"/>
    </row>
    <row r="13" spans="1:6" x14ac:dyDescent="0.2">
      <c r="E13" s="51"/>
      <c r="F13" s="5"/>
    </row>
    <row r="14" spans="1:6" x14ac:dyDescent="0.2">
      <c r="E14" s="51"/>
      <c r="F14" s="5"/>
    </row>
    <row r="15" spans="1:6" x14ac:dyDescent="0.2">
      <c r="E15" s="51"/>
      <c r="F15" s="5"/>
    </row>
    <row r="16" spans="1:6" x14ac:dyDescent="0.2">
      <c r="E16" s="51"/>
      <c r="F16" s="5"/>
    </row>
    <row r="17" spans="5:6" x14ac:dyDescent="0.2">
      <c r="E17" s="51"/>
      <c r="F17" s="5"/>
    </row>
    <row r="18" spans="5:6" x14ac:dyDescent="0.2">
      <c r="E18" s="51"/>
      <c r="F18" s="5"/>
    </row>
    <row r="19" spans="5:6" x14ac:dyDescent="0.2">
      <c r="E19" s="51"/>
      <c r="F19" s="5"/>
    </row>
    <row r="20" spans="5:6" x14ac:dyDescent="0.2">
      <c r="E20" s="51"/>
      <c r="F20" s="5"/>
    </row>
    <row r="21" spans="5:6" x14ac:dyDescent="0.2">
      <c r="E21" s="51"/>
      <c r="F21" s="5"/>
    </row>
    <row r="22" spans="5:6" x14ac:dyDescent="0.2">
      <c r="E22" s="51"/>
      <c r="F22" s="5"/>
    </row>
    <row r="23" spans="5:6" x14ac:dyDescent="0.2">
      <c r="E23" s="51"/>
      <c r="F23" s="5"/>
    </row>
    <row r="24" spans="5:6" x14ac:dyDescent="0.2">
      <c r="E24" s="51"/>
      <c r="F24" s="5"/>
    </row>
    <row r="25" spans="5:6" x14ac:dyDescent="0.2">
      <c r="E25" s="51"/>
      <c r="F25" s="5"/>
    </row>
    <row r="26" spans="5:6" x14ac:dyDescent="0.2">
      <c r="E26" s="51"/>
      <c r="F26" s="5"/>
    </row>
    <row r="27" spans="5:6" x14ac:dyDescent="0.2">
      <c r="E27" s="51"/>
      <c r="F27" s="5"/>
    </row>
    <row r="28" spans="5:6" x14ac:dyDescent="0.2">
      <c r="E28" s="51"/>
      <c r="F28" s="5"/>
    </row>
    <row r="29" spans="5:6" x14ac:dyDescent="0.2">
      <c r="E29" s="51"/>
      <c r="F29" s="5"/>
    </row>
    <row r="30" spans="5:6" x14ac:dyDescent="0.2">
      <c r="E30" s="51"/>
      <c r="F30" s="5"/>
    </row>
    <row r="31" spans="5:6" x14ac:dyDescent="0.2">
      <c r="E31" s="51"/>
      <c r="F31" s="5"/>
    </row>
    <row r="32" spans="5:6" x14ac:dyDescent="0.2">
      <c r="E32" s="51"/>
      <c r="F32" s="5"/>
    </row>
    <row r="33" spans="5:6" x14ac:dyDescent="0.2">
      <c r="E33" s="51"/>
      <c r="F33" s="5"/>
    </row>
    <row r="34" spans="5:6" x14ac:dyDescent="0.2">
      <c r="E34" s="51"/>
      <c r="F34" s="5"/>
    </row>
    <row r="35" spans="5:6" x14ac:dyDescent="0.2">
      <c r="E35" s="51"/>
      <c r="F35" s="5"/>
    </row>
    <row r="36" spans="5:6" x14ac:dyDescent="0.2">
      <c r="E36" s="51"/>
      <c r="F36" s="5"/>
    </row>
    <row r="37" spans="5:6" x14ac:dyDescent="0.2">
      <c r="E37" s="51"/>
      <c r="F37" s="5"/>
    </row>
    <row r="38" spans="5:6" x14ac:dyDescent="0.2">
      <c r="E38" s="51"/>
      <c r="F38" s="5"/>
    </row>
    <row r="39" spans="5:6" x14ac:dyDescent="0.2">
      <c r="E39" s="51"/>
      <c r="F39" s="5"/>
    </row>
    <row r="40" spans="5:6" x14ac:dyDescent="0.2">
      <c r="E40" s="51"/>
      <c r="F40" s="5"/>
    </row>
    <row r="41" spans="5:6" x14ac:dyDescent="0.2">
      <c r="E41" s="51"/>
      <c r="F41" s="5"/>
    </row>
    <row r="42" spans="5:6" x14ac:dyDescent="0.2">
      <c r="E42" s="51"/>
      <c r="F42" s="5"/>
    </row>
    <row r="43" spans="5:6" x14ac:dyDescent="0.2">
      <c r="E43" s="51"/>
      <c r="F43" s="5"/>
    </row>
    <row r="44" spans="5:6" x14ac:dyDescent="0.2">
      <c r="E44" s="51"/>
      <c r="F44" s="5"/>
    </row>
    <row r="45" spans="5:6" x14ac:dyDescent="0.2">
      <c r="E45" s="51"/>
      <c r="F45" s="5"/>
    </row>
    <row r="46" spans="5:6" x14ac:dyDescent="0.2">
      <c r="E46" s="51"/>
      <c r="F46" s="5"/>
    </row>
    <row r="47" spans="5:6" x14ac:dyDescent="0.2">
      <c r="E47" s="51"/>
      <c r="F47" s="5"/>
    </row>
    <row r="48" spans="5:6" x14ac:dyDescent="0.2">
      <c r="E48" s="51"/>
      <c r="F48" s="5"/>
    </row>
    <row r="49" spans="5:6" x14ac:dyDescent="0.2">
      <c r="E49" s="51"/>
      <c r="F49" s="5"/>
    </row>
    <row r="50" spans="5:6" x14ac:dyDescent="0.2">
      <c r="E50" s="51"/>
      <c r="F50" s="5"/>
    </row>
    <row r="51" spans="5:6" x14ac:dyDescent="0.2">
      <c r="E51" s="51"/>
      <c r="F51" s="5"/>
    </row>
    <row r="52" spans="5:6" x14ac:dyDescent="0.2">
      <c r="E52" s="51"/>
      <c r="F52" s="5"/>
    </row>
    <row r="53" spans="5:6" x14ac:dyDescent="0.2">
      <c r="E53" s="51"/>
      <c r="F53" s="5"/>
    </row>
    <row r="54" spans="5:6" x14ac:dyDescent="0.2">
      <c r="E54" s="51"/>
      <c r="F54" s="5"/>
    </row>
    <row r="55" spans="5:6" x14ac:dyDescent="0.2">
      <c r="E55" s="51"/>
      <c r="F55" s="5"/>
    </row>
    <row r="56" spans="5:6" x14ac:dyDescent="0.2">
      <c r="E56" s="51"/>
      <c r="F56" s="5"/>
    </row>
    <row r="57" spans="5:6" x14ac:dyDescent="0.2">
      <c r="E57" s="51"/>
      <c r="F57" s="5"/>
    </row>
    <row r="58" spans="5:6" x14ac:dyDescent="0.2">
      <c r="E58" s="51"/>
      <c r="F58" s="5"/>
    </row>
    <row r="59" spans="5:6" x14ac:dyDescent="0.2">
      <c r="E59" s="51"/>
      <c r="F59" s="5"/>
    </row>
    <row r="60" spans="5:6" x14ac:dyDescent="0.2">
      <c r="E60" s="51"/>
      <c r="F60" s="5"/>
    </row>
    <row r="61" spans="5:6" x14ac:dyDescent="0.2">
      <c r="E61" s="51"/>
      <c r="F61" s="5"/>
    </row>
    <row r="62" spans="5:6" x14ac:dyDescent="0.2">
      <c r="E62" s="51"/>
      <c r="F62" s="5"/>
    </row>
    <row r="63" spans="5:6" x14ac:dyDescent="0.2">
      <c r="E63" s="51"/>
      <c r="F63" s="5"/>
    </row>
    <row r="64" spans="5:6" x14ac:dyDescent="0.2">
      <c r="E64" s="51"/>
      <c r="F64" s="5"/>
    </row>
    <row r="65" spans="5:6" x14ac:dyDescent="0.2">
      <c r="E65" s="51"/>
      <c r="F65" s="5"/>
    </row>
    <row r="66" spans="5:6" x14ac:dyDescent="0.2">
      <c r="E66" s="51"/>
      <c r="F66" s="5"/>
    </row>
    <row r="67" spans="5:6" x14ac:dyDescent="0.2">
      <c r="E67" s="51"/>
      <c r="F67" s="5"/>
    </row>
    <row r="68" spans="5:6" x14ac:dyDescent="0.2">
      <c r="E68" s="51"/>
      <c r="F68" s="5"/>
    </row>
    <row r="69" spans="5:6" x14ac:dyDescent="0.2">
      <c r="E69" s="51"/>
      <c r="F69" s="5"/>
    </row>
    <row r="70" spans="5:6" x14ac:dyDescent="0.2">
      <c r="E70" s="51"/>
      <c r="F70" s="5"/>
    </row>
    <row r="71" spans="5:6" x14ac:dyDescent="0.2">
      <c r="E71" s="51"/>
      <c r="F71" s="5"/>
    </row>
    <row r="72" spans="5:6" x14ac:dyDescent="0.2">
      <c r="E72" s="51"/>
      <c r="F72" s="5"/>
    </row>
    <row r="73" spans="5:6" x14ac:dyDescent="0.2">
      <c r="E73" s="51"/>
      <c r="F73" s="5"/>
    </row>
    <row r="74" spans="5:6" x14ac:dyDescent="0.2">
      <c r="E74" s="51"/>
      <c r="F74" s="5"/>
    </row>
    <row r="75" spans="5:6" x14ac:dyDescent="0.2">
      <c r="E75" s="51"/>
      <c r="F75" s="5"/>
    </row>
    <row r="76" spans="5:6" x14ac:dyDescent="0.2">
      <c r="E76" s="51"/>
      <c r="F76" s="5"/>
    </row>
    <row r="77" spans="5:6" x14ac:dyDescent="0.2">
      <c r="E77" s="51"/>
      <c r="F77" s="5"/>
    </row>
    <row r="78" spans="5:6" x14ac:dyDescent="0.2">
      <c r="E78" s="51"/>
      <c r="F78" s="5"/>
    </row>
    <row r="79" spans="5:6" x14ac:dyDescent="0.2">
      <c r="E79" s="51"/>
      <c r="F79" s="5"/>
    </row>
    <row r="80" spans="5:6" x14ac:dyDescent="0.2">
      <c r="E80" s="51"/>
      <c r="F80" s="5"/>
    </row>
    <row r="81" spans="5:6" x14ac:dyDescent="0.2">
      <c r="E81" s="51"/>
      <c r="F81" s="5"/>
    </row>
    <row r="82" spans="5:6" x14ac:dyDescent="0.2">
      <c r="E82" s="51"/>
      <c r="F82" s="5"/>
    </row>
    <row r="83" spans="5:6" x14ac:dyDescent="0.2">
      <c r="E83" s="51"/>
      <c r="F83" s="5"/>
    </row>
    <row r="84" spans="5:6" x14ac:dyDescent="0.2">
      <c r="E84" s="51"/>
      <c r="F84" s="5"/>
    </row>
    <row r="85" spans="5:6" x14ac:dyDescent="0.2">
      <c r="E85" s="51"/>
      <c r="F85" s="5"/>
    </row>
    <row r="86" spans="5:6" x14ac:dyDescent="0.2">
      <c r="E86" s="51"/>
      <c r="F86" s="5"/>
    </row>
    <row r="87" spans="5:6" x14ac:dyDescent="0.2">
      <c r="E87" s="51"/>
      <c r="F87" s="5"/>
    </row>
    <row r="88" spans="5:6" x14ac:dyDescent="0.2">
      <c r="E88" s="51"/>
      <c r="F88" s="5"/>
    </row>
    <row r="89" spans="5:6" x14ac:dyDescent="0.2">
      <c r="E89" s="51"/>
      <c r="F89" s="5"/>
    </row>
    <row r="90" spans="5:6" x14ac:dyDescent="0.2">
      <c r="E90" s="51"/>
      <c r="F90" s="5"/>
    </row>
    <row r="91" spans="5:6" x14ac:dyDescent="0.2">
      <c r="E91" s="51"/>
      <c r="F91" s="5"/>
    </row>
    <row r="92" spans="5:6" x14ac:dyDescent="0.2">
      <c r="E92" s="51"/>
      <c r="F92" s="5"/>
    </row>
    <row r="93" spans="5:6" x14ac:dyDescent="0.2">
      <c r="E93" s="51"/>
      <c r="F93" s="5"/>
    </row>
    <row r="94" spans="5:6" x14ac:dyDescent="0.2">
      <c r="E94" s="51"/>
      <c r="F94" s="5"/>
    </row>
    <row r="95" spans="5:6" x14ac:dyDescent="0.2">
      <c r="E95" s="51"/>
      <c r="F95" s="5"/>
    </row>
    <row r="96" spans="5:6" x14ac:dyDescent="0.2">
      <c r="E96" s="51"/>
      <c r="F96" s="5"/>
    </row>
    <row r="97" spans="5:6" x14ac:dyDescent="0.2">
      <c r="E97" s="51"/>
      <c r="F97" s="5"/>
    </row>
    <row r="98" spans="5:6" x14ac:dyDescent="0.2">
      <c r="E98" s="51"/>
      <c r="F98" s="5"/>
    </row>
    <row r="99" spans="5:6" x14ac:dyDescent="0.2">
      <c r="E99" s="51"/>
      <c r="F99" s="5"/>
    </row>
    <row r="100" spans="5:6" x14ac:dyDescent="0.2">
      <c r="E100" s="51"/>
      <c r="F100" s="5"/>
    </row>
    <row r="101" spans="5:6" x14ac:dyDescent="0.2">
      <c r="E101" s="51"/>
      <c r="F101" s="5"/>
    </row>
    <row r="102" spans="5:6" x14ac:dyDescent="0.2">
      <c r="E102" s="51"/>
      <c r="F102" s="5"/>
    </row>
    <row r="103" spans="5:6" x14ac:dyDescent="0.2">
      <c r="E103" s="51"/>
      <c r="F103" s="5"/>
    </row>
    <row r="104" spans="5:6" x14ac:dyDescent="0.2">
      <c r="E104" s="51"/>
      <c r="F104" s="5"/>
    </row>
    <row r="105" spans="5:6" x14ac:dyDescent="0.2">
      <c r="E105" s="51"/>
      <c r="F105" s="5"/>
    </row>
    <row r="106" spans="5:6" x14ac:dyDescent="0.2">
      <c r="E106" s="51"/>
      <c r="F106" s="5"/>
    </row>
    <row r="107" spans="5:6" x14ac:dyDescent="0.2">
      <c r="E107" s="51"/>
      <c r="F107" s="5"/>
    </row>
    <row r="108" spans="5:6" x14ac:dyDescent="0.2">
      <c r="E108" s="51"/>
      <c r="F108" s="5"/>
    </row>
    <row r="109" spans="5:6" x14ac:dyDescent="0.2">
      <c r="E109" s="51"/>
      <c r="F109" s="5"/>
    </row>
    <row r="110" spans="5:6" x14ac:dyDescent="0.2">
      <c r="E110" s="51"/>
      <c r="F110" s="5"/>
    </row>
    <row r="111" spans="5:6" x14ac:dyDescent="0.2">
      <c r="E111" s="51"/>
      <c r="F111" s="5"/>
    </row>
    <row r="112" spans="5:6" x14ac:dyDescent="0.2">
      <c r="E112" s="51"/>
      <c r="F112" s="5"/>
    </row>
    <row r="113" spans="5:6" x14ac:dyDescent="0.2">
      <c r="E113" s="51"/>
      <c r="F113" s="5"/>
    </row>
    <row r="114" spans="5:6" x14ac:dyDescent="0.2">
      <c r="E114" s="51"/>
      <c r="F114" s="5"/>
    </row>
    <row r="115" spans="5:6" x14ac:dyDescent="0.2">
      <c r="E115" s="51"/>
      <c r="F115" s="5"/>
    </row>
    <row r="116" spans="5:6" x14ac:dyDescent="0.2">
      <c r="E116" s="51"/>
      <c r="F116" s="5"/>
    </row>
    <row r="117" spans="5:6" x14ac:dyDescent="0.2">
      <c r="E117" s="51"/>
      <c r="F117" s="5"/>
    </row>
    <row r="118" spans="5:6" x14ac:dyDescent="0.2">
      <c r="E118" s="51"/>
      <c r="F118" s="5"/>
    </row>
    <row r="119" spans="5:6" x14ac:dyDescent="0.2">
      <c r="E119" s="51"/>
      <c r="F119" s="5"/>
    </row>
    <row r="120" spans="5:6" x14ac:dyDescent="0.2">
      <c r="E120" s="51"/>
      <c r="F120" s="5"/>
    </row>
    <row r="121" spans="5:6" x14ac:dyDescent="0.2">
      <c r="E121" s="51"/>
      <c r="F121" s="5"/>
    </row>
    <row r="122" spans="5:6" x14ac:dyDescent="0.2">
      <c r="E122" s="51"/>
      <c r="F122" s="5"/>
    </row>
    <row r="123" spans="5:6" x14ac:dyDescent="0.2">
      <c r="E123" s="51"/>
      <c r="F123" s="5"/>
    </row>
    <row r="124" spans="5:6" x14ac:dyDescent="0.2">
      <c r="E124" s="51"/>
      <c r="F124" s="5"/>
    </row>
    <row r="125" spans="5:6" x14ac:dyDescent="0.2">
      <c r="E125" s="51"/>
      <c r="F125" s="5"/>
    </row>
    <row r="126" spans="5:6" x14ac:dyDescent="0.2">
      <c r="E126" s="51"/>
      <c r="F126" s="5"/>
    </row>
    <row r="127" spans="5:6" x14ac:dyDescent="0.2">
      <c r="E127" s="51"/>
      <c r="F127" s="5"/>
    </row>
    <row r="128" spans="5:6" x14ac:dyDescent="0.2">
      <c r="E128" s="51"/>
      <c r="F128" s="5"/>
    </row>
    <row r="129" spans="5:6" x14ac:dyDescent="0.2">
      <c r="E129" s="51"/>
      <c r="F129" s="5"/>
    </row>
    <row r="130" spans="5:6" x14ac:dyDescent="0.2">
      <c r="E130" s="51"/>
      <c r="F130" s="5"/>
    </row>
    <row r="131" spans="5:6" x14ac:dyDescent="0.2">
      <c r="E131" s="51"/>
      <c r="F131" s="5"/>
    </row>
    <row r="132" spans="5:6" x14ac:dyDescent="0.2">
      <c r="E132" s="51"/>
      <c r="F132" s="5"/>
    </row>
    <row r="133" spans="5:6" x14ac:dyDescent="0.2">
      <c r="E133" s="51"/>
      <c r="F133" s="5"/>
    </row>
    <row r="134" spans="5:6" x14ac:dyDescent="0.2">
      <c r="E134" s="51"/>
      <c r="F134" s="5"/>
    </row>
    <row r="135" spans="5:6" x14ac:dyDescent="0.2">
      <c r="E135" s="51"/>
      <c r="F135" s="5"/>
    </row>
    <row r="136" spans="5:6" x14ac:dyDescent="0.2">
      <c r="E136" s="51"/>
      <c r="F136" s="5"/>
    </row>
    <row r="137" spans="5:6" x14ac:dyDescent="0.2">
      <c r="E137" s="51"/>
      <c r="F137" s="5"/>
    </row>
    <row r="138" spans="5:6" x14ac:dyDescent="0.2">
      <c r="E138" s="51"/>
      <c r="F138" s="5"/>
    </row>
    <row r="139" spans="5:6" x14ac:dyDescent="0.2">
      <c r="E139" s="51"/>
      <c r="F139" s="5"/>
    </row>
    <row r="140" spans="5:6" x14ac:dyDescent="0.2">
      <c r="E140" s="51"/>
      <c r="F140" s="5"/>
    </row>
    <row r="141" spans="5:6" x14ac:dyDescent="0.2">
      <c r="E141" s="51"/>
      <c r="F141" s="5"/>
    </row>
    <row r="142" spans="5:6" x14ac:dyDescent="0.2">
      <c r="E142" s="51"/>
      <c r="F142" s="5"/>
    </row>
    <row r="143" spans="5:6" x14ac:dyDescent="0.2">
      <c r="E143" s="51"/>
      <c r="F143" s="5"/>
    </row>
    <row r="144" spans="5:6" x14ac:dyDescent="0.2">
      <c r="E144" s="51"/>
      <c r="F144" s="5"/>
    </row>
    <row r="145" spans="5:6" x14ac:dyDescent="0.2">
      <c r="E145" s="51"/>
      <c r="F145" s="5"/>
    </row>
    <row r="146" spans="5:6" x14ac:dyDescent="0.2">
      <c r="E146" s="51"/>
      <c r="F146" s="5"/>
    </row>
    <row r="147" spans="5:6" x14ac:dyDescent="0.2">
      <c r="E147" s="51"/>
      <c r="F147" s="5"/>
    </row>
    <row r="148" spans="5:6" x14ac:dyDescent="0.2">
      <c r="E148" s="51"/>
      <c r="F148" s="5"/>
    </row>
    <row r="149" spans="5:6" x14ac:dyDescent="0.2">
      <c r="E149" s="51"/>
      <c r="F149" s="5"/>
    </row>
    <row r="150" spans="5:6" x14ac:dyDescent="0.2">
      <c r="E150" s="51"/>
      <c r="F150" s="5"/>
    </row>
    <row r="151" spans="5:6" x14ac:dyDescent="0.2">
      <c r="E151" s="51"/>
      <c r="F151" s="5"/>
    </row>
    <row r="152" spans="5:6" x14ac:dyDescent="0.2">
      <c r="E152" s="51"/>
      <c r="F152" s="5"/>
    </row>
    <row r="153" spans="5:6" x14ac:dyDescent="0.2">
      <c r="E153" s="51"/>
      <c r="F153" s="5"/>
    </row>
    <row r="154" spans="5:6" x14ac:dyDescent="0.2">
      <c r="E154" s="51"/>
      <c r="F154" s="5"/>
    </row>
    <row r="155" spans="5:6" x14ac:dyDescent="0.2">
      <c r="E155" s="51"/>
      <c r="F155" s="5"/>
    </row>
    <row r="156" spans="5:6" x14ac:dyDescent="0.2">
      <c r="E156" s="51"/>
      <c r="F156" s="5"/>
    </row>
    <row r="157" spans="5:6" x14ac:dyDescent="0.2">
      <c r="E157" s="51"/>
      <c r="F157" s="5"/>
    </row>
    <row r="158" spans="5:6" x14ac:dyDescent="0.2">
      <c r="E158" s="51"/>
      <c r="F158" s="5"/>
    </row>
    <row r="159" spans="5:6" x14ac:dyDescent="0.2">
      <c r="E159" s="51"/>
      <c r="F159" s="5"/>
    </row>
    <row r="160" spans="5:6" x14ac:dyDescent="0.2">
      <c r="E160" s="51"/>
      <c r="F160" s="5"/>
    </row>
    <row r="161" spans="5:6" x14ac:dyDescent="0.2">
      <c r="E161" s="51"/>
      <c r="F161" s="5"/>
    </row>
    <row r="162" spans="5:6" x14ac:dyDescent="0.2">
      <c r="E162" s="51"/>
      <c r="F162" s="5"/>
    </row>
    <row r="163" spans="5:6" x14ac:dyDescent="0.2">
      <c r="E163" s="51"/>
      <c r="F163" s="5"/>
    </row>
    <row r="164" spans="5:6" x14ac:dyDescent="0.2">
      <c r="E164" s="51"/>
      <c r="F164" s="5"/>
    </row>
    <row r="165" spans="5:6" x14ac:dyDescent="0.2">
      <c r="E165" s="51"/>
      <c r="F165" s="5"/>
    </row>
    <row r="166" spans="5:6" x14ac:dyDescent="0.2">
      <c r="E166" s="51"/>
      <c r="F166" s="5"/>
    </row>
    <row r="167" spans="5:6" x14ac:dyDescent="0.2">
      <c r="E167" s="51"/>
      <c r="F167" s="5"/>
    </row>
    <row r="168" spans="5:6" x14ac:dyDescent="0.2">
      <c r="E168" s="51"/>
      <c r="F168" s="5"/>
    </row>
    <row r="169" spans="5:6" x14ac:dyDescent="0.2">
      <c r="E169" s="51"/>
      <c r="F169" s="5"/>
    </row>
    <row r="170" spans="5:6" x14ac:dyDescent="0.2">
      <c r="E170" s="51"/>
      <c r="F170" s="5"/>
    </row>
    <row r="171" spans="5:6" x14ac:dyDescent="0.2">
      <c r="E171" s="51"/>
      <c r="F171" s="5"/>
    </row>
    <row r="172" spans="5:6" x14ac:dyDescent="0.2">
      <c r="E172" s="51"/>
      <c r="F172" s="5"/>
    </row>
    <row r="173" spans="5:6" x14ac:dyDescent="0.2">
      <c r="E173" s="51"/>
      <c r="F173" s="5"/>
    </row>
    <row r="174" spans="5:6" x14ac:dyDescent="0.2">
      <c r="E174" s="51"/>
      <c r="F174" s="5"/>
    </row>
    <row r="175" spans="5:6" x14ac:dyDescent="0.2">
      <c r="E175" s="51"/>
      <c r="F175" s="5"/>
    </row>
    <row r="176" spans="5:6" x14ac:dyDescent="0.2">
      <c r="E176" s="51"/>
      <c r="F176" s="5"/>
    </row>
    <row r="177" spans="5:6" x14ac:dyDescent="0.2">
      <c r="E177" s="51"/>
      <c r="F177" s="5"/>
    </row>
    <row r="178" spans="5:6" x14ac:dyDescent="0.2">
      <c r="E178" s="51"/>
      <c r="F178" s="5"/>
    </row>
    <row r="179" spans="5:6" x14ac:dyDescent="0.2">
      <c r="E179" s="51"/>
      <c r="F179" s="5"/>
    </row>
    <row r="180" spans="5:6" x14ac:dyDescent="0.2">
      <c r="E180" s="51"/>
      <c r="F180" s="5"/>
    </row>
    <row r="181" spans="5:6" x14ac:dyDescent="0.2">
      <c r="E181" s="51"/>
      <c r="F181" s="5"/>
    </row>
    <row r="182" spans="5:6" x14ac:dyDescent="0.2">
      <c r="E182" s="51"/>
      <c r="F182" s="5"/>
    </row>
    <row r="183" spans="5:6" x14ac:dyDescent="0.2">
      <c r="E183" s="51"/>
      <c r="F183" s="5"/>
    </row>
    <row r="184" spans="5:6" x14ac:dyDescent="0.2">
      <c r="E184" s="51"/>
      <c r="F184" s="5"/>
    </row>
    <row r="185" spans="5:6" x14ac:dyDescent="0.2">
      <c r="E185" s="51"/>
      <c r="F185" s="5"/>
    </row>
    <row r="186" spans="5:6" x14ac:dyDescent="0.2">
      <c r="E186" s="51"/>
      <c r="F186" s="5"/>
    </row>
    <row r="187" spans="5:6" x14ac:dyDescent="0.2">
      <c r="E187" s="51"/>
      <c r="F187" s="5"/>
    </row>
    <row r="188" spans="5:6" x14ac:dyDescent="0.2">
      <c r="E188" s="51"/>
      <c r="F188" s="5"/>
    </row>
    <row r="189" spans="5:6" x14ac:dyDescent="0.2">
      <c r="E189" s="51"/>
      <c r="F189" s="5"/>
    </row>
    <row r="190" spans="5:6" x14ac:dyDescent="0.2">
      <c r="E190" s="51"/>
      <c r="F190" s="5"/>
    </row>
    <row r="191" spans="5:6" x14ac:dyDescent="0.2">
      <c r="E191" s="51"/>
      <c r="F191" s="5"/>
    </row>
    <row r="192" spans="5:6" x14ac:dyDescent="0.2">
      <c r="E192" s="51"/>
      <c r="F192" s="5"/>
    </row>
    <row r="193" spans="5:6" x14ac:dyDescent="0.2">
      <c r="E193" s="51"/>
      <c r="F193" s="5"/>
    </row>
    <row r="194" spans="5:6" x14ac:dyDescent="0.2">
      <c r="E194" s="51"/>
      <c r="F194" s="5"/>
    </row>
    <row r="195" spans="5:6" x14ac:dyDescent="0.2">
      <c r="E195" s="51"/>
      <c r="F195" s="5"/>
    </row>
    <row r="196" spans="5:6" x14ac:dyDescent="0.2">
      <c r="E196" s="51"/>
      <c r="F196" s="5"/>
    </row>
    <row r="197" spans="5:6" x14ac:dyDescent="0.2">
      <c r="E197" s="51"/>
      <c r="F197" s="5"/>
    </row>
    <row r="198" spans="5:6" x14ac:dyDescent="0.2">
      <c r="E198" s="51"/>
      <c r="F198" s="5"/>
    </row>
    <row r="199" spans="5:6" x14ac:dyDescent="0.2">
      <c r="E199" s="51"/>
      <c r="F199" s="5"/>
    </row>
    <row r="200" spans="5:6" x14ac:dyDescent="0.2">
      <c r="E200" s="51"/>
      <c r="F200" s="5"/>
    </row>
    <row r="201" spans="5:6" x14ac:dyDescent="0.2">
      <c r="E201" s="51"/>
      <c r="F201" s="5"/>
    </row>
    <row r="202" spans="5:6" x14ac:dyDescent="0.2">
      <c r="E202" s="51"/>
      <c r="F202" s="5"/>
    </row>
    <row r="203" spans="5:6" x14ac:dyDescent="0.2">
      <c r="E203" s="51"/>
      <c r="F203" s="5"/>
    </row>
    <row r="204" spans="5:6" x14ac:dyDescent="0.2">
      <c r="E204" s="51"/>
      <c r="F204" s="5"/>
    </row>
    <row r="205" spans="5:6" x14ac:dyDescent="0.2">
      <c r="E205" s="51"/>
      <c r="F205" s="5"/>
    </row>
    <row r="206" spans="5:6" x14ac:dyDescent="0.2">
      <c r="E206" s="51"/>
      <c r="F206" s="5"/>
    </row>
    <row r="207" spans="5:6" x14ac:dyDescent="0.2">
      <c r="E207" s="51"/>
      <c r="F207" s="5"/>
    </row>
    <row r="208" spans="5:6" x14ac:dyDescent="0.2">
      <c r="E208" s="51"/>
      <c r="F208" s="5"/>
    </row>
    <row r="209" spans="5:6" x14ac:dyDescent="0.2">
      <c r="E209" s="51"/>
      <c r="F209" s="5"/>
    </row>
    <row r="210" spans="5:6" x14ac:dyDescent="0.2">
      <c r="E210" s="51"/>
      <c r="F210" s="5"/>
    </row>
    <row r="211" spans="5:6" x14ac:dyDescent="0.2">
      <c r="E211" s="51"/>
      <c r="F211" s="5"/>
    </row>
    <row r="212" spans="5:6" x14ac:dyDescent="0.2">
      <c r="E212" s="51"/>
      <c r="F212" s="5"/>
    </row>
    <row r="213" spans="5:6" x14ac:dyDescent="0.2">
      <c r="E213" s="51"/>
      <c r="F213" s="5"/>
    </row>
    <row r="214" spans="5:6" x14ac:dyDescent="0.2">
      <c r="E214" s="51"/>
      <c r="F214" s="5"/>
    </row>
    <row r="215" spans="5:6" x14ac:dyDescent="0.2">
      <c r="E215" s="51"/>
      <c r="F215" s="5"/>
    </row>
    <row r="216" spans="5:6" x14ac:dyDescent="0.2">
      <c r="E216" s="51"/>
      <c r="F216" s="5"/>
    </row>
    <row r="217" spans="5:6" x14ac:dyDescent="0.2">
      <c r="E217" s="51"/>
      <c r="F217" s="5"/>
    </row>
    <row r="218" spans="5:6" x14ac:dyDescent="0.2">
      <c r="E218" s="51"/>
      <c r="F218" s="5"/>
    </row>
    <row r="219" spans="5:6" x14ac:dyDescent="0.2">
      <c r="E219" s="51"/>
      <c r="F219" s="5"/>
    </row>
    <row r="220" spans="5:6" x14ac:dyDescent="0.2">
      <c r="E220" s="51"/>
      <c r="F220" s="5"/>
    </row>
    <row r="221" spans="5:6" x14ac:dyDescent="0.2">
      <c r="E221" s="51"/>
      <c r="F221" s="5"/>
    </row>
    <row r="222" spans="5:6" x14ac:dyDescent="0.2">
      <c r="E222" s="51"/>
      <c r="F222" s="5"/>
    </row>
    <row r="223" spans="5:6" x14ac:dyDescent="0.2">
      <c r="E223" s="51"/>
      <c r="F223" s="5"/>
    </row>
    <row r="224" spans="5:6" x14ac:dyDescent="0.2">
      <c r="E224" s="51"/>
      <c r="F224" s="5"/>
    </row>
    <row r="225" spans="5:6" x14ac:dyDescent="0.2">
      <c r="E225" s="51"/>
      <c r="F225" s="5"/>
    </row>
    <row r="226" spans="5:6" x14ac:dyDescent="0.2">
      <c r="E226" s="51"/>
      <c r="F226" s="5"/>
    </row>
    <row r="227" spans="5:6" x14ac:dyDescent="0.2">
      <c r="E227" s="51"/>
      <c r="F227" s="5"/>
    </row>
    <row r="228" spans="5:6" x14ac:dyDescent="0.2">
      <c r="E228" s="51"/>
      <c r="F228" s="5"/>
    </row>
    <row r="229" spans="5:6" x14ac:dyDescent="0.2">
      <c r="E229" s="51"/>
      <c r="F229" s="5"/>
    </row>
    <row r="230" spans="5:6" x14ac:dyDescent="0.2">
      <c r="E230" s="51"/>
      <c r="F230" s="5"/>
    </row>
    <row r="231" spans="5:6" x14ac:dyDescent="0.2">
      <c r="E231" s="51"/>
      <c r="F231" s="5"/>
    </row>
    <row r="232" spans="5:6" x14ac:dyDescent="0.2">
      <c r="E232" s="51"/>
      <c r="F232" s="5"/>
    </row>
    <row r="233" spans="5:6" x14ac:dyDescent="0.2">
      <c r="E233" s="51"/>
      <c r="F233" s="5"/>
    </row>
    <row r="234" spans="5:6" x14ac:dyDescent="0.2">
      <c r="E234" s="51"/>
      <c r="F234" s="5"/>
    </row>
    <row r="235" spans="5:6" x14ac:dyDescent="0.2">
      <c r="E235" s="51"/>
      <c r="F235" s="5"/>
    </row>
    <row r="236" spans="5:6" x14ac:dyDescent="0.2">
      <c r="E236" s="51"/>
      <c r="F236" s="5"/>
    </row>
    <row r="237" spans="5:6" x14ac:dyDescent="0.2">
      <c r="E237" s="51"/>
      <c r="F237" s="5"/>
    </row>
    <row r="238" spans="5:6" x14ac:dyDescent="0.2">
      <c r="E238" s="51"/>
      <c r="F238" s="5"/>
    </row>
    <row r="239" spans="5:6" x14ac:dyDescent="0.2">
      <c r="E239" s="51"/>
      <c r="F239" s="5"/>
    </row>
    <row r="240" spans="5:6" x14ac:dyDescent="0.2">
      <c r="E240" s="51"/>
      <c r="F240" s="5"/>
    </row>
    <row r="241" spans="5:6" x14ac:dyDescent="0.2">
      <c r="E241" s="51"/>
      <c r="F241" s="5"/>
    </row>
    <row r="242" spans="5:6" x14ac:dyDescent="0.2">
      <c r="E242" s="51"/>
      <c r="F242" s="5"/>
    </row>
    <row r="243" spans="5:6" x14ac:dyDescent="0.2">
      <c r="E243" s="51"/>
      <c r="F243" s="5"/>
    </row>
    <row r="244" spans="5:6" x14ac:dyDescent="0.2">
      <c r="E244" s="51"/>
      <c r="F244" s="5"/>
    </row>
    <row r="245" spans="5:6" x14ac:dyDescent="0.2">
      <c r="E245" s="51"/>
      <c r="F245" s="5"/>
    </row>
    <row r="246" spans="5:6" x14ac:dyDescent="0.2">
      <c r="E246" s="51"/>
      <c r="F246" s="5"/>
    </row>
    <row r="247" spans="5:6" x14ac:dyDescent="0.2">
      <c r="E247" s="51"/>
      <c r="F247" s="5"/>
    </row>
    <row r="248" spans="5:6" x14ac:dyDescent="0.2">
      <c r="E248" s="51"/>
      <c r="F248" s="5"/>
    </row>
    <row r="249" spans="5:6" x14ac:dyDescent="0.2">
      <c r="E249" s="51"/>
      <c r="F249" s="5"/>
    </row>
    <row r="250" spans="5:6" x14ac:dyDescent="0.2">
      <c r="E250" s="51"/>
      <c r="F250" s="5"/>
    </row>
    <row r="251" spans="5:6" x14ac:dyDescent="0.2">
      <c r="E251" s="51"/>
      <c r="F251" s="5"/>
    </row>
    <row r="252" spans="5:6" x14ac:dyDescent="0.2">
      <c r="E252" s="51"/>
      <c r="F252" s="5"/>
    </row>
    <row r="253" spans="5:6" x14ac:dyDescent="0.2">
      <c r="E253" s="51"/>
      <c r="F253" s="5"/>
    </row>
    <row r="254" spans="5:6" x14ac:dyDescent="0.2">
      <c r="E254" s="51"/>
      <c r="F254" s="5"/>
    </row>
    <row r="255" spans="5:6" x14ac:dyDescent="0.2">
      <c r="E255" s="51"/>
      <c r="F255" s="5"/>
    </row>
    <row r="256" spans="5:6" x14ac:dyDescent="0.2">
      <c r="E256" s="51"/>
      <c r="F256" s="5"/>
    </row>
    <row r="257" spans="5:6" x14ac:dyDescent="0.2">
      <c r="E257" s="51"/>
      <c r="F257" s="5"/>
    </row>
    <row r="258" spans="5:6" x14ac:dyDescent="0.2">
      <c r="E258" s="51"/>
      <c r="F258" s="5"/>
    </row>
    <row r="259" spans="5:6" x14ac:dyDescent="0.2">
      <c r="E259" s="51"/>
      <c r="F259" s="5"/>
    </row>
    <row r="260" spans="5:6" x14ac:dyDescent="0.2">
      <c r="E260" s="51"/>
      <c r="F260" s="5"/>
    </row>
    <row r="261" spans="5:6" x14ac:dyDescent="0.2">
      <c r="E261" s="51"/>
      <c r="F261" s="5"/>
    </row>
    <row r="262" spans="5:6" x14ac:dyDescent="0.2">
      <c r="E262" s="51"/>
      <c r="F262" s="5"/>
    </row>
    <row r="263" spans="5:6" x14ac:dyDescent="0.2">
      <c r="E263" s="51"/>
      <c r="F263" s="5"/>
    </row>
    <row r="264" spans="5:6" x14ac:dyDescent="0.2">
      <c r="E264" s="51"/>
      <c r="F264" s="5"/>
    </row>
    <row r="265" spans="5:6" x14ac:dyDescent="0.2">
      <c r="E265" s="51"/>
      <c r="F265" s="5"/>
    </row>
    <row r="266" spans="5:6" x14ac:dyDescent="0.2">
      <c r="E266" s="51"/>
      <c r="F266" s="5"/>
    </row>
    <row r="267" spans="5:6" x14ac:dyDescent="0.2">
      <c r="E267" s="51"/>
      <c r="F267" s="5"/>
    </row>
    <row r="268" spans="5:6" x14ac:dyDescent="0.2">
      <c r="E268" s="51"/>
      <c r="F268" s="5"/>
    </row>
    <row r="269" spans="5:6" x14ac:dyDescent="0.2">
      <c r="E269" s="51"/>
      <c r="F269" s="5"/>
    </row>
    <row r="270" spans="5:6" x14ac:dyDescent="0.2">
      <c r="E270" s="51"/>
      <c r="F270" s="5"/>
    </row>
    <row r="271" spans="5:6" x14ac:dyDescent="0.2">
      <c r="E271" s="51"/>
      <c r="F271" s="5"/>
    </row>
    <row r="272" spans="5:6" x14ac:dyDescent="0.2">
      <c r="E272" s="51"/>
      <c r="F272" s="5"/>
    </row>
    <row r="273" spans="5:6" x14ac:dyDescent="0.2">
      <c r="E273" s="51"/>
      <c r="F273" s="5"/>
    </row>
    <row r="274" spans="5:6" x14ac:dyDescent="0.2">
      <c r="E274" s="51"/>
      <c r="F274" s="5"/>
    </row>
    <row r="275" spans="5:6" x14ac:dyDescent="0.2">
      <c r="E275" s="51"/>
      <c r="F275" s="5"/>
    </row>
    <row r="276" spans="5:6" x14ac:dyDescent="0.2">
      <c r="E276" s="51"/>
      <c r="F276" s="5"/>
    </row>
    <row r="277" spans="5:6" x14ac:dyDescent="0.2">
      <c r="E277" s="51"/>
      <c r="F277" s="5"/>
    </row>
    <row r="278" spans="5:6" x14ac:dyDescent="0.2">
      <c r="E278" s="51"/>
      <c r="F278" s="5"/>
    </row>
    <row r="279" spans="5:6" x14ac:dyDescent="0.2">
      <c r="E279" s="51"/>
      <c r="F279" s="5"/>
    </row>
    <row r="280" spans="5:6" x14ac:dyDescent="0.2">
      <c r="E280" s="51"/>
      <c r="F280" s="5"/>
    </row>
    <row r="281" spans="5:6" x14ac:dyDescent="0.2">
      <c r="E281" s="51"/>
      <c r="F281" s="5"/>
    </row>
    <row r="282" spans="5:6" x14ac:dyDescent="0.2">
      <c r="E282" s="51"/>
      <c r="F282" s="5"/>
    </row>
    <row r="283" spans="5:6" x14ac:dyDescent="0.2">
      <c r="E283" s="51"/>
      <c r="F283" s="5"/>
    </row>
    <row r="284" spans="5:6" x14ac:dyDescent="0.2">
      <c r="E284" s="51"/>
      <c r="F284" s="5"/>
    </row>
    <row r="285" spans="5:6" x14ac:dyDescent="0.2">
      <c r="E285" s="51"/>
      <c r="F285" s="5"/>
    </row>
    <row r="286" spans="5:6" x14ac:dyDescent="0.2">
      <c r="E286" s="51"/>
      <c r="F286" s="5"/>
    </row>
    <row r="287" spans="5:6" x14ac:dyDescent="0.2">
      <c r="E287" s="51"/>
      <c r="F287" s="5"/>
    </row>
    <row r="288" spans="5:6" x14ac:dyDescent="0.2">
      <c r="E288" s="51"/>
      <c r="F288" s="5"/>
    </row>
    <row r="289" spans="5:6" x14ac:dyDescent="0.2">
      <c r="E289" s="51"/>
      <c r="F289" s="5"/>
    </row>
    <row r="290" spans="5:6" x14ac:dyDescent="0.2">
      <c r="E290" s="51"/>
      <c r="F290" s="5"/>
    </row>
    <row r="291" spans="5:6" x14ac:dyDescent="0.2">
      <c r="E291" s="51"/>
      <c r="F291" s="5"/>
    </row>
    <row r="292" spans="5:6" x14ac:dyDescent="0.2">
      <c r="E292" s="51"/>
      <c r="F292" s="5"/>
    </row>
    <row r="293" spans="5:6" x14ac:dyDescent="0.2">
      <c r="E293" s="51"/>
      <c r="F293" s="5"/>
    </row>
    <row r="294" spans="5:6" x14ac:dyDescent="0.2">
      <c r="E294" s="51"/>
      <c r="F294" s="5"/>
    </row>
    <row r="295" spans="5:6" x14ac:dyDescent="0.2">
      <c r="E295" s="51"/>
      <c r="F295" s="5"/>
    </row>
    <row r="296" spans="5:6" x14ac:dyDescent="0.2">
      <c r="E296" s="51"/>
      <c r="F296" s="5"/>
    </row>
    <row r="297" spans="5:6" x14ac:dyDescent="0.2">
      <c r="E297" s="51"/>
      <c r="F297" s="5"/>
    </row>
    <row r="298" spans="5:6" x14ac:dyDescent="0.2">
      <c r="E298" s="51"/>
      <c r="F298" s="5"/>
    </row>
    <row r="299" spans="5:6" x14ac:dyDescent="0.2">
      <c r="E299" s="51"/>
      <c r="F299" s="5"/>
    </row>
    <row r="300" spans="5:6" x14ac:dyDescent="0.2">
      <c r="E300" s="51"/>
      <c r="F300" s="5"/>
    </row>
    <row r="301" spans="5:6" x14ac:dyDescent="0.2">
      <c r="E301" s="51"/>
      <c r="F301" s="5"/>
    </row>
    <row r="302" spans="5:6" x14ac:dyDescent="0.2">
      <c r="E302" s="51"/>
      <c r="F302" s="5"/>
    </row>
    <row r="303" spans="5:6" x14ac:dyDescent="0.2">
      <c r="E303" s="51"/>
      <c r="F303" s="5"/>
    </row>
    <row r="304" spans="5:6" x14ac:dyDescent="0.2">
      <c r="E304" s="51"/>
      <c r="F304" s="5"/>
    </row>
    <row r="305" spans="5:6" x14ac:dyDescent="0.2">
      <c r="E305" s="51"/>
      <c r="F305" s="5"/>
    </row>
    <row r="306" spans="5:6" x14ac:dyDescent="0.2">
      <c r="E306" s="51"/>
      <c r="F306" s="5"/>
    </row>
    <row r="307" spans="5:6" x14ac:dyDescent="0.2">
      <c r="E307" s="51"/>
      <c r="F307" s="5"/>
    </row>
    <row r="308" spans="5:6" x14ac:dyDescent="0.2">
      <c r="E308" s="51"/>
      <c r="F308" s="5"/>
    </row>
    <row r="309" spans="5:6" x14ac:dyDescent="0.2">
      <c r="E309" s="51"/>
      <c r="F309" s="5"/>
    </row>
    <row r="310" spans="5:6" x14ac:dyDescent="0.2">
      <c r="E310" s="51"/>
      <c r="F310" s="5"/>
    </row>
    <row r="311" spans="5:6" x14ac:dyDescent="0.2">
      <c r="E311" s="51"/>
      <c r="F311" s="5"/>
    </row>
    <row r="312" spans="5:6" x14ac:dyDescent="0.2">
      <c r="E312" s="51"/>
      <c r="F312" s="5"/>
    </row>
    <row r="313" spans="5:6" x14ac:dyDescent="0.2">
      <c r="E313" s="51"/>
      <c r="F313" s="5"/>
    </row>
    <row r="314" spans="5:6" x14ac:dyDescent="0.2">
      <c r="E314" s="51"/>
      <c r="F314" s="5"/>
    </row>
    <row r="315" spans="5:6" x14ac:dyDescent="0.2">
      <c r="E315" s="51"/>
      <c r="F315" s="5"/>
    </row>
    <row r="316" spans="5:6" x14ac:dyDescent="0.2">
      <c r="E316" s="51"/>
      <c r="F316" s="5"/>
    </row>
    <row r="317" spans="5:6" x14ac:dyDescent="0.2">
      <c r="E317" s="51"/>
      <c r="F317" s="5"/>
    </row>
    <row r="318" spans="5:6" x14ac:dyDescent="0.2">
      <c r="E318" s="51"/>
      <c r="F318" s="5"/>
    </row>
    <row r="319" spans="5:6" x14ac:dyDescent="0.2">
      <c r="E319" s="51"/>
      <c r="F319" s="5"/>
    </row>
    <row r="320" spans="5:6" x14ac:dyDescent="0.2">
      <c r="E320" s="51"/>
      <c r="F320" s="5"/>
    </row>
    <row r="321" spans="5:6" x14ac:dyDescent="0.2">
      <c r="E321" s="51"/>
      <c r="F321" s="5"/>
    </row>
    <row r="322" spans="5:6" x14ac:dyDescent="0.2">
      <c r="E322" s="51"/>
      <c r="F322" s="5"/>
    </row>
    <row r="323" spans="5:6" x14ac:dyDescent="0.2">
      <c r="E323" s="51"/>
      <c r="F323" s="5"/>
    </row>
    <row r="324" spans="5:6" x14ac:dyDescent="0.2">
      <c r="E324" s="51"/>
      <c r="F324" s="5"/>
    </row>
    <row r="325" spans="5:6" x14ac:dyDescent="0.2">
      <c r="E325" s="51"/>
      <c r="F325" s="5"/>
    </row>
    <row r="326" spans="5:6" x14ac:dyDescent="0.2">
      <c r="E326" s="51"/>
      <c r="F326" s="5"/>
    </row>
    <row r="327" spans="5:6" x14ac:dyDescent="0.2">
      <c r="E327" s="51"/>
      <c r="F327" s="5"/>
    </row>
    <row r="328" spans="5:6" x14ac:dyDescent="0.2">
      <c r="E328" s="51"/>
      <c r="F328" s="5"/>
    </row>
    <row r="329" spans="5:6" x14ac:dyDescent="0.2">
      <c r="E329" s="51"/>
      <c r="F329" s="5"/>
    </row>
    <row r="330" spans="5:6" x14ac:dyDescent="0.2">
      <c r="E330" s="51"/>
      <c r="F330" s="5"/>
    </row>
    <row r="331" spans="5:6" x14ac:dyDescent="0.2">
      <c r="E331" s="51"/>
      <c r="F331" s="5"/>
    </row>
    <row r="332" spans="5:6" x14ac:dyDescent="0.2">
      <c r="E332" s="51"/>
      <c r="F332" s="5"/>
    </row>
    <row r="333" spans="5:6" x14ac:dyDescent="0.2">
      <c r="E333" s="51"/>
      <c r="F333" s="5"/>
    </row>
    <row r="334" spans="5:6" x14ac:dyDescent="0.2">
      <c r="E334" s="51"/>
      <c r="F334" s="5"/>
    </row>
    <row r="335" spans="5:6" x14ac:dyDescent="0.2">
      <c r="E335" s="51"/>
      <c r="F335" s="5"/>
    </row>
    <row r="336" spans="5:6" x14ac:dyDescent="0.2">
      <c r="E336" s="51"/>
      <c r="F336" s="5"/>
    </row>
    <row r="337" spans="5:6" x14ac:dyDescent="0.2">
      <c r="E337" s="51"/>
      <c r="F337" s="5"/>
    </row>
    <row r="338" spans="5:6" x14ac:dyDescent="0.2">
      <c r="E338" s="51"/>
      <c r="F338" s="5"/>
    </row>
    <row r="339" spans="5:6" x14ac:dyDescent="0.2">
      <c r="E339" s="51"/>
      <c r="F339" s="5"/>
    </row>
    <row r="340" spans="5:6" x14ac:dyDescent="0.2">
      <c r="E340" s="51"/>
      <c r="F340" s="5"/>
    </row>
    <row r="341" spans="5:6" x14ac:dyDescent="0.2">
      <c r="E341" s="51"/>
      <c r="F341" s="5"/>
    </row>
    <row r="342" spans="5:6" x14ac:dyDescent="0.2">
      <c r="E342" s="51"/>
      <c r="F342" s="5"/>
    </row>
    <row r="343" spans="5:6" x14ac:dyDescent="0.2">
      <c r="E343" s="51"/>
      <c r="F343" s="5"/>
    </row>
    <row r="344" spans="5:6" x14ac:dyDescent="0.2">
      <c r="E344" s="51"/>
      <c r="F344" s="5"/>
    </row>
    <row r="345" spans="5:6" x14ac:dyDescent="0.2">
      <c r="E345" s="51"/>
      <c r="F345" s="5"/>
    </row>
    <row r="346" spans="5:6" x14ac:dyDescent="0.2">
      <c r="E346" s="51"/>
      <c r="F346" s="5"/>
    </row>
    <row r="347" spans="5:6" x14ac:dyDescent="0.2">
      <c r="E347" s="51"/>
      <c r="F347" s="5"/>
    </row>
    <row r="348" spans="5:6" x14ac:dyDescent="0.2">
      <c r="E348" s="51"/>
      <c r="F348" s="5"/>
    </row>
    <row r="349" spans="5:6" x14ac:dyDescent="0.2">
      <c r="E349" s="51"/>
      <c r="F349" s="5"/>
    </row>
    <row r="350" spans="5:6" x14ac:dyDescent="0.2">
      <c r="E350" s="51"/>
      <c r="F350" s="5"/>
    </row>
    <row r="351" spans="5:6" x14ac:dyDescent="0.2">
      <c r="E351" s="51"/>
      <c r="F351" s="5"/>
    </row>
    <row r="352" spans="5:6" x14ac:dyDescent="0.2">
      <c r="E352" s="51"/>
      <c r="F352" s="5"/>
    </row>
    <row r="353" spans="5:6" x14ac:dyDescent="0.2">
      <c r="E353" s="51"/>
      <c r="F353" s="5"/>
    </row>
    <row r="354" spans="5:6" x14ac:dyDescent="0.2">
      <c r="E354" s="51"/>
      <c r="F354" s="5"/>
    </row>
    <row r="355" spans="5:6" x14ac:dyDescent="0.2">
      <c r="E355" s="51"/>
      <c r="F355" s="5"/>
    </row>
    <row r="356" spans="5:6" x14ac:dyDescent="0.2">
      <c r="E356" s="51"/>
      <c r="F356" s="5"/>
    </row>
    <row r="357" spans="5:6" x14ac:dyDescent="0.2">
      <c r="E357" s="51"/>
      <c r="F357" s="5"/>
    </row>
    <row r="358" spans="5:6" x14ac:dyDescent="0.2">
      <c r="E358" s="51"/>
      <c r="F358" s="5"/>
    </row>
    <row r="359" spans="5:6" x14ac:dyDescent="0.2">
      <c r="E359" s="51"/>
      <c r="F359" s="5"/>
    </row>
    <row r="360" spans="5:6" x14ac:dyDescent="0.2">
      <c r="E360" s="51"/>
      <c r="F360" s="5"/>
    </row>
    <row r="361" spans="5:6" x14ac:dyDescent="0.2">
      <c r="E361" s="51"/>
      <c r="F361" s="5"/>
    </row>
    <row r="362" spans="5:6" x14ac:dyDescent="0.2">
      <c r="E362" s="51"/>
      <c r="F362" s="5"/>
    </row>
    <row r="363" spans="5:6" x14ac:dyDescent="0.2">
      <c r="E363" s="51"/>
      <c r="F363" s="5"/>
    </row>
    <row r="364" spans="5:6" x14ac:dyDescent="0.2">
      <c r="E364" s="51"/>
      <c r="F364" s="5"/>
    </row>
    <row r="365" spans="5:6" x14ac:dyDescent="0.2">
      <c r="E365" s="51"/>
      <c r="F365" s="5"/>
    </row>
    <row r="366" spans="5:6" x14ac:dyDescent="0.2">
      <c r="E366" s="51"/>
      <c r="F366" s="5"/>
    </row>
    <row r="367" spans="5:6" x14ac:dyDescent="0.2">
      <c r="E367" s="51"/>
      <c r="F367" s="5"/>
    </row>
    <row r="368" spans="5:6" x14ac:dyDescent="0.2">
      <c r="E368" s="51"/>
      <c r="F368" s="5"/>
    </row>
    <row r="369" spans="5:6" x14ac:dyDescent="0.2">
      <c r="E369" s="51"/>
      <c r="F369" s="5"/>
    </row>
    <row r="370" spans="5:6" x14ac:dyDescent="0.2">
      <c r="E370" s="51"/>
      <c r="F370" s="5"/>
    </row>
    <row r="371" spans="5:6" x14ac:dyDescent="0.2">
      <c r="E371" s="51"/>
      <c r="F371" s="5"/>
    </row>
    <row r="372" spans="5:6" x14ac:dyDescent="0.2">
      <c r="E372" s="51"/>
      <c r="F372" s="5"/>
    </row>
    <row r="373" spans="5:6" x14ac:dyDescent="0.2">
      <c r="E373" s="51"/>
      <c r="F373" s="5"/>
    </row>
    <row r="374" spans="5:6" x14ac:dyDescent="0.2">
      <c r="E374" s="51"/>
      <c r="F374" s="5"/>
    </row>
    <row r="375" spans="5:6" x14ac:dyDescent="0.2">
      <c r="E375" s="51"/>
      <c r="F375" s="5"/>
    </row>
    <row r="376" spans="5:6" x14ac:dyDescent="0.2">
      <c r="E376" s="51"/>
      <c r="F376" s="5"/>
    </row>
    <row r="377" spans="5:6" x14ac:dyDescent="0.2">
      <c r="E377" s="51"/>
      <c r="F377" s="5"/>
    </row>
    <row r="378" spans="5:6" x14ac:dyDescent="0.2">
      <c r="E378" s="51"/>
      <c r="F378" s="5"/>
    </row>
    <row r="379" spans="5:6" x14ac:dyDescent="0.2">
      <c r="E379" s="51"/>
      <c r="F379" s="5"/>
    </row>
    <row r="380" spans="5:6" x14ac:dyDescent="0.2">
      <c r="E380" s="51"/>
      <c r="F380" s="5"/>
    </row>
    <row r="381" spans="5:6" x14ac:dyDescent="0.2">
      <c r="E381" s="51"/>
      <c r="F381" s="5"/>
    </row>
    <row r="382" spans="5:6" x14ac:dyDescent="0.2">
      <c r="E382" s="51"/>
      <c r="F382" s="5"/>
    </row>
    <row r="383" spans="5:6" x14ac:dyDescent="0.2">
      <c r="E383" s="51"/>
      <c r="F383" s="5"/>
    </row>
    <row r="384" spans="5:6" x14ac:dyDescent="0.2">
      <c r="E384" s="51"/>
      <c r="F384" s="5"/>
    </row>
    <row r="385" spans="5:6" x14ac:dyDescent="0.2">
      <c r="E385" s="51"/>
      <c r="F385" s="5"/>
    </row>
    <row r="386" spans="5:6" x14ac:dyDescent="0.2">
      <c r="E386" s="51"/>
      <c r="F386" s="5"/>
    </row>
    <row r="387" spans="5:6" x14ac:dyDescent="0.2">
      <c r="E387" s="51"/>
      <c r="F387" s="5"/>
    </row>
    <row r="388" spans="5:6" x14ac:dyDescent="0.2">
      <c r="E388" s="51"/>
      <c r="F388" s="5"/>
    </row>
    <row r="389" spans="5:6" x14ac:dyDescent="0.2">
      <c r="E389" s="51"/>
      <c r="F389" s="5"/>
    </row>
    <row r="390" spans="5:6" x14ac:dyDescent="0.2">
      <c r="E390" s="51"/>
      <c r="F390" s="5"/>
    </row>
    <row r="391" spans="5:6" x14ac:dyDescent="0.2">
      <c r="E391" s="51"/>
      <c r="F391" s="5"/>
    </row>
    <row r="392" spans="5:6" x14ac:dyDescent="0.2">
      <c r="E392" s="51"/>
      <c r="F392" s="5"/>
    </row>
    <row r="393" spans="5:6" x14ac:dyDescent="0.2">
      <c r="E393" s="51"/>
      <c r="F393" s="5"/>
    </row>
    <row r="394" spans="5:6" x14ac:dyDescent="0.2">
      <c r="E394" s="51"/>
      <c r="F394" s="5"/>
    </row>
    <row r="395" spans="5:6" x14ac:dyDescent="0.2">
      <c r="E395" s="51"/>
      <c r="F395" s="5"/>
    </row>
    <row r="396" spans="5:6" x14ac:dyDescent="0.2">
      <c r="E396" s="51"/>
      <c r="F396" s="5"/>
    </row>
    <row r="397" spans="5:6" x14ac:dyDescent="0.2">
      <c r="E397" s="51"/>
      <c r="F397" s="5"/>
    </row>
    <row r="398" spans="5:6" x14ac:dyDescent="0.2">
      <c r="E398" s="51"/>
      <c r="F398" s="5"/>
    </row>
    <row r="399" spans="5:6" x14ac:dyDescent="0.2">
      <c r="E399" s="51"/>
      <c r="F399" s="5"/>
    </row>
    <row r="400" spans="5:6" x14ac:dyDescent="0.2">
      <c r="E400" s="51"/>
      <c r="F400" s="5"/>
    </row>
    <row r="401" spans="5:6" x14ac:dyDescent="0.2">
      <c r="E401" s="51"/>
      <c r="F401" s="5"/>
    </row>
    <row r="402" spans="5:6" x14ac:dyDescent="0.2">
      <c r="E402" s="51"/>
      <c r="F402" s="5"/>
    </row>
    <row r="403" spans="5:6" x14ac:dyDescent="0.2">
      <c r="E403" s="51"/>
      <c r="F403" s="5"/>
    </row>
    <row r="404" spans="5:6" x14ac:dyDescent="0.2">
      <c r="E404" s="51"/>
      <c r="F404" s="5"/>
    </row>
    <row r="405" spans="5:6" x14ac:dyDescent="0.2">
      <c r="E405" s="51"/>
      <c r="F405" s="5"/>
    </row>
    <row r="406" spans="5:6" x14ac:dyDescent="0.2">
      <c r="E406" s="51"/>
      <c r="F406" s="5"/>
    </row>
    <row r="407" spans="5:6" x14ac:dyDescent="0.2">
      <c r="E407" s="51"/>
      <c r="F407" s="5"/>
    </row>
    <row r="408" spans="5:6" x14ac:dyDescent="0.2">
      <c r="E408" s="51"/>
      <c r="F408" s="5"/>
    </row>
    <row r="409" spans="5:6" x14ac:dyDescent="0.2">
      <c r="E409" s="51"/>
      <c r="F409" s="5"/>
    </row>
    <row r="410" spans="5:6" x14ac:dyDescent="0.2">
      <c r="E410" s="51"/>
      <c r="F410" s="5"/>
    </row>
    <row r="411" spans="5:6" x14ac:dyDescent="0.2">
      <c r="E411" s="51"/>
      <c r="F411" s="5"/>
    </row>
    <row r="412" spans="5:6" x14ac:dyDescent="0.2">
      <c r="E412" s="51"/>
      <c r="F412" s="5"/>
    </row>
    <row r="413" spans="5:6" x14ac:dyDescent="0.2">
      <c r="E413" s="51"/>
      <c r="F413" s="5"/>
    </row>
    <row r="414" spans="5:6" x14ac:dyDescent="0.2">
      <c r="E414" s="51"/>
      <c r="F414" s="5"/>
    </row>
    <row r="415" spans="5:6" x14ac:dyDescent="0.2">
      <c r="E415" s="51"/>
      <c r="F415" s="5"/>
    </row>
    <row r="416" spans="5:6" x14ac:dyDescent="0.2">
      <c r="E416" s="51"/>
      <c r="F416" s="5"/>
    </row>
    <row r="417" spans="5:6" x14ac:dyDescent="0.2">
      <c r="E417" s="51"/>
      <c r="F417" s="5"/>
    </row>
    <row r="418" spans="5:6" x14ac:dyDescent="0.2">
      <c r="E418" s="51"/>
      <c r="F418" s="5"/>
    </row>
    <row r="419" spans="5:6" x14ac:dyDescent="0.2">
      <c r="E419" s="51"/>
      <c r="F419" s="5"/>
    </row>
    <row r="420" spans="5:6" x14ac:dyDescent="0.2">
      <c r="E420" s="51"/>
      <c r="F420" s="5"/>
    </row>
    <row r="421" spans="5:6" x14ac:dyDescent="0.2">
      <c r="E421" s="51"/>
      <c r="F421" s="5"/>
    </row>
    <row r="422" spans="5:6" x14ac:dyDescent="0.2">
      <c r="E422" s="51"/>
      <c r="F422" s="5"/>
    </row>
    <row r="423" spans="5:6" x14ac:dyDescent="0.2">
      <c r="E423" s="51"/>
      <c r="F423" s="5"/>
    </row>
    <row r="424" spans="5:6" x14ac:dyDescent="0.2">
      <c r="E424" s="51"/>
      <c r="F424" s="5"/>
    </row>
    <row r="425" spans="5:6" x14ac:dyDescent="0.2">
      <c r="E425" s="51"/>
      <c r="F425" s="5"/>
    </row>
    <row r="426" spans="5:6" x14ac:dyDescent="0.2">
      <c r="E426" s="51"/>
      <c r="F426" s="5"/>
    </row>
    <row r="427" spans="5:6" x14ac:dyDescent="0.2">
      <c r="E427" s="51"/>
      <c r="F427" s="5"/>
    </row>
    <row r="428" spans="5:6" x14ac:dyDescent="0.2">
      <c r="E428" s="51"/>
      <c r="F428" s="5"/>
    </row>
    <row r="429" spans="5:6" x14ac:dyDescent="0.2">
      <c r="E429" s="51"/>
      <c r="F429" s="5"/>
    </row>
    <row r="430" spans="5:6" x14ac:dyDescent="0.2">
      <c r="E430" s="51"/>
      <c r="F430" s="5"/>
    </row>
    <row r="431" spans="5:6" x14ac:dyDescent="0.2">
      <c r="E431" s="51"/>
      <c r="F431" s="5"/>
    </row>
    <row r="432" spans="5:6" x14ac:dyDescent="0.2">
      <c r="E432" s="51"/>
      <c r="F432" s="5"/>
    </row>
    <row r="433" spans="5:6" x14ac:dyDescent="0.2">
      <c r="E433" s="51"/>
      <c r="F433" s="5"/>
    </row>
    <row r="434" spans="5:6" x14ac:dyDescent="0.2">
      <c r="E434" s="51"/>
      <c r="F434" s="5"/>
    </row>
    <row r="435" spans="5:6" x14ac:dyDescent="0.2">
      <c r="E435" s="51"/>
      <c r="F435" s="5"/>
    </row>
    <row r="436" spans="5:6" x14ac:dyDescent="0.2">
      <c r="E436" s="51"/>
      <c r="F436" s="5"/>
    </row>
    <row r="437" spans="5:6" x14ac:dyDescent="0.2">
      <c r="E437" s="51"/>
      <c r="F437" s="5"/>
    </row>
    <row r="438" spans="5:6" x14ac:dyDescent="0.2">
      <c r="E438" s="51"/>
      <c r="F438" s="5"/>
    </row>
    <row r="439" spans="5:6" x14ac:dyDescent="0.2">
      <c r="E439" s="51"/>
      <c r="F439" s="5"/>
    </row>
    <row r="440" spans="5:6" x14ac:dyDescent="0.2">
      <c r="E440" s="51"/>
      <c r="F440" s="5"/>
    </row>
    <row r="441" spans="5:6" x14ac:dyDescent="0.2">
      <c r="E441" s="51"/>
      <c r="F441" s="5"/>
    </row>
    <row r="442" spans="5:6" x14ac:dyDescent="0.2">
      <c r="E442" s="51"/>
      <c r="F442" s="5"/>
    </row>
    <row r="443" spans="5:6" x14ac:dyDescent="0.2">
      <c r="E443" s="51"/>
      <c r="F443" s="5"/>
    </row>
    <row r="444" spans="5:6" x14ac:dyDescent="0.2">
      <c r="E444" s="51"/>
      <c r="F444" s="5"/>
    </row>
    <row r="445" spans="5:6" x14ac:dyDescent="0.2">
      <c r="E445" s="51"/>
      <c r="F445" s="5"/>
    </row>
    <row r="446" spans="5:6" x14ac:dyDescent="0.2">
      <c r="E446" s="51"/>
      <c r="F446" s="5"/>
    </row>
    <row r="447" spans="5:6" x14ac:dyDescent="0.2">
      <c r="E447" s="51"/>
      <c r="F447" s="5"/>
    </row>
    <row r="448" spans="5:6" x14ac:dyDescent="0.2">
      <c r="E448" s="51"/>
      <c r="F448" s="5"/>
    </row>
    <row r="449" spans="5:6" x14ac:dyDescent="0.2">
      <c r="E449" s="51"/>
      <c r="F449" s="5"/>
    </row>
    <row r="450" spans="5:6" x14ac:dyDescent="0.2">
      <c r="E450" s="51"/>
      <c r="F450" s="5"/>
    </row>
    <row r="451" spans="5:6" x14ac:dyDescent="0.2">
      <c r="E451" s="51"/>
      <c r="F451" s="5"/>
    </row>
    <row r="452" spans="5:6" x14ac:dyDescent="0.2">
      <c r="E452" s="51"/>
      <c r="F452" s="5"/>
    </row>
    <row r="453" spans="5:6" x14ac:dyDescent="0.2">
      <c r="E453" s="51"/>
      <c r="F453" s="5"/>
    </row>
    <row r="454" spans="5:6" x14ac:dyDescent="0.2">
      <c r="E454" s="51"/>
      <c r="F454" s="5"/>
    </row>
    <row r="455" spans="5:6" x14ac:dyDescent="0.2">
      <c r="E455" s="51"/>
      <c r="F455" s="5"/>
    </row>
    <row r="456" spans="5:6" x14ac:dyDescent="0.2">
      <c r="E456" s="51"/>
      <c r="F456" s="5"/>
    </row>
    <row r="457" spans="5:6" x14ac:dyDescent="0.2">
      <c r="E457" s="51"/>
      <c r="F457" s="5"/>
    </row>
    <row r="458" spans="5:6" x14ac:dyDescent="0.2">
      <c r="E458" s="51"/>
      <c r="F458" s="5"/>
    </row>
    <row r="459" spans="5:6" x14ac:dyDescent="0.2">
      <c r="E459" s="51"/>
      <c r="F459" s="5"/>
    </row>
    <row r="460" spans="5:6" x14ac:dyDescent="0.2">
      <c r="E460" s="51"/>
      <c r="F460" s="5"/>
    </row>
    <row r="461" spans="5:6" x14ac:dyDescent="0.2">
      <c r="E461" s="51"/>
      <c r="F461" s="5"/>
    </row>
    <row r="462" spans="5:6" x14ac:dyDescent="0.2">
      <c r="E462" s="51"/>
      <c r="F462" s="5"/>
    </row>
    <row r="463" spans="5:6" x14ac:dyDescent="0.2">
      <c r="E463" s="51"/>
      <c r="F463" s="5"/>
    </row>
    <row r="464" spans="5:6" x14ac:dyDescent="0.2">
      <c r="E464" s="51"/>
      <c r="F464" s="5"/>
    </row>
    <row r="465" spans="5:6" x14ac:dyDescent="0.2">
      <c r="E465" s="51"/>
      <c r="F465" s="5"/>
    </row>
    <row r="466" spans="5:6" x14ac:dyDescent="0.2">
      <c r="E466" s="51"/>
      <c r="F466" s="5"/>
    </row>
    <row r="467" spans="5:6" x14ac:dyDescent="0.2">
      <c r="E467" s="51"/>
      <c r="F467" s="5"/>
    </row>
    <row r="468" spans="5:6" x14ac:dyDescent="0.2">
      <c r="E468" s="51"/>
      <c r="F468" s="5"/>
    </row>
    <row r="469" spans="5:6" x14ac:dyDescent="0.2">
      <c r="E469" s="51"/>
      <c r="F469" s="5"/>
    </row>
    <row r="470" spans="5:6" x14ac:dyDescent="0.2">
      <c r="E470" s="51"/>
      <c r="F470" s="5"/>
    </row>
    <row r="471" spans="5:6" x14ac:dyDescent="0.2">
      <c r="E471" s="51"/>
      <c r="F471" s="5"/>
    </row>
    <row r="472" spans="5:6" x14ac:dyDescent="0.2">
      <c r="E472" s="51"/>
      <c r="F472" s="5"/>
    </row>
    <row r="473" spans="5:6" x14ac:dyDescent="0.2">
      <c r="E473" s="51"/>
      <c r="F473" s="5"/>
    </row>
    <row r="474" spans="5:6" x14ac:dyDescent="0.2">
      <c r="E474" s="51"/>
      <c r="F474" s="5"/>
    </row>
    <row r="475" spans="5:6" x14ac:dyDescent="0.2">
      <c r="E475" s="51"/>
      <c r="F475" s="5"/>
    </row>
    <row r="476" spans="5:6" x14ac:dyDescent="0.2">
      <c r="E476" s="51"/>
      <c r="F476" s="5"/>
    </row>
    <row r="477" spans="5:6" x14ac:dyDescent="0.2">
      <c r="E477" s="51"/>
      <c r="F477" s="5"/>
    </row>
    <row r="478" spans="5:6" x14ac:dyDescent="0.2">
      <c r="E478" s="51"/>
      <c r="F478" s="5"/>
    </row>
  </sheetData>
  <dataValidations count="3">
    <dataValidation allowBlank="1" showInputMessage="1" showErrorMessage="1" prompt="Cadastre seu lote de acordo com a respectiva identificação " sqref="A1" xr:uid="{4A5F49CF-587C-C346-8DE0-8105D2F1A917}"/>
    <dataValidation allowBlank="1" showInputMessage="1" showErrorMessage="1" prompt="Escolha a categoria pertecente ao lote" sqref="B1" xr:uid="{576B145C-881D-224E-8C44-C1271BA45579}"/>
    <dataValidation type="list" allowBlank="1" showInputMessage="1" showErrorMessage="1" sqref="D2:D6" xr:uid="{EC55804F-ED79-BC4B-B658-8E709D10CE06}">
      <formula1>IF(B2="Frango",Linhagem_Frango,IF(AND(B2="Poedeira",C2="Marrom"),Linhagem_Poedeira_Marrom,Linhagem_Poedeira_Branca))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02063-6D38-484B-93DC-1BFE3838EBB4}">
  <sheetPr codeName="Planilha8">
    <tabColor theme="5" tint="0.39997558519241921"/>
  </sheetPr>
  <dimension ref="B1:F26"/>
  <sheetViews>
    <sheetView showGridLines="0" showRowColHeaders="0" tabSelected="1" zoomScaleNormal="100" workbookViewId="0">
      <selection activeCell="J13" sqref="J13"/>
    </sheetView>
  </sheetViews>
  <sheetFormatPr baseColWidth="10" defaultRowHeight="16" x14ac:dyDescent="0.2"/>
  <cols>
    <col min="1" max="1" width="12" style="22" bestFit="1" customWidth="1"/>
    <col min="2" max="16384" width="10.83203125" style="22"/>
  </cols>
  <sheetData>
    <row r="1" spans="2:6" x14ac:dyDescent="0.2">
      <c r="B1" s="54"/>
      <c r="C1" s="54"/>
      <c r="D1" s="54"/>
      <c r="E1" s="54"/>
      <c r="F1" s="54"/>
    </row>
    <row r="2" spans="2:6" ht="28" x14ac:dyDescent="0.2">
      <c r="B2" s="78" t="s">
        <v>93</v>
      </c>
      <c r="C2" s="79"/>
      <c r="D2" s="79"/>
      <c r="E2" s="79"/>
      <c r="F2" s="79"/>
    </row>
    <row r="3" spans="2:6" x14ac:dyDescent="0.2">
      <c r="B3" s="80" t="s">
        <v>128</v>
      </c>
      <c r="C3" s="81"/>
      <c r="D3" s="81"/>
      <c r="E3" s="81"/>
      <c r="F3" s="81"/>
    </row>
    <row r="4" spans="2:6" x14ac:dyDescent="0.2">
      <c r="B4" s="54"/>
      <c r="C4" s="54"/>
      <c r="D4" s="54"/>
      <c r="E4" s="54"/>
      <c r="F4" s="54"/>
    </row>
    <row r="5" spans="2:6" ht="16" customHeight="1" x14ac:dyDescent="0.2">
      <c r="B5" s="54"/>
      <c r="C5" s="54"/>
      <c r="D5" s="54"/>
      <c r="E5" s="54"/>
      <c r="F5" s="54"/>
    </row>
    <row r="6" spans="2:6" x14ac:dyDescent="0.2">
      <c r="B6" s="54"/>
      <c r="C6" s="54"/>
      <c r="D6" s="54"/>
      <c r="E6" s="54"/>
      <c r="F6" s="54"/>
    </row>
    <row r="7" spans="2:6" x14ac:dyDescent="0.2">
      <c r="B7" s="54"/>
      <c r="C7" s="54"/>
      <c r="D7" s="54"/>
      <c r="E7" s="54"/>
      <c r="F7" s="54"/>
    </row>
    <row r="8" spans="2:6" x14ac:dyDescent="0.2">
      <c r="B8" s="54"/>
      <c r="C8" s="54"/>
      <c r="D8" s="54"/>
      <c r="E8" s="54"/>
      <c r="F8" s="54"/>
    </row>
    <row r="9" spans="2:6" x14ac:dyDescent="0.2">
      <c r="B9" s="54"/>
      <c r="C9" s="54"/>
      <c r="D9" s="54"/>
      <c r="E9" s="54"/>
      <c r="F9" s="54"/>
    </row>
    <row r="10" spans="2:6" x14ac:dyDescent="0.2">
      <c r="B10" s="54"/>
      <c r="C10" s="54"/>
      <c r="D10" s="54"/>
      <c r="E10" s="54"/>
      <c r="F10" s="54"/>
    </row>
    <row r="11" spans="2:6" x14ac:dyDescent="0.2">
      <c r="B11" s="54"/>
      <c r="C11" s="54"/>
      <c r="D11" s="54"/>
      <c r="E11" s="54"/>
      <c r="F11" s="54"/>
    </row>
    <row r="12" spans="2:6" x14ac:dyDescent="0.2">
      <c r="B12" s="54"/>
      <c r="C12" s="54"/>
      <c r="D12" s="54"/>
      <c r="E12" s="54"/>
      <c r="F12" s="54"/>
    </row>
    <row r="13" spans="2:6" x14ac:dyDescent="0.2">
      <c r="B13" s="54"/>
      <c r="C13" s="54"/>
      <c r="D13" s="54"/>
      <c r="E13" s="54"/>
      <c r="F13" s="54"/>
    </row>
    <row r="14" spans="2:6" x14ac:dyDescent="0.2">
      <c r="B14" s="54"/>
      <c r="C14" s="54"/>
      <c r="D14" s="54"/>
      <c r="E14" s="54"/>
      <c r="F14" s="54"/>
    </row>
    <row r="15" spans="2:6" x14ac:dyDescent="0.2">
      <c r="B15" s="54"/>
      <c r="C15" s="54"/>
      <c r="D15" s="54"/>
      <c r="E15" s="54"/>
      <c r="F15" s="54"/>
    </row>
    <row r="16" spans="2:6" x14ac:dyDescent="0.2">
      <c r="B16" s="54"/>
      <c r="C16" s="54"/>
      <c r="D16" s="54"/>
      <c r="E16" s="54"/>
      <c r="F16" s="54"/>
    </row>
    <row r="17" spans="2:6" x14ac:dyDescent="0.2">
      <c r="B17" s="54"/>
      <c r="C17" s="54"/>
      <c r="D17" s="54"/>
      <c r="E17" s="54"/>
      <c r="F17" s="54"/>
    </row>
    <row r="18" spans="2:6" x14ac:dyDescent="0.2">
      <c r="B18" s="54"/>
      <c r="C18" s="54"/>
      <c r="D18" s="54"/>
      <c r="E18" s="54"/>
      <c r="F18" s="54"/>
    </row>
    <row r="19" spans="2:6" x14ac:dyDescent="0.2">
      <c r="B19" s="54"/>
      <c r="C19" s="54"/>
      <c r="D19" s="54"/>
      <c r="E19" s="54"/>
      <c r="F19" s="54"/>
    </row>
    <row r="20" spans="2:6" x14ac:dyDescent="0.2">
      <c r="B20" s="54"/>
      <c r="C20" s="54"/>
      <c r="D20" s="54"/>
      <c r="E20" s="54"/>
      <c r="F20" s="54"/>
    </row>
    <row r="21" spans="2:6" x14ac:dyDescent="0.2">
      <c r="B21" s="54"/>
      <c r="C21" s="54"/>
      <c r="D21" s="54"/>
      <c r="E21" s="54"/>
      <c r="F21" s="54"/>
    </row>
    <row r="22" spans="2:6" ht="18" x14ac:dyDescent="0.2">
      <c r="B22" s="56"/>
      <c r="C22" s="57"/>
      <c r="D22" s="57"/>
      <c r="E22" s="57"/>
      <c r="F22" s="57"/>
    </row>
    <row r="23" spans="2:6" x14ac:dyDescent="0.2">
      <c r="B23" s="58"/>
      <c r="C23" s="59"/>
      <c r="D23" s="59"/>
      <c r="E23" s="59"/>
      <c r="F23" s="59"/>
    </row>
    <row r="24" spans="2:6" x14ac:dyDescent="0.2">
      <c r="B24" s="60"/>
      <c r="C24" s="23"/>
      <c r="D24" s="23"/>
      <c r="E24" s="23"/>
      <c r="F24" s="55"/>
    </row>
    <row r="25" spans="2:6" x14ac:dyDescent="0.2">
      <c r="B25" s="61"/>
      <c r="C25" s="23"/>
      <c r="D25" s="23"/>
      <c r="E25" s="23"/>
      <c r="F25" s="54"/>
    </row>
    <row r="26" spans="2:6" x14ac:dyDescent="0.2">
      <c r="B26" s="61"/>
      <c r="C26" s="61"/>
      <c r="D26" s="61"/>
      <c r="E26" s="61"/>
      <c r="F26" s="61"/>
    </row>
  </sheetData>
  <sheetProtection algorithmName="SHA-512" hashValue="VX8UZx0rGmMAzT2VdqiyIzu5bj6V3INZ7uu3o1AvIZ0htZBf2DiLwsc4ThClwVOg+rPpZMHXc6ch6eGamFKtlA==" saltValue="UCNnZf4OrVzG5Lg6WlBCBQ==" spinCount="100000" sheet="1" objects="1" scenarios="1"/>
  <mergeCells count="2">
    <mergeCell ref="B2:F2"/>
    <mergeCell ref="B3:F3"/>
  </mergeCells>
  <pageMargins left="0.511811024" right="0.511811024" top="0.78740157499999996" bottom="0.78740157499999996" header="0.31496062000000002" footer="0.31496062000000002"/>
  <pageSetup paperSize="9" orientation="portrait" horizontalDpi="0" verticalDpi="0"/>
  <headerFooter>
    <oddFooter>&amp;C&amp;"Aptos Narrow (Corpo),Regular"&amp;K03+000Desenvolvido por: Rafael Ferreira | Zootecnista / Especialista em Aves | Contato: (31) 922154799 / ferreirafaelfer@gmail.com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6EC67-5FE0-0B40-96E6-30BACD852B8A}">
  <sheetPr codeName="Planilha9">
    <tabColor theme="5" tint="0.39997558519241921"/>
  </sheetPr>
  <dimension ref="B3:H36"/>
  <sheetViews>
    <sheetView showGridLines="0" workbookViewId="0"/>
  </sheetViews>
  <sheetFormatPr baseColWidth="10" defaultRowHeight="16" x14ac:dyDescent="0.2"/>
  <sheetData>
    <row r="3" spans="2:8" x14ac:dyDescent="0.2">
      <c r="B3" s="83" t="s">
        <v>86</v>
      </c>
      <c r="C3" s="83"/>
      <c r="D3" s="83"/>
      <c r="E3" s="83"/>
      <c r="F3" s="83"/>
      <c r="G3" s="83"/>
      <c r="H3" s="83"/>
    </row>
    <row r="4" spans="2:8" x14ac:dyDescent="0.2">
      <c r="B4" s="83"/>
      <c r="C4" s="83"/>
      <c r="D4" s="83"/>
      <c r="E4" s="83"/>
      <c r="F4" s="83"/>
      <c r="G4" s="83"/>
      <c r="H4" s="83"/>
    </row>
    <row r="5" spans="2:8" x14ac:dyDescent="0.2">
      <c r="B5" s="84"/>
      <c r="C5" s="84"/>
      <c r="D5" s="84"/>
      <c r="E5" s="84"/>
      <c r="F5" s="84"/>
      <c r="G5" s="84"/>
      <c r="H5" s="84"/>
    </row>
    <row r="6" spans="2:8" ht="41" customHeight="1" x14ac:dyDescent="0.2">
      <c r="B6" s="85" t="s">
        <v>87</v>
      </c>
      <c r="C6" s="86"/>
      <c r="D6" s="87"/>
      <c r="E6" s="88"/>
      <c r="F6" s="89"/>
      <c r="G6" s="89"/>
      <c r="H6" s="90"/>
    </row>
    <row r="7" spans="2:8" ht="41" customHeight="1" x14ac:dyDescent="0.2">
      <c r="B7" s="85" t="s">
        <v>91</v>
      </c>
      <c r="C7" s="86"/>
      <c r="D7" s="87"/>
      <c r="E7" s="88"/>
      <c r="F7" s="89"/>
      <c r="G7" s="89"/>
      <c r="H7" s="90"/>
    </row>
    <row r="8" spans="2:8" ht="41" customHeight="1" x14ac:dyDescent="0.2">
      <c r="B8" s="85" t="s">
        <v>90</v>
      </c>
      <c r="C8" s="86"/>
      <c r="D8" s="87"/>
      <c r="E8" s="88"/>
      <c r="F8" s="89"/>
      <c r="G8" s="89"/>
      <c r="H8" s="90"/>
    </row>
    <row r="9" spans="2:8" ht="41" customHeight="1" x14ac:dyDescent="0.2">
      <c r="B9" s="85" t="s">
        <v>88</v>
      </c>
      <c r="C9" s="86"/>
      <c r="D9" s="87"/>
      <c r="E9" s="88"/>
      <c r="F9" s="89"/>
      <c r="G9" s="89"/>
      <c r="H9" s="90"/>
    </row>
    <row r="10" spans="2:8" ht="41" customHeight="1" x14ac:dyDescent="0.2">
      <c r="B10" s="85" t="s">
        <v>89</v>
      </c>
      <c r="C10" s="86"/>
      <c r="D10" s="87"/>
      <c r="E10" s="91"/>
      <c r="F10" s="89"/>
      <c r="G10" s="89"/>
      <c r="H10" s="90"/>
    </row>
    <row r="11" spans="2:8" ht="41" customHeight="1" x14ac:dyDescent="0.2">
      <c r="B11" s="85" t="s">
        <v>92</v>
      </c>
      <c r="C11" s="86"/>
      <c r="D11" s="87"/>
      <c r="E11" s="92"/>
      <c r="F11" s="93"/>
      <c r="G11" s="93"/>
      <c r="H11" s="94"/>
    </row>
    <row r="12" spans="2:8" x14ac:dyDescent="0.2">
      <c r="B12" s="82"/>
      <c r="C12" s="82"/>
      <c r="D12" s="82"/>
      <c r="E12" s="23"/>
      <c r="F12" s="23"/>
      <c r="G12" s="23"/>
      <c r="H12" s="23"/>
    </row>
    <row r="13" spans="2:8" x14ac:dyDescent="0.2">
      <c r="B13" s="82"/>
      <c r="C13" s="82"/>
      <c r="D13" s="82"/>
      <c r="E13" s="23"/>
      <c r="F13" s="23"/>
      <c r="G13" s="23"/>
      <c r="H13" s="23"/>
    </row>
    <row r="14" spans="2:8" x14ac:dyDescent="0.2">
      <c r="B14" s="82"/>
      <c r="C14" s="82"/>
      <c r="D14" s="82"/>
      <c r="E14" s="23"/>
      <c r="F14" s="23"/>
      <c r="G14" s="23"/>
      <c r="H14" s="23"/>
    </row>
    <row r="15" spans="2:8" x14ac:dyDescent="0.2">
      <c r="B15" s="82"/>
      <c r="C15" s="82"/>
      <c r="D15" s="82"/>
      <c r="E15" s="23"/>
      <c r="F15" s="23"/>
      <c r="G15" s="23"/>
      <c r="H15" s="23"/>
    </row>
    <row r="16" spans="2:8" x14ac:dyDescent="0.2">
      <c r="B16" s="82"/>
      <c r="C16" s="82"/>
      <c r="D16" s="82"/>
      <c r="E16" s="23"/>
      <c r="F16" s="23"/>
      <c r="G16" s="23"/>
      <c r="H16" s="23"/>
    </row>
    <row r="17" spans="2:8" x14ac:dyDescent="0.2">
      <c r="B17" s="82"/>
      <c r="C17" s="82"/>
      <c r="D17" s="82"/>
      <c r="E17" s="23"/>
      <c r="F17" s="23"/>
      <c r="G17" s="23"/>
      <c r="H17" s="23"/>
    </row>
    <row r="18" spans="2:8" x14ac:dyDescent="0.2">
      <c r="B18" s="82"/>
      <c r="C18" s="82"/>
      <c r="D18" s="82"/>
      <c r="E18" s="23"/>
      <c r="F18" s="23"/>
      <c r="G18" s="23"/>
      <c r="H18" s="23"/>
    </row>
    <row r="19" spans="2:8" x14ac:dyDescent="0.2">
      <c r="B19" s="23"/>
      <c r="C19" s="23"/>
      <c r="D19" s="23"/>
      <c r="E19" s="23"/>
      <c r="F19" s="23"/>
      <c r="G19" s="23"/>
      <c r="H19" s="23"/>
    </row>
    <row r="20" spans="2:8" x14ac:dyDescent="0.2">
      <c r="B20" s="23"/>
      <c r="C20" s="23"/>
      <c r="D20" s="23"/>
      <c r="E20" s="23"/>
      <c r="F20" s="23"/>
      <c r="G20" s="23"/>
      <c r="H20" s="23"/>
    </row>
    <row r="21" spans="2:8" x14ac:dyDescent="0.2">
      <c r="B21" s="23"/>
      <c r="C21" s="23"/>
      <c r="D21" s="23"/>
      <c r="E21" s="23"/>
      <c r="F21" s="23"/>
      <c r="G21" s="23"/>
      <c r="H21" s="23"/>
    </row>
    <row r="22" spans="2:8" x14ac:dyDescent="0.2">
      <c r="B22" s="23"/>
      <c r="C22" s="23"/>
      <c r="D22" s="23"/>
      <c r="E22" s="23"/>
      <c r="F22" s="23"/>
      <c r="G22" s="23"/>
      <c r="H22" s="23"/>
    </row>
    <row r="23" spans="2:8" x14ac:dyDescent="0.2">
      <c r="B23" s="23"/>
      <c r="C23" s="23"/>
      <c r="D23" s="23"/>
      <c r="E23" s="23"/>
      <c r="F23" s="23"/>
      <c r="G23" s="23"/>
      <c r="H23" s="23"/>
    </row>
    <row r="24" spans="2:8" x14ac:dyDescent="0.2">
      <c r="B24" s="23"/>
      <c r="C24" s="23"/>
      <c r="D24" s="23"/>
      <c r="E24" s="23"/>
      <c r="F24" s="23"/>
      <c r="G24" s="23"/>
      <c r="H24" s="23"/>
    </row>
    <row r="25" spans="2:8" x14ac:dyDescent="0.2">
      <c r="B25" s="23"/>
      <c r="C25" s="23"/>
      <c r="D25" s="23"/>
      <c r="E25" s="23"/>
      <c r="F25" s="23"/>
      <c r="G25" s="23"/>
      <c r="H25" s="23"/>
    </row>
    <row r="26" spans="2:8" x14ac:dyDescent="0.2">
      <c r="B26" s="23"/>
      <c r="C26" s="23"/>
      <c r="D26" s="23"/>
      <c r="E26" s="23"/>
      <c r="F26" s="23"/>
      <c r="G26" s="23"/>
      <c r="H26" s="23"/>
    </row>
    <row r="27" spans="2:8" x14ac:dyDescent="0.2">
      <c r="B27" s="23"/>
      <c r="C27" s="23"/>
      <c r="D27" s="23"/>
      <c r="E27" s="23"/>
      <c r="F27" s="23"/>
      <c r="G27" s="23"/>
      <c r="H27" s="23"/>
    </row>
    <row r="28" spans="2:8" x14ac:dyDescent="0.2">
      <c r="B28" s="23"/>
      <c r="C28" s="23"/>
      <c r="D28" s="23"/>
      <c r="E28" s="23"/>
      <c r="F28" s="23"/>
      <c r="G28" s="23"/>
      <c r="H28" s="23"/>
    </row>
    <row r="29" spans="2:8" x14ac:dyDescent="0.2">
      <c r="B29" s="23"/>
      <c r="C29" s="23"/>
      <c r="D29" s="23"/>
      <c r="E29" s="23"/>
      <c r="F29" s="23"/>
      <c r="G29" s="23"/>
      <c r="H29" s="23"/>
    </row>
    <row r="30" spans="2:8" x14ac:dyDescent="0.2">
      <c r="B30" s="23"/>
      <c r="C30" s="23"/>
      <c r="D30" s="23"/>
      <c r="E30" s="23"/>
      <c r="F30" s="23"/>
      <c r="G30" s="23"/>
      <c r="H30" s="23"/>
    </row>
    <row r="31" spans="2:8" x14ac:dyDescent="0.2">
      <c r="B31" s="23"/>
      <c r="C31" s="23"/>
      <c r="D31" s="23"/>
      <c r="E31" s="23"/>
      <c r="F31" s="23"/>
      <c r="G31" s="23"/>
      <c r="H31" s="23"/>
    </row>
    <row r="32" spans="2:8" x14ac:dyDescent="0.2">
      <c r="B32" s="23"/>
      <c r="C32" s="23"/>
      <c r="D32" s="23"/>
      <c r="E32" s="23"/>
      <c r="F32" s="23"/>
      <c r="G32" s="23"/>
      <c r="H32" s="23"/>
    </row>
    <row r="33" spans="2:8" x14ac:dyDescent="0.2">
      <c r="B33" s="23"/>
      <c r="C33" s="23"/>
      <c r="D33" s="23"/>
      <c r="E33" s="23"/>
      <c r="F33" s="23"/>
      <c r="G33" s="23"/>
      <c r="H33" s="23"/>
    </row>
    <row r="34" spans="2:8" x14ac:dyDescent="0.2">
      <c r="B34" s="23"/>
      <c r="C34" s="23"/>
      <c r="D34" s="23"/>
      <c r="E34" s="23"/>
      <c r="F34" s="23"/>
      <c r="G34" s="23"/>
      <c r="H34" s="23"/>
    </row>
    <row r="35" spans="2:8" x14ac:dyDescent="0.2">
      <c r="B35" s="23"/>
      <c r="C35" s="23"/>
      <c r="D35" s="23"/>
      <c r="E35" s="23"/>
      <c r="F35" s="23"/>
      <c r="G35" s="23"/>
      <c r="H35" s="23"/>
    </row>
    <row r="36" spans="2:8" x14ac:dyDescent="0.2">
      <c r="B36" s="23"/>
      <c r="C36" s="23"/>
      <c r="D36" s="23"/>
      <c r="E36" s="23"/>
      <c r="F36" s="23"/>
      <c r="G36" s="23"/>
      <c r="H36" s="23"/>
    </row>
  </sheetData>
  <sheetProtection algorithmName="SHA-512" hashValue="wWFzTxGb5a9hAO+jD4P9B2Tv3fJVvxrsbUPrqZHHkRVlYw45gYSZ3UtavjNGp0Nvf+g79LlKc72hC5Hf4hZi4w==" saltValue="cQ1c0dTgY4P8P4L0cii8Uw==" spinCount="100000" sheet="1" selectLockedCells="1"/>
  <mergeCells count="20">
    <mergeCell ref="B10:D10"/>
    <mergeCell ref="B11:D11"/>
    <mergeCell ref="E10:H10"/>
    <mergeCell ref="E11:H11"/>
    <mergeCell ref="E9:H9"/>
    <mergeCell ref="B3:H5"/>
    <mergeCell ref="B6:D6"/>
    <mergeCell ref="B7:D7"/>
    <mergeCell ref="B8:D8"/>
    <mergeCell ref="B9:D9"/>
    <mergeCell ref="E8:H8"/>
    <mergeCell ref="E7:H7"/>
    <mergeCell ref="E6:H6"/>
    <mergeCell ref="B17:D17"/>
    <mergeCell ref="B18:D18"/>
    <mergeCell ref="B12:D12"/>
    <mergeCell ref="B13:D13"/>
    <mergeCell ref="B14:D14"/>
    <mergeCell ref="B15:D15"/>
    <mergeCell ref="B16:D16"/>
  </mergeCells>
  <dataValidations count="3">
    <dataValidation type="list" allowBlank="1" showInputMessage="1" showErrorMessage="1" sqref="E7:H7" xr:uid="{873A261B-ED52-1841-9200-0135A49116BE}">
      <formula1>"FRANGO, POEDEIRA"</formula1>
    </dataValidation>
    <dataValidation allowBlank="1" showInputMessage="1" showErrorMessage="1" promptTitle="IDENTIDADE DO LOTE" prompt="Coloque aqui um ID para identificar o lote que você possui em sua propriedade. Ex: LOTE_001_BOVANS" sqref="E6:H6" xr:uid="{B89BAF78-3A90-C848-9047-E41D61173740}"/>
    <dataValidation allowBlank="1" showInputMessage="1" showErrorMessage="1" promptTitle="Data de Alojamento" prompt="Data referente a chegada dos pintinhos na granja" sqref="E10:H10" xr:uid="{0131EA89-A9E1-D446-85A7-0940C1B66BBC}"/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2C65481-0AB6-674B-BF02-1A47C1850A00}">
          <x14:formula1>
            <xm:f>IF(E7="FRANGO", Suporte_Linhagens!$B$1, Suporte_Linhagens!$A$1:$A$2)</xm:f>
          </x14:formula1>
          <xm:sqref>E8:H8</xm:sqref>
        </x14:dataValidation>
        <x14:dataValidation type="list" allowBlank="1" showInputMessage="1" showErrorMessage="1" xr:uid="{875DAA76-4162-934D-A6D1-FE6B66897F99}">
          <x14:formula1>
            <xm:f>IF(E8="BRANCA", Suporte_Linhagens!$C$1:$C$12, IF(E8="MARROM", Suporte_Linhagens!$D$1:$D$10, Suporte_Linhagens!$E$1:$E$3))</xm:f>
          </x14:formula1>
          <xm:sqref>E9:H9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A6D51-A9ED-F644-8F78-8000CAD2721D}">
  <sheetPr codeName="Planilha5">
    <tabColor theme="5" tint="0.39997558519241921"/>
  </sheetPr>
  <dimension ref="B1:G2281"/>
  <sheetViews>
    <sheetView showGridLines="0" workbookViewId="0"/>
  </sheetViews>
  <sheetFormatPr baseColWidth="10" defaultRowHeight="16" x14ac:dyDescent="0.2"/>
  <cols>
    <col min="1" max="1" width="10.83203125" style="14"/>
    <col min="2" max="2" width="27.83203125" style="14" bestFit="1" customWidth="1"/>
    <col min="3" max="3" width="18.83203125" style="14" bestFit="1" customWidth="1"/>
    <col min="4" max="4" width="23" style="14" customWidth="1"/>
    <col min="5" max="5" width="21" style="21" bestFit="1" customWidth="1"/>
    <col min="6" max="6" width="20.33203125" style="19" bestFit="1" customWidth="1"/>
    <col min="7" max="7" width="9.83203125" style="14" customWidth="1"/>
    <col min="8" max="8" width="25" style="14" bestFit="1" customWidth="1"/>
    <col min="9" max="9" width="18.83203125" style="14" bestFit="1" customWidth="1"/>
    <col min="10" max="16384" width="10.83203125" style="14"/>
  </cols>
  <sheetData>
    <row r="1" spans="2:7" x14ac:dyDescent="0.2">
      <c r="E1" s="18"/>
    </row>
    <row r="2" spans="2:7" ht="18" x14ac:dyDescent="0.2">
      <c r="B2" s="97" t="s">
        <v>112</v>
      </c>
      <c r="C2" s="97"/>
      <c r="D2" s="97"/>
      <c r="E2" s="29" t="s">
        <v>51</v>
      </c>
      <c r="F2" s="41" t="s">
        <v>52</v>
      </c>
      <c r="G2" s="15"/>
    </row>
    <row r="3" spans="2:7" x14ac:dyDescent="0.2">
      <c r="B3" s="31" t="s">
        <v>79</v>
      </c>
      <c r="C3" s="98"/>
      <c r="D3" s="98"/>
      <c r="E3" s="42"/>
      <c r="F3" s="43" t="str">
        <f>IF(E3="", "", IF(AND(E3&gt;='PAINEL DE CONTROLE'!$C$5*(1-CONFIGURAÇÕES!$D$7), E3&lt;='PAINEL DE CONTROLE'!$C$5*(1+CONFIGURAÇÕES!$D$7)), "DENTRO", "FORA"))</f>
        <v/>
      </c>
    </row>
    <row r="4" spans="2:7" x14ac:dyDescent="0.2">
      <c r="B4" s="31" t="s">
        <v>49</v>
      </c>
      <c r="C4" s="99"/>
      <c r="D4" s="99"/>
      <c r="E4" s="42"/>
      <c r="F4" s="43" t="str">
        <f>IF(E4="", "", IF(AND(E4&gt;='PAINEL DE CONTROLE'!$C$5*(1-CONFIGURAÇÕES!$D$7), E4&lt;='PAINEL DE CONTROLE'!$C$5*(1+CONFIGURAÇÕES!$D$7)), "DENTRO", "FORA"))</f>
        <v/>
      </c>
      <c r="G4" s="16"/>
    </row>
    <row r="5" spans="2:7" x14ac:dyDescent="0.2">
      <c r="B5" s="32" t="s">
        <v>80</v>
      </c>
      <c r="C5" s="96" t="str">
        <f>IFERROR(VLOOKUP(C3,Cadastro_Lote!$A$2:$F$59,2,FALSE), "-")</f>
        <v>-</v>
      </c>
      <c r="D5" s="96"/>
      <c r="E5" s="42"/>
      <c r="F5" s="43" t="str">
        <f>IF(E5="", "", IF(AND(E5&gt;='PAINEL DE CONTROLE'!$C$5*(1-CONFIGURAÇÕES!$D$7), E5&lt;='PAINEL DE CONTROLE'!$C$5*(1+CONFIGURAÇÕES!$D$7)), "DENTRO", "FORA"))</f>
        <v/>
      </c>
    </row>
    <row r="6" spans="2:7" x14ac:dyDescent="0.2">
      <c r="B6" s="32" t="s">
        <v>81</v>
      </c>
      <c r="C6" s="96" t="str">
        <f>IFERROR(VLOOKUP(C3,Cadastro_Lote!$A$2:$F$59,4,FALSE), "-")</f>
        <v>-</v>
      </c>
      <c r="D6" s="96"/>
      <c r="E6" s="42"/>
      <c r="F6" s="43" t="str">
        <f>IF(E6="", "", IF(AND(E6&gt;='PAINEL DE CONTROLE'!$C$5*(1-CONFIGURAÇÕES!$D$7), E6&lt;='PAINEL DE CONTROLE'!$C$5*(1+CONFIGURAÇÕES!$D$7)), "DENTRO", "FORA"))</f>
        <v/>
      </c>
    </row>
    <row r="7" spans="2:7" x14ac:dyDescent="0.2">
      <c r="B7" s="32" t="s">
        <v>82</v>
      </c>
      <c r="C7" s="95" t="str">
        <f>IF(OR(C3="",C4=""),"",C4-_xlfn.XLOOKUP(C3,tbl_Cadastro[ID_Lote],tbl_Cadastro[Data de Alojamento]))</f>
        <v/>
      </c>
      <c r="D7" s="95"/>
      <c r="E7" s="42"/>
      <c r="F7" s="43" t="str">
        <f>IF(E7="", "", IF(AND(E7&gt;='PAINEL DE CONTROLE'!$C$5*(1-CONFIGURAÇÕES!$D$7), E7&lt;='PAINEL DE CONTROLE'!$C$5*(1+CONFIGURAÇÕES!$D$7)), "DENTRO", "FORA"))</f>
        <v/>
      </c>
      <c r="G7" s="17"/>
    </row>
    <row r="8" spans="2:7" x14ac:dyDescent="0.2">
      <c r="B8" s="32" t="s">
        <v>83</v>
      </c>
      <c r="C8" s="96" t="str" cm="1">
        <f t="array" ref="C8">IFERROR(
INDEX(tbl_fase[Fase de Criação],
MATCH(1,
(tbl_fase[Categoria]=C5)*
(C7&gt;=tbl_fase[Idade Inicial])*
(C7&lt;=tbl_fase[Idade Final]),
0)),
"")</f>
        <v/>
      </c>
      <c r="D8" s="96"/>
      <c r="E8" s="42"/>
      <c r="F8" s="43" t="str">
        <f>IF(E8="", "", IF(AND(E8&gt;='PAINEL DE CONTROLE'!$C$5*(1-CONFIGURAÇÕES!$D$7), E8&lt;='PAINEL DE CONTROLE'!$C$5*(1+CONFIGURAÇÕES!$D$7)), "DENTRO", "FORA"))</f>
        <v/>
      </c>
    </row>
    <row r="9" spans="2:7" x14ac:dyDescent="0.2">
      <c r="B9" s="32" t="s">
        <v>84</v>
      </c>
      <c r="C9" s="96">
        <f>IFERROR(VLOOKUP(C3,Cadastro_Lote!$A$2:$F$59, 6, FALSE), 0)</f>
        <v>0</v>
      </c>
      <c r="D9" s="96"/>
      <c r="E9" s="42"/>
      <c r="F9" s="43" t="str">
        <f>IF(E9="", "", IF(AND(E9&gt;='PAINEL DE CONTROLE'!$C$5*(1-CONFIGURAÇÕES!$D$7), E9&lt;='PAINEL DE CONTROLE'!$C$5*(1+CONFIGURAÇÕES!$D$7)), "DENTRO", "FORA"))</f>
        <v/>
      </c>
    </row>
    <row r="10" spans="2:7" x14ac:dyDescent="0.2">
      <c r="B10" s="32" t="s">
        <v>85</v>
      </c>
      <c r="C10" s="96">
        <f>IF(C9&gt;0, ROUND(C9*0.01,0), 0)</f>
        <v>0</v>
      </c>
      <c r="D10" s="96"/>
      <c r="E10" s="42"/>
      <c r="F10" s="43" t="str">
        <f>IF(E10="", "", IF(AND(E10&gt;='PAINEL DE CONTROLE'!$C$5*(1-CONFIGURAÇÕES!$D$7), E10&lt;='PAINEL DE CONTROLE'!$C$5*(1+CONFIGURAÇÕES!$D$7)), "DENTRO", "FORA"))</f>
        <v/>
      </c>
    </row>
    <row r="11" spans="2:7" x14ac:dyDescent="0.2">
      <c r="B11" s="44"/>
      <c r="C11" s="44"/>
      <c r="D11" s="44"/>
      <c r="E11" s="42"/>
      <c r="F11" s="43" t="str">
        <f>IF(E11="", "", IF(AND(E11&gt;='PAINEL DE CONTROLE'!$C$5*(1-CONFIGURAÇÕES!$D$7), E11&lt;='PAINEL DE CONTROLE'!$C$5*(1+CONFIGURAÇÕES!$D$7)), "DENTRO", "FORA"))</f>
        <v/>
      </c>
    </row>
    <row r="12" spans="2:7" x14ac:dyDescent="0.2">
      <c r="B12" s="45"/>
      <c r="C12" s="44"/>
      <c r="D12" s="44"/>
      <c r="E12" s="42"/>
      <c r="F12" s="43" t="str">
        <f>IF(E12="", "", IF(AND(E12&gt;='PAINEL DE CONTROLE'!$C$5*(1-CONFIGURAÇÕES!$D$7), E12&lt;='PAINEL DE CONTROLE'!$C$5*(1+CONFIGURAÇÕES!$D$7)), "DENTRO", "FORA"))</f>
        <v/>
      </c>
    </row>
    <row r="13" spans="2:7" x14ac:dyDescent="0.2">
      <c r="B13" s="46"/>
      <c r="C13" s="46"/>
      <c r="D13" s="44"/>
      <c r="E13" s="42"/>
      <c r="F13" s="43" t="str">
        <f>IF(E13="", "", IF(AND(E13&gt;='PAINEL DE CONTROLE'!$C$5*(1-CONFIGURAÇÕES!$D$7), E13&lt;='PAINEL DE CONTROLE'!$C$5*(1+CONFIGURAÇÕES!$D$7)), "DENTRO", "FORA"))</f>
        <v/>
      </c>
    </row>
    <row r="14" spans="2:7" x14ac:dyDescent="0.2">
      <c r="B14" s="47"/>
      <c r="C14" s="48" t="str">
        <f t="shared" ref="C14:C34" si="0">IF(B14="","",IF(AND(B14&gt;=$E$8,B14&lt;=$E$9),"DENTRO","FORA"))</f>
        <v/>
      </c>
      <c r="D14" s="44"/>
      <c r="E14" s="42"/>
      <c r="F14" s="43" t="str">
        <f>IF(E14="", "", IF(AND(E14&gt;='PAINEL DE CONTROLE'!$C$5*(1-CONFIGURAÇÕES!$D$7), E14&lt;='PAINEL DE CONTROLE'!$C$5*(1+CONFIGURAÇÕES!$D$7)), "DENTRO", "FORA"))</f>
        <v/>
      </c>
    </row>
    <row r="15" spans="2:7" x14ac:dyDescent="0.2">
      <c r="B15" s="47"/>
      <c r="C15" s="48" t="str">
        <f t="shared" si="0"/>
        <v/>
      </c>
      <c r="D15" s="44"/>
      <c r="E15" s="42"/>
      <c r="F15" s="43" t="str">
        <f>IF(E15="", "", IF(AND(E15&gt;='PAINEL DE CONTROLE'!$C$5*(1-CONFIGURAÇÕES!$D$7), E15&lt;='PAINEL DE CONTROLE'!$C$5*(1+CONFIGURAÇÕES!$D$7)), "DENTRO", "FORA"))</f>
        <v/>
      </c>
    </row>
    <row r="16" spans="2:7" x14ac:dyDescent="0.2">
      <c r="B16" s="47"/>
      <c r="C16" s="48" t="str">
        <f t="shared" si="0"/>
        <v/>
      </c>
      <c r="D16" s="44"/>
      <c r="E16" s="42"/>
      <c r="F16" s="43" t="str">
        <f>IF(E16="", "", IF(AND(E16&gt;='PAINEL DE CONTROLE'!$C$5*(1-CONFIGURAÇÕES!$D$7), E16&lt;='PAINEL DE CONTROLE'!$C$5*(1+CONFIGURAÇÕES!$D$7)), "DENTRO", "FORA"))</f>
        <v/>
      </c>
    </row>
    <row r="17" spans="2:6" x14ac:dyDescent="0.2">
      <c r="B17" s="47"/>
      <c r="C17" s="48" t="str">
        <f t="shared" si="0"/>
        <v/>
      </c>
      <c r="D17" s="44"/>
      <c r="E17" s="42"/>
      <c r="F17" s="43" t="str">
        <f>IF(E17="", "", IF(AND(E17&gt;='PAINEL DE CONTROLE'!$C$5*(1-CONFIGURAÇÕES!$D$7), E17&lt;='PAINEL DE CONTROLE'!$C$5*(1+CONFIGURAÇÕES!$D$7)), "DENTRO", "FORA"))</f>
        <v/>
      </c>
    </row>
    <row r="18" spans="2:6" x14ac:dyDescent="0.2">
      <c r="B18" s="47"/>
      <c r="C18" s="48" t="str">
        <f t="shared" si="0"/>
        <v/>
      </c>
      <c r="D18" s="44"/>
      <c r="E18" s="42"/>
      <c r="F18" s="43" t="str">
        <f>IF(E18="", "", IF(AND(E18&gt;='PAINEL DE CONTROLE'!$C$5*(1-CONFIGURAÇÕES!$D$7), E18&lt;='PAINEL DE CONTROLE'!$C$5*(1+CONFIGURAÇÕES!$D$7)), "DENTRO", "FORA"))</f>
        <v/>
      </c>
    </row>
    <row r="19" spans="2:6" x14ac:dyDescent="0.2">
      <c r="B19" s="47"/>
      <c r="C19" s="48" t="str">
        <f t="shared" si="0"/>
        <v/>
      </c>
      <c r="D19" s="44"/>
      <c r="E19" s="42"/>
      <c r="F19" s="43" t="str">
        <f>IF(E19="", "", IF(AND(E19&gt;='PAINEL DE CONTROLE'!$C$5*(1-CONFIGURAÇÕES!$D$7), E19&lt;='PAINEL DE CONTROLE'!$C$5*(1+CONFIGURAÇÕES!$D$7)), "DENTRO", "FORA"))</f>
        <v/>
      </c>
    </row>
    <row r="20" spans="2:6" x14ac:dyDescent="0.2">
      <c r="B20" s="47"/>
      <c r="C20" s="48" t="str">
        <f t="shared" si="0"/>
        <v/>
      </c>
      <c r="D20" s="44"/>
      <c r="E20" s="42"/>
      <c r="F20" s="43" t="str">
        <f>IF(E20="", "", IF(AND(E20&gt;='PAINEL DE CONTROLE'!$C$5*(1-CONFIGURAÇÕES!$D$7), E20&lt;='PAINEL DE CONTROLE'!$C$5*(1+CONFIGURAÇÕES!$D$7)), "DENTRO", "FORA"))</f>
        <v/>
      </c>
    </row>
    <row r="21" spans="2:6" x14ac:dyDescent="0.2">
      <c r="B21" s="47"/>
      <c r="C21" s="48" t="str">
        <f t="shared" si="0"/>
        <v/>
      </c>
      <c r="D21" s="44"/>
      <c r="E21" s="42"/>
      <c r="F21" s="43" t="str">
        <f>IF(E21="", "", IF(AND(E21&gt;='PAINEL DE CONTROLE'!$C$5*(1-CONFIGURAÇÕES!$D$7), E21&lt;='PAINEL DE CONTROLE'!$C$5*(1+CONFIGURAÇÕES!$D$7)), "DENTRO", "FORA"))</f>
        <v/>
      </c>
    </row>
    <row r="22" spans="2:6" x14ac:dyDescent="0.2">
      <c r="B22" s="47"/>
      <c r="C22" s="48" t="str">
        <f t="shared" si="0"/>
        <v/>
      </c>
      <c r="D22" s="44"/>
      <c r="E22" s="42"/>
      <c r="F22" s="43" t="str">
        <f>IF(E22="", "", IF(AND(E22&gt;='PAINEL DE CONTROLE'!$C$5*(1-CONFIGURAÇÕES!$D$7), E22&lt;='PAINEL DE CONTROLE'!$C$5*(1+CONFIGURAÇÕES!$D$7)), "DENTRO", "FORA"))</f>
        <v/>
      </c>
    </row>
    <row r="23" spans="2:6" x14ac:dyDescent="0.2">
      <c r="B23" s="47"/>
      <c r="C23" s="48" t="str">
        <f t="shared" si="0"/>
        <v/>
      </c>
      <c r="D23" s="44"/>
      <c r="E23" s="42"/>
      <c r="F23" s="43" t="str">
        <f>IF(E23="", "", IF(AND(E23&gt;='PAINEL DE CONTROLE'!$C$5*(1-CONFIGURAÇÕES!$D$7), E23&lt;='PAINEL DE CONTROLE'!$C$5*(1+CONFIGURAÇÕES!$D$7)), "DENTRO", "FORA"))</f>
        <v/>
      </c>
    </row>
    <row r="24" spans="2:6" x14ac:dyDescent="0.2">
      <c r="B24" s="47"/>
      <c r="C24" s="48" t="str">
        <f t="shared" si="0"/>
        <v/>
      </c>
      <c r="D24" s="44"/>
      <c r="E24" s="42"/>
      <c r="F24" s="43" t="str">
        <f>IF(E24="", "", IF(AND(E24&gt;='PAINEL DE CONTROLE'!$C$5*(1-CONFIGURAÇÕES!$D$7), E24&lt;='PAINEL DE CONTROLE'!$C$5*(1+CONFIGURAÇÕES!$D$7)), "DENTRO", "FORA"))</f>
        <v/>
      </c>
    </row>
    <row r="25" spans="2:6" x14ac:dyDescent="0.2">
      <c r="B25" s="47"/>
      <c r="C25" s="48" t="str">
        <f t="shared" si="0"/>
        <v/>
      </c>
      <c r="D25" s="44"/>
      <c r="E25" s="42"/>
      <c r="F25" s="43" t="str">
        <f>IF(E25="", "", IF(AND(E25&gt;='PAINEL DE CONTROLE'!$C$5*(1-CONFIGURAÇÕES!$D$7), E25&lt;='PAINEL DE CONTROLE'!$C$5*(1+CONFIGURAÇÕES!$D$7)), "DENTRO", "FORA"))</f>
        <v/>
      </c>
    </row>
    <row r="26" spans="2:6" x14ac:dyDescent="0.2">
      <c r="B26" s="47"/>
      <c r="C26" s="48" t="str">
        <f t="shared" si="0"/>
        <v/>
      </c>
      <c r="D26" s="44"/>
      <c r="E26" s="42"/>
      <c r="F26" s="43" t="str">
        <f>IF(E26="", "", IF(AND(E26&gt;='PAINEL DE CONTROLE'!$C$5*(1-CONFIGURAÇÕES!$D$7), E26&lt;='PAINEL DE CONTROLE'!$C$5*(1+CONFIGURAÇÕES!$D$7)), "DENTRO", "FORA"))</f>
        <v/>
      </c>
    </row>
    <row r="27" spans="2:6" x14ac:dyDescent="0.2">
      <c r="B27" s="47"/>
      <c r="C27" s="48" t="str">
        <f t="shared" si="0"/>
        <v/>
      </c>
      <c r="D27" s="44"/>
      <c r="E27" s="42"/>
      <c r="F27" s="43" t="str">
        <f>IF(E27="", "", IF(AND(E27&gt;='PAINEL DE CONTROLE'!$C$5*(1-CONFIGURAÇÕES!$D$7), E27&lt;='PAINEL DE CONTROLE'!$C$5*(1+CONFIGURAÇÕES!$D$7)), "DENTRO", "FORA"))</f>
        <v/>
      </c>
    </row>
    <row r="28" spans="2:6" x14ac:dyDescent="0.2">
      <c r="B28" s="47"/>
      <c r="C28" s="48" t="str">
        <f t="shared" si="0"/>
        <v/>
      </c>
      <c r="D28" s="44"/>
      <c r="E28" s="42"/>
      <c r="F28" s="43" t="str">
        <f>IF(E28="", "", IF(AND(E28&gt;='PAINEL DE CONTROLE'!$C$5*(1-CONFIGURAÇÕES!$D$7), E28&lt;='PAINEL DE CONTROLE'!$C$5*(1+CONFIGURAÇÕES!$D$7)), "DENTRO", "FORA"))</f>
        <v/>
      </c>
    </row>
    <row r="29" spans="2:6" x14ac:dyDescent="0.2">
      <c r="B29" s="47"/>
      <c r="C29" s="48" t="str">
        <f t="shared" si="0"/>
        <v/>
      </c>
      <c r="D29" s="44"/>
      <c r="E29" s="42"/>
      <c r="F29" s="43" t="str">
        <f>IF(E29="", "", IF(AND(E29&gt;='PAINEL DE CONTROLE'!$C$5*(1-CONFIGURAÇÕES!$D$7), E29&lt;='PAINEL DE CONTROLE'!$C$5*(1+CONFIGURAÇÕES!$D$7)), "DENTRO", "FORA"))</f>
        <v/>
      </c>
    </row>
    <row r="30" spans="2:6" x14ac:dyDescent="0.2">
      <c r="B30" s="47"/>
      <c r="C30" s="48" t="str">
        <f t="shared" si="0"/>
        <v/>
      </c>
      <c r="D30" s="44"/>
      <c r="E30" s="42"/>
      <c r="F30" s="43" t="str">
        <f>IF(E30="", "", IF(AND(E30&gt;='PAINEL DE CONTROLE'!$C$5*(1-CONFIGURAÇÕES!$D$7), E30&lt;='PAINEL DE CONTROLE'!$C$5*(1+CONFIGURAÇÕES!$D$7)), "DENTRO", "FORA"))</f>
        <v/>
      </c>
    </row>
    <row r="31" spans="2:6" x14ac:dyDescent="0.2">
      <c r="B31" s="47"/>
      <c r="C31" s="48" t="str">
        <f t="shared" si="0"/>
        <v/>
      </c>
      <c r="D31" s="44"/>
      <c r="E31" s="42"/>
      <c r="F31" s="43" t="str">
        <f>IF(E31="", "", IF(AND(E31&gt;='PAINEL DE CONTROLE'!$C$5*(1-CONFIGURAÇÕES!$D$7), E31&lt;='PAINEL DE CONTROLE'!$C$5*(1+CONFIGURAÇÕES!$D$7)), "DENTRO", "FORA"))</f>
        <v/>
      </c>
    </row>
    <row r="32" spans="2:6" x14ac:dyDescent="0.2">
      <c r="B32" s="47"/>
      <c r="C32" s="48" t="str">
        <f t="shared" si="0"/>
        <v/>
      </c>
      <c r="D32" s="44"/>
      <c r="E32" s="42"/>
      <c r="F32" s="43" t="str">
        <f>IF(E32="", "", IF(AND(E32&gt;='PAINEL DE CONTROLE'!$C$5*(1-CONFIGURAÇÕES!$D$7), E32&lt;='PAINEL DE CONTROLE'!$C$5*(1+CONFIGURAÇÕES!$D$7)), "DENTRO", "FORA"))</f>
        <v/>
      </c>
    </row>
    <row r="33" spans="2:6" x14ac:dyDescent="0.2">
      <c r="B33" s="47"/>
      <c r="C33" s="48" t="str">
        <f t="shared" si="0"/>
        <v/>
      </c>
      <c r="D33" s="44"/>
      <c r="E33" s="42"/>
      <c r="F33" s="43" t="str">
        <f>IF(E33="", "", IF(AND(E33&gt;='PAINEL DE CONTROLE'!$C$5*(1-CONFIGURAÇÕES!$D$7), E33&lt;='PAINEL DE CONTROLE'!$C$5*(1+CONFIGURAÇÕES!$D$7)), "DENTRO", "FORA"))</f>
        <v/>
      </c>
    </row>
    <row r="34" spans="2:6" x14ac:dyDescent="0.2">
      <c r="B34" s="47"/>
      <c r="C34" s="48" t="str">
        <f t="shared" si="0"/>
        <v/>
      </c>
      <c r="D34" s="44"/>
      <c r="E34" s="42"/>
      <c r="F34" s="43" t="str">
        <f>IF(E34="", "", IF(AND(E34&gt;='PAINEL DE CONTROLE'!$C$5*(1-CONFIGURAÇÕES!$D$7), E34&lt;='PAINEL DE CONTROLE'!$C$5*(1+CONFIGURAÇÕES!$D$7)), "DENTRO", "FORA"))</f>
        <v/>
      </c>
    </row>
    <row r="35" spans="2:6" x14ac:dyDescent="0.2">
      <c r="B35" s="47"/>
      <c r="C35" s="48" t="str">
        <f t="shared" ref="C35:C98" si="1">IF(B35="","",IF(AND(B35&gt;=$E$8,B35&lt;=$E$9),"DENTRO","FORA"))</f>
        <v/>
      </c>
      <c r="D35" s="44"/>
      <c r="E35" s="42"/>
      <c r="F35" s="43" t="str">
        <f>IF(E35="", "", IF(AND(E35&gt;='PAINEL DE CONTROLE'!$C$5*(1-CONFIGURAÇÕES!$D$7), E35&lt;='PAINEL DE CONTROLE'!$C$5*(1+CONFIGURAÇÕES!$D$7)), "DENTRO", "FORA"))</f>
        <v/>
      </c>
    </row>
    <row r="36" spans="2:6" x14ac:dyDescent="0.2">
      <c r="B36" s="47"/>
      <c r="C36" s="48" t="str">
        <f t="shared" si="1"/>
        <v/>
      </c>
      <c r="D36" s="44"/>
      <c r="E36" s="42"/>
      <c r="F36" s="43" t="str">
        <f>IF(E36="", "", IF(AND(E36&gt;='PAINEL DE CONTROLE'!$C$5*(1-CONFIGURAÇÕES!$D$7), E36&lt;='PAINEL DE CONTROLE'!$C$5*(1+CONFIGURAÇÕES!$D$7)), "DENTRO", "FORA"))</f>
        <v/>
      </c>
    </row>
    <row r="37" spans="2:6" x14ac:dyDescent="0.2">
      <c r="B37" s="47"/>
      <c r="C37" s="48" t="str">
        <f t="shared" si="1"/>
        <v/>
      </c>
      <c r="D37" s="44"/>
      <c r="E37" s="42"/>
      <c r="F37" s="43" t="str">
        <f>IF(E37="", "", IF(AND(E37&gt;='PAINEL DE CONTROLE'!$C$5*(1-CONFIGURAÇÕES!$D$7), E37&lt;='PAINEL DE CONTROLE'!$C$5*(1+CONFIGURAÇÕES!$D$7)), "DENTRO", "FORA"))</f>
        <v/>
      </c>
    </row>
    <row r="38" spans="2:6" x14ac:dyDescent="0.2">
      <c r="B38" s="47"/>
      <c r="C38" s="48" t="str">
        <f t="shared" si="1"/>
        <v/>
      </c>
      <c r="D38" s="44"/>
      <c r="E38" s="42"/>
      <c r="F38" s="43" t="str">
        <f>IF(E38="", "", IF(AND(E38&gt;='PAINEL DE CONTROLE'!$C$5*(1-CONFIGURAÇÕES!$D$7), E38&lt;='PAINEL DE CONTROLE'!$C$5*(1+CONFIGURAÇÕES!$D$7)), "DENTRO", "FORA"))</f>
        <v/>
      </c>
    </row>
    <row r="39" spans="2:6" x14ac:dyDescent="0.2">
      <c r="B39" s="47"/>
      <c r="C39" s="48" t="str">
        <f t="shared" si="1"/>
        <v/>
      </c>
      <c r="D39" s="44"/>
      <c r="E39" s="42"/>
      <c r="F39" s="43" t="str">
        <f>IF(E39="", "", IF(AND(E39&gt;='PAINEL DE CONTROLE'!$C$5*(1-CONFIGURAÇÕES!$D$7), E39&lt;='PAINEL DE CONTROLE'!$C$5*(1+CONFIGURAÇÕES!$D$7)), "DENTRO", "FORA"))</f>
        <v/>
      </c>
    </row>
    <row r="40" spans="2:6" x14ac:dyDescent="0.2">
      <c r="B40" s="47"/>
      <c r="C40" s="48" t="str">
        <f t="shared" si="1"/>
        <v/>
      </c>
      <c r="D40" s="44"/>
      <c r="E40" s="42"/>
      <c r="F40" s="43" t="str">
        <f>IF(E40="", "", IF(AND(E40&gt;='PAINEL DE CONTROLE'!$C$5*(1-CONFIGURAÇÕES!$D$7), E40&lt;='PAINEL DE CONTROLE'!$C$5*(1+CONFIGURAÇÕES!$D$7)), "DENTRO", "FORA"))</f>
        <v/>
      </c>
    </row>
    <row r="41" spans="2:6" x14ac:dyDescent="0.2">
      <c r="B41" s="47"/>
      <c r="C41" s="48" t="str">
        <f t="shared" si="1"/>
        <v/>
      </c>
      <c r="D41" s="44"/>
      <c r="E41" s="42"/>
      <c r="F41" s="43" t="str">
        <f>IF(E41="", "", IF(AND(E41&gt;='PAINEL DE CONTROLE'!$C$5*(1-CONFIGURAÇÕES!$D$7), E41&lt;='PAINEL DE CONTROLE'!$C$5*(1+CONFIGURAÇÕES!$D$7)), "DENTRO", "FORA"))</f>
        <v/>
      </c>
    </row>
    <row r="42" spans="2:6" x14ac:dyDescent="0.2">
      <c r="B42" s="47"/>
      <c r="C42" s="48" t="str">
        <f t="shared" si="1"/>
        <v/>
      </c>
      <c r="D42" s="44"/>
      <c r="E42" s="42"/>
      <c r="F42" s="43" t="str">
        <f>IF(E42="", "", IF(AND(E42&gt;='PAINEL DE CONTROLE'!$C$5*(1-CONFIGURAÇÕES!$D$7), E42&lt;='PAINEL DE CONTROLE'!$C$5*(1+CONFIGURAÇÕES!$D$7)), "DENTRO", "FORA"))</f>
        <v/>
      </c>
    </row>
    <row r="43" spans="2:6" x14ac:dyDescent="0.2">
      <c r="B43" s="47"/>
      <c r="C43" s="48" t="str">
        <f t="shared" si="1"/>
        <v/>
      </c>
      <c r="D43" s="44"/>
      <c r="E43" s="42"/>
      <c r="F43" s="43" t="str">
        <f>IF(E43="", "", IF(AND(E43&gt;='PAINEL DE CONTROLE'!$C$5*(1-CONFIGURAÇÕES!$D$7), E43&lt;='PAINEL DE CONTROLE'!$C$5*(1+CONFIGURAÇÕES!$D$7)), "DENTRO", "FORA"))</f>
        <v/>
      </c>
    </row>
    <row r="44" spans="2:6" x14ac:dyDescent="0.2">
      <c r="B44" s="47"/>
      <c r="C44" s="48" t="str">
        <f t="shared" si="1"/>
        <v/>
      </c>
      <c r="D44" s="44"/>
      <c r="E44" s="42"/>
      <c r="F44" s="43" t="str">
        <f>IF(E44="", "", IF(AND(E44&gt;='PAINEL DE CONTROLE'!$C$5*(1-CONFIGURAÇÕES!$D$7), E44&lt;='PAINEL DE CONTROLE'!$C$5*(1+CONFIGURAÇÕES!$D$7)), "DENTRO", "FORA"))</f>
        <v/>
      </c>
    </row>
    <row r="45" spans="2:6" x14ac:dyDescent="0.2">
      <c r="B45" s="47"/>
      <c r="C45" s="48" t="str">
        <f t="shared" si="1"/>
        <v/>
      </c>
      <c r="D45" s="44"/>
      <c r="E45" s="42"/>
      <c r="F45" s="43" t="str">
        <f>IF(E45="", "", IF(AND(E45&gt;='PAINEL DE CONTROLE'!$C$5*(1-CONFIGURAÇÕES!$D$7), E45&lt;='PAINEL DE CONTROLE'!$C$5*(1+CONFIGURAÇÕES!$D$7)), "DENTRO", "FORA"))</f>
        <v/>
      </c>
    </row>
    <row r="46" spans="2:6" x14ac:dyDescent="0.2">
      <c r="B46" s="47"/>
      <c r="C46" s="48" t="str">
        <f t="shared" si="1"/>
        <v/>
      </c>
      <c r="D46" s="44"/>
      <c r="E46" s="42"/>
      <c r="F46" s="43" t="str">
        <f>IF(E46="", "", IF(AND(E46&gt;='PAINEL DE CONTROLE'!$C$5*(1-CONFIGURAÇÕES!$D$7), E46&lt;='PAINEL DE CONTROLE'!$C$5*(1+CONFIGURAÇÕES!$D$7)), "DENTRO", "FORA"))</f>
        <v/>
      </c>
    </row>
    <row r="47" spans="2:6" x14ac:dyDescent="0.2">
      <c r="B47" s="47"/>
      <c r="C47" s="48" t="str">
        <f t="shared" si="1"/>
        <v/>
      </c>
      <c r="D47" s="44"/>
      <c r="E47" s="42"/>
      <c r="F47" s="43" t="str">
        <f>IF(E47="", "", IF(AND(E47&gt;='PAINEL DE CONTROLE'!$C$5*(1-CONFIGURAÇÕES!$D$7), E47&lt;='PAINEL DE CONTROLE'!$C$5*(1+CONFIGURAÇÕES!$D$7)), "DENTRO", "FORA"))</f>
        <v/>
      </c>
    </row>
    <row r="48" spans="2:6" x14ac:dyDescent="0.2">
      <c r="B48" s="47"/>
      <c r="C48" s="48" t="str">
        <f t="shared" si="1"/>
        <v/>
      </c>
      <c r="D48" s="44"/>
      <c r="E48" s="42"/>
      <c r="F48" s="43" t="str">
        <f>IF(E48="", "", IF(AND(E48&gt;='PAINEL DE CONTROLE'!$C$5*(1-CONFIGURAÇÕES!$D$7), E48&lt;='PAINEL DE CONTROLE'!$C$5*(1+CONFIGURAÇÕES!$D$7)), "DENTRO", "FORA"))</f>
        <v/>
      </c>
    </row>
    <row r="49" spans="2:6" x14ac:dyDescent="0.2">
      <c r="B49" s="47"/>
      <c r="C49" s="48" t="str">
        <f t="shared" si="1"/>
        <v/>
      </c>
      <c r="D49" s="44"/>
      <c r="E49" s="42"/>
      <c r="F49" s="43" t="str">
        <f>IF(E49="", "", IF(AND(E49&gt;='PAINEL DE CONTROLE'!$C$5*(1-CONFIGURAÇÕES!$D$7), E49&lt;='PAINEL DE CONTROLE'!$C$5*(1+CONFIGURAÇÕES!$D$7)), "DENTRO", "FORA"))</f>
        <v/>
      </c>
    </row>
    <row r="50" spans="2:6" x14ac:dyDescent="0.2">
      <c r="B50" s="47"/>
      <c r="C50" s="48" t="str">
        <f t="shared" si="1"/>
        <v/>
      </c>
      <c r="D50" s="44"/>
      <c r="E50" s="42"/>
      <c r="F50" s="43" t="str">
        <f>IF(E50="", "", IF(AND(E50&gt;='PAINEL DE CONTROLE'!$C$5*(1-CONFIGURAÇÕES!$D$7), E50&lt;='PAINEL DE CONTROLE'!$C$5*(1+CONFIGURAÇÕES!$D$7)), "DENTRO", "FORA"))</f>
        <v/>
      </c>
    </row>
    <row r="51" spans="2:6" x14ac:dyDescent="0.2">
      <c r="B51" s="47"/>
      <c r="C51" s="48" t="str">
        <f t="shared" si="1"/>
        <v/>
      </c>
      <c r="D51" s="44"/>
      <c r="E51" s="42"/>
      <c r="F51" s="43" t="str">
        <f>IF(E51="", "", IF(AND(E51&gt;='PAINEL DE CONTROLE'!$C$5*(1-CONFIGURAÇÕES!$D$7), E51&lt;='PAINEL DE CONTROLE'!$C$5*(1+CONFIGURAÇÕES!$D$7)), "DENTRO", "FORA"))</f>
        <v/>
      </c>
    </row>
    <row r="52" spans="2:6" x14ac:dyDescent="0.2">
      <c r="B52" s="47"/>
      <c r="C52" s="48" t="str">
        <f t="shared" si="1"/>
        <v/>
      </c>
      <c r="D52" s="44"/>
      <c r="E52" s="42"/>
      <c r="F52" s="43" t="str">
        <f>IF(E52="", "", IF(AND(E52&gt;='PAINEL DE CONTROLE'!$C$5*(1-CONFIGURAÇÕES!$D$7), E52&lt;='PAINEL DE CONTROLE'!$C$5*(1+CONFIGURAÇÕES!$D$7)), "DENTRO", "FORA"))</f>
        <v/>
      </c>
    </row>
    <row r="53" spans="2:6" x14ac:dyDescent="0.2">
      <c r="B53" s="47"/>
      <c r="C53" s="48" t="str">
        <f t="shared" si="1"/>
        <v/>
      </c>
      <c r="D53" s="44"/>
      <c r="E53" s="42"/>
      <c r="F53" s="43" t="str">
        <f>IF(E53="", "", IF(AND(E53&gt;='PAINEL DE CONTROLE'!$C$5*(1-CONFIGURAÇÕES!$D$7), E53&lt;='PAINEL DE CONTROLE'!$C$5*(1+CONFIGURAÇÕES!$D$7)), "DENTRO", "FORA"))</f>
        <v/>
      </c>
    </row>
    <row r="54" spans="2:6" x14ac:dyDescent="0.2">
      <c r="B54" s="47"/>
      <c r="C54" s="48" t="str">
        <f t="shared" si="1"/>
        <v/>
      </c>
      <c r="D54" s="44"/>
      <c r="E54" s="42"/>
      <c r="F54" s="43" t="str">
        <f>IF(E54="", "", IF(AND(E54&gt;='PAINEL DE CONTROLE'!$C$5*(1-CONFIGURAÇÕES!$D$7), E54&lt;='PAINEL DE CONTROLE'!$C$5*(1+CONFIGURAÇÕES!$D$7)), "DENTRO", "FORA"))</f>
        <v/>
      </c>
    </row>
    <row r="55" spans="2:6" x14ac:dyDescent="0.2">
      <c r="B55" s="47"/>
      <c r="C55" s="48" t="str">
        <f t="shared" si="1"/>
        <v/>
      </c>
      <c r="D55" s="44"/>
      <c r="E55" s="42"/>
      <c r="F55" s="43" t="str">
        <f>IF(E55="", "", IF(AND(E55&gt;='PAINEL DE CONTROLE'!$C$5*(1-CONFIGURAÇÕES!$D$7), E55&lt;='PAINEL DE CONTROLE'!$C$5*(1+CONFIGURAÇÕES!$D$7)), "DENTRO", "FORA"))</f>
        <v/>
      </c>
    </row>
    <row r="56" spans="2:6" x14ac:dyDescent="0.2">
      <c r="B56" s="47"/>
      <c r="C56" s="48" t="str">
        <f t="shared" si="1"/>
        <v/>
      </c>
      <c r="D56" s="44"/>
      <c r="E56" s="42"/>
      <c r="F56" s="43" t="str">
        <f>IF(E56="", "", IF(AND(E56&gt;='PAINEL DE CONTROLE'!$C$5*(1-CONFIGURAÇÕES!$D$7), E56&lt;='PAINEL DE CONTROLE'!$C$5*(1+CONFIGURAÇÕES!$D$7)), "DENTRO", "FORA"))</f>
        <v/>
      </c>
    </row>
    <row r="57" spans="2:6" x14ac:dyDescent="0.2">
      <c r="B57" s="47"/>
      <c r="C57" s="48" t="str">
        <f t="shared" si="1"/>
        <v/>
      </c>
      <c r="D57" s="44"/>
      <c r="E57" s="42"/>
      <c r="F57" s="43" t="str">
        <f>IF(E57="", "", IF(AND(E57&gt;='PAINEL DE CONTROLE'!$C$5*(1-CONFIGURAÇÕES!$D$7), E57&lt;='PAINEL DE CONTROLE'!$C$5*(1+CONFIGURAÇÕES!$D$7)), "DENTRO", "FORA"))</f>
        <v/>
      </c>
    </row>
    <row r="58" spans="2:6" x14ac:dyDescent="0.2">
      <c r="B58" s="47"/>
      <c r="C58" s="48" t="str">
        <f t="shared" si="1"/>
        <v/>
      </c>
      <c r="D58" s="44"/>
      <c r="E58" s="42"/>
      <c r="F58" s="43" t="str">
        <f>IF(E58="", "", IF(AND(E58&gt;='PAINEL DE CONTROLE'!$C$5*(1-CONFIGURAÇÕES!$D$7), E58&lt;='PAINEL DE CONTROLE'!$C$5*(1+CONFIGURAÇÕES!$D$7)), "DENTRO", "FORA"))</f>
        <v/>
      </c>
    </row>
    <row r="59" spans="2:6" x14ac:dyDescent="0.2">
      <c r="B59" s="47"/>
      <c r="C59" s="48" t="str">
        <f t="shared" si="1"/>
        <v/>
      </c>
      <c r="D59" s="44"/>
      <c r="E59" s="42"/>
      <c r="F59" s="43" t="str">
        <f>IF(E59="", "", IF(AND(E59&gt;='PAINEL DE CONTROLE'!$C$5*(1-CONFIGURAÇÕES!$D$7), E59&lt;='PAINEL DE CONTROLE'!$C$5*(1+CONFIGURAÇÕES!$D$7)), "DENTRO", "FORA"))</f>
        <v/>
      </c>
    </row>
    <row r="60" spans="2:6" x14ac:dyDescent="0.2">
      <c r="B60" s="47"/>
      <c r="C60" s="48" t="str">
        <f t="shared" si="1"/>
        <v/>
      </c>
      <c r="D60" s="44"/>
      <c r="E60" s="42"/>
      <c r="F60" s="43" t="str">
        <f>IF(E60="", "", IF(AND(E60&gt;='PAINEL DE CONTROLE'!$C$5*(1-CONFIGURAÇÕES!$D$7), E60&lt;='PAINEL DE CONTROLE'!$C$5*(1+CONFIGURAÇÕES!$D$7)), "DENTRO", "FORA"))</f>
        <v/>
      </c>
    </row>
    <row r="61" spans="2:6" x14ac:dyDescent="0.2">
      <c r="B61" s="47"/>
      <c r="C61" s="48" t="str">
        <f t="shared" si="1"/>
        <v/>
      </c>
      <c r="D61" s="44"/>
      <c r="E61" s="42"/>
      <c r="F61" s="43" t="str">
        <f>IF(E61="", "", IF(AND(E61&gt;='PAINEL DE CONTROLE'!$C$5*(1-CONFIGURAÇÕES!$D$7), E61&lt;='PAINEL DE CONTROLE'!$C$5*(1+CONFIGURAÇÕES!$D$7)), "DENTRO", "FORA"))</f>
        <v/>
      </c>
    </row>
    <row r="62" spans="2:6" x14ac:dyDescent="0.2">
      <c r="B62" s="47"/>
      <c r="C62" s="48" t="str">
        <f t="shared" si="1"/>
        <v/>
      </c>
      <c r="D62" s="44"/>
      <c r="E62" s="42"/>
      <c r="F62" s="43" t="str">
        <f>IF(E62="", "", IF(AND(E62&gt;='PAINEL DE CONTROLE'!$C$5*(1-CONFIGURAÇÕES!$D$7), E62&lt;='PAINEL DE CONTROLE'!$C$5*(1+CONFIGURAÇÕES!$D$7)), "DENTRO", "FORA"))</f>
        <v/>
      </c>
    </row>
    <row r="63" spans="2:6" x14ac:dyDescent="0.2">
      <c r="B63" s="47"/>
      <c r="C63" s="48" t="str">
        <f t="shared" si="1"/>
        <v/>
      </c>
      <c r="D63" s="44"/>
      <c r="E63" s="42"/>
      <c r="F63" s="43" t="str">
        <f>IF(E63="", "", IF(AND(E63&gt;='PAINEL DE CONTROLE'!$C$5*(1-CONFIGURAÇÕES!$D$7), E63&lt;='PAINEL DE CONTROLE'!$C$5*(1+CONFIGURAÇÕES!$D$7)), "DENTRO", "FORA"))</f>
        <v/>
      </c>
    </row>
    <row r="64" spans="2:6" x14ac:dyDescent="0.2">
      <c r="B64" s="47"/>
      <c r="C64" s="48" t="str">
        <f t="shared" si="1"/>
        <v/>
      </c>
      <c r="D64" s="44"/>
      <c r="E64" s="42"/>
      <c r="F64" s="43" t="str">
        <f>IF(E64="", "", IF(AND(E64&gt;='PAINEL DE CONTROLE'!$C$5*(1-CONFIGURAÇÕES!$D$7), E64&lt;='PAINEL DE CONTROLE'!$C$5*(1+CONFIGURAÇÕES!$D$7)), "DENTRO", "FORA"))</f>
        <v/>
      </c>
    </row>
    <row r="65" spans="2:6" x14ac:dyDescent="0.2">
      <c r="B65" s="47"/>
      <c r="C65" s="48" t="str">
        <f t="shared" si="1"/>
        <v/>
      </c>
      <c r="D65" s="44"/>
      <c r="E65" s="42"/>
      <c r="F65" s="43" t="str">
        <f>IF(E65="", "", IF(AND(E65&gt;='PAINEL DE CONTROLE'!$C$5*(1-CONFIGURAÇÕES!$D$7), E65&lt;='PAINEL DE CONTROLE'!$C$5*(1+CONFIGURAÇÕES!$D$7)), "DENTRO", "FORA"))</f>
        <v/>
      </c>
    </row>
    <row r="66" spans="2:6" x14ac:dyDescent="0.2">
      <c r="B66" s="47"/>
      <c r="C66" s="48" t="str">
        <f t="shared" si="1"/>
        <v/>
      </c>
      <c r="D66" s="44"/>
      <c r="E66" s="42"/>
      <c r="F66" s="43" t="str">
        <f>IF(E66="", "", IF(AND(E66&gt;='PAINEL DE CONTROLE'!$C$5*(1-CONFIGURAÇÕES!$D$7), E66&lt;='PAINEL DE CONTROLE'!$C$5*(1+CONFIGURAÇÕES!$D$7)), "DENTRO", "FORA"))</f>
        <v/>
      </c>
    </row>
    <row r="67" spans="2:6" x14ac:dyDescent="0.2">
      <c r="B67" s="47"/>
      <c r="C67" s="48" t="str">
        <f t="shared" si="1"/>
        <v/>
      </c>
      <c r="D67" s="44"/>
      <c r="E67" s="42"/>
      <c r="F67" s="43" t="str">
        <f>IF(E67="", "", IF(AND(E67&gt;='PAINEL DE CONTROLE'!$C$5*(1-CONFIGURAÇÕES!$D$7), E67&lt;='PAINEL DE CONTROLE'!$C$5*(1+CONFIGURAÇÕES!$D$7)), "DENTRO", "FORA"))</f>
        <v/>
      </c>
    </row>
    <row r="68" spans="2:6" x14ac:dyDescent="0.2">
      <c r="B68" s="47"/>
      <c r="C68" s="48" t="str">
        <f t="shared" si="1"/>
        <v/>
      </c>
      <c r="D68" s="44"/>
      <c r="E68" s="42"/>
      <c r="F68" s="43" t="str">
        <f>IF(E68="", "", IF(AND(E68&gt;='PAINEL DE CONTROLE'!$C$5*(1-CONFIGURAÇÕES!$D$7), E68&lt;='PAINEL DE CONTROLE'!$C$5*(1+CONFIGURAÇÕES!$D$7)), "DENTRO", "FORA"))</f>
        <v/>
      </c>
    </row>
    <row r="69" spans="2:6" x14ac:dyDescent="0.2">
      <c r="B69" s="47"/>
      <c r="C69" s="48" t="str">
        <f t="shared" si="1"/>
        <v/>
      </c>
      <c r="D69" s="44"/>
      <c r="E69" s="42"/>
      <c r="F69" s="43" t="str">
        <f>IF(E69="", "", IF(AND(E69&gt;='PAINEL DE CONTROLE'!$C$5*(1-CONFIGURAÇÕES!$D$7), E69&lt;='PAINEL DE CONTROLE'!$C$5*(1+CONFIGURAÇÕES!$D$7)), "DENTRO", "FORA"))</f>
        <v/>
      </c>
    </row>
    <row r="70" spans="2:6" x14ac:dyDescent="0.2">
      <c r="B70" s="47"/>
      <c r="C70" s="48" t="str">
        <f t="shared" si="1"/>
        <v/>
      </c>
      <c r="D70" s="44"/>
      <c r="E70" s="42"/>
      <c r="F70" s="43" t="str">
        <f>IF(E70="", "", IF(AND(E70&gt;='PAINEL DE CONTROLE'!$C$5*(1-CONFIGURAÇÕES!$D$7), E70&lt;='PAINEL DE CONTROLE'!$C$5*(1+CONFIGURAÇÕES!$D$7)), "DENTRO", "FORA"))</f>
        <v/>
      </c>
    </row>
    <row r="71" spans="2:6" x14ac:dyDescent="0.2">
      <c r="B71" s="47"/>
      <c r="C71" s="48" t="str">
        <f t="shared" si="1"/>
        <v/>
      </c>
      <c r="D71" s="44"/>
      <c r="E71" s="42"/>
      <c r="F71" s="43" t="str">
        <f>IF(E71="", "", IF(AND(E71&gt;='PAINEL DE CONTROLE'!$C$5*(1-CONFIGURAÇÕES!$D$7), E71&lt;='PAINEL DE CONTROLE'!$C$5*(1+CONFIGURAÇÕES!$D$7)), "DENTRO", "FORA"))</f>
        <v/>
      </c>
    </row>
    <row r="72" spans="2:6" x14ac:dyDescent="0.2">
      <c r="B72" s="47"/>
      <c r="C72" s="48" t="str">
        <f t="shared" si="1"/>
        <v/>
      </c>
      <c r="D72" s="44"/>
      <c r="E72" s="42"/>
      <c r="F72" s="43" t="str">
        <f>IF(E72="", "", IF(AND(E72&gt;='PAINEL DE CONTROLE'!$C$5*(1-CONFIGURAÇÕES!$D$7), E72&lt;='PAINEL DE CONTROLE'!$C$5*(1+CONFIGURAÇÕES!$D$7)), "DENTRO", "FORA"))</f>
        <v/>
      </c>
    </row>
    <row r="73" spans="2:6" x14ac:dyDescent="0.2">
      <c r="B73" s="47"/>
      <c r="C73" s="48" t="str">
        <f t="shared" si="1"/>
        <v/>
      </c>
      <c r="D73" s="44"/>
      <c r="E73" s="42"/>
      <c r="F73" s="43" t="str">
        <f>IF(E73="", "", IF(AND(E73&gt;='PAINEL DE CONTROLE'!$C$5*(1-CONFIGURAÇÕES!$D$7), E73&lt;='PAINEL DE CONTROLE'!$C$5*(1+CONFIGURAÇÕES!$D$7)), "DENTRO", "FORA"))</f>
        <v/>
      </c>
    </row>
    <row r="74" spans="2:6" x14ac:dyDescent="0.2">
      <c r="B74" s="47"/>
      <c r="C74" s="48" t="str">
        <f t="shared" si="1"/>
        <v/>
      </c>
      <c r="D74" s="44"/>
      <c r="E74" s="42"/>
      <c r="F74" s="43" t="str">
        <f>IF(E74="", "", IF(AND(E74&gt;='PAINEL DE CONTROLE'!$C$5*(1-CONFIGURAÇÕES!$D$7), E74&lt;='PAINEL DE CONTROLE'!$C$5*(1+CONFIGURAÇÕES!$D$7)), "DENTRO", "FORA"))</f>
        <v/>
      </c>
    </row>
    <row r="75" spans="2:6" x14ac:dyDescent="0.2">
      <c r="B75" s="47"/>
      <c r="C75" s="48" t="str">
        <f t="shared" si="1"/>
        <v/>
      </c>
      <c r="D75" s="44"/>
      <c r="E75" s="42"/>
      <c r="F75" s="43" t="str">
        <f>IF(E75="", "", IF(AND(E75&gt;='PAINEL DE CONTROLE'!$C$5*(1-CONFIGURAÇÕES!$D$7), E75&lt;='PAINEL DE CONTROLE'!$C$5*(1+CONFIGURAÇÕES!$D$7)), "DENTRO", "FORA"))</f>
        <v/>
      </c>
    </row>
    <row r="76" spans="2:6" x14ac:dyDescent="0.2">
      <c r="B76" s="47"/>
      <c r="C76" s="48" t="str">
        <f t="shared" si="1"/>
        <v/>
      </c>
      <c r="D76" s="44"/>
      <c r="E76" s="42"/>
      <c r="F76" s="43" t="str">
        <f>IF(E76="", "", IF(AND(E76&gt;='PAINEL DE CONTROLE'!$C$5*(1-CONFIGURAÇÕES!$D$7), E76&lt;='PAINEL DE CONTROLE'!$C$5*(1+CONFIGURAÇÕES!$D$7)), "DENTRO", "FORA"))</f>
        <v/>
      </c>
    </row>
    <row r="77" spans="2:6" x14ac:dyDescent="0.2">
      <c r="B77" s="47"/>
      <c r="C77" s="48" t="str">
        <f t="shared" si="1"/>
        <v/>
      </c>
      <c r="D77" s="44"/>
      <c r="E77" s="42"/>
      <c r="F77" s="43" t="str">
        <f>IF(E77="", "", IF(AND(E77&gt;='PAINEL DE CONTROLE'!$C$5*(1-CONFIGURAÇÕES!$D$7), E77&lt;='PAINEL DE CONTROLE'!$C$5*(1+CONFIGURAÇÕES!$D$7)), "DENTRO", "FORA"))</f>
        <v/>
      </c>
    </row>
    <row r="78" spans="2:6" x14ac:dyDescent="0.2">
      <c r="B78" s="47"/>
      <c r="C78" s="48" t="str">
        <f t="shared" si="1"/>
        <v/>
      </c>
      <c r="D78" s="44"/>
      <c r="E78" s="42"/>
      <c r="F78" s="43" t="str">
        <f>IF(E78="", "", IF(AND(E78&gt;='PAINEL DE CONTROLE'!$C$5*(1-CONFIGURAÇÕES!$D$7), E78&lt;='PAINEL DE CONTROLE'!$C$5*(1+CONFIGURAÇÕES!$D$7)), "DENTRO", "FORA"))</f>
        <v/>
      </c>
    </row>
    <row r="79" spans="2:6" x14ac:dyDescent="0.2">
      <c r="B79" s="47"/>
      <c r="C79" s="48" t="str">
        <f t="shared" si="1"/>
        <v/>
      </c>
      <c r="D79" s="44"/>
      <c r="E79" s="42"/>
      <c r="F79" s="43" t="str">
        <f>IF(E79="", "", IF(AND(E79&gt;='PAINEL DE CONTROLE'!$C$5*(1-CONFIGURAÇÕES!$D$7), E79&lt;='PAINEL DE CONTROLE'!$C$5*(1+CONFIGURAÇÕES!$D$7)), "DENTRO", "FORA"))</f>
        <v/>
      </c>
    </row>
    <row r="80" spans="2:6" x14ac:dyDescent="0.2">
      <c r="B80" s="47"/>
      <c r="C80" s="48" t="str">
        <f t="shared" si="1"/>
        <v/>
      </c>
      <c r="D80" s="44"/>
      <c r="E80" s="42"/>
      <c r="F80" s="43" t="str">
        <f>IF(E80="", "", IF(AND(E80&gt;='PAINEL DE CONTROLE'!$C$5*(1-CONFIGURAÇÕES!$D$7), E80&lt;='PAINEL DE CONTROLE'!$C$5*(1+CONFIGURAÇÕES!$D$7)), "DENTRO", "FORA"))</f>
        <v/>
      </c>
    </row>
    <row r="81" spans="2:6" x14ac:dyDescent="0.2">
      <c r="B81" s="47"/>
      <c r="C81" s="48" t="str">
        <f t="shared" si="1"/>
        <v/>
      </c>
      <c r="D81" s="44"/>
      <c r="E81" s="42"/>
      <c r="F81" s="43" t="str">
        <f>IF(E81="", "", IF(AND(E81&gt;='PAINEL DE CONTROLE'!$C$5*(1-CONFIGURAÇÕES!$D$7), E81&lt;='PAINEL DE CONTROLE'!$C$5*(1+CONFIGURAÇÕES!$D$7)), "DENTRO", "FORA"))</f>
        <v/>
      </c>
    </row>
    <row r="82" spans="2:6" x14ac:dyDescent="0.2">
      <c r="B82" s="47"/>
      <c r="C82" s="48" t="str">
        <f t="shared" si="1"/>
        <v/>
      </c>
      <c r="D82" s="44"/>
      <c r="E82" s="42"/>
      <c r="F82" s="43" t="str">
        <f>IF(E82="", "", IF(AND(E82&gt;='PAINEL DE CONTROLE'!$C$5*(1-CONFIGURAÇÕES!$D$7), E82&lt;='PAINEL DE CONTROLE'!$C$5*(1+CONFIGURAÇÕES!$D$7)), "DENTRO", "FORA"))</f>
        <v/>
      </c>
    </row>
    <row r="83" spans="2:6" x14ac:dyDescent="0.2">
      <c r="B83" s="47"/>
      <c r="C83" s="48" t="str">
        <f t="shared" si="1"/>
        <v/>
      </c>
      <c r="D83" s="44"/>
      <c r="E83" s="42"/>
      <c r="F83" s="43" t="str">
        <f>IF(E83="", "", IF(AND(E83&gt;='PAINEL DE CONTROLE'!$C$5*(1-CONFIGURAÇÕES!$D$7), E83&lt;='PAINEL DE CONTROLE'!$C$5*(1+CONFIGURAÇÕES!$D$7)), "DENTRO", "FORA"))</f>
        <v/>
      </c>
    </row>
    <row r="84" spans="2:6" x14ac:dyDescent="0.2">
      <c r="B84" s="47"/>
      <c r="C84" s="48" t="str">
        <f t="shared" si="1"/>
        <v/>
      </c>
      <c r="D84" s="44"/>
      <c r="E84" s="42"/>
      <c r="F84" s="43" t="str">
        <f>IF(E84="", "", IF(AND(E84&gt;='PAINEL DE CONTROLE'!$C$5*(1-CONFIGURAÇÕES!$D$7), E84&lt;='PAINEL DE CONTROLE'!$C$5*(1+CONFIGURAÇÕES!$D$7)), "DENTRO", "FORA"))</f>
        <v/>
      </c>
    </row>
    <row r="85" spans="2:6" x14ac:dyDescent="0.2">
      <c r="B85" s="47"/>
      <c r="C85" s="48" t="str">
        <f t="shared" si="1"/>
        <v/>
      </c>
      <c r="D85" s="44"/>
      <c r="E85" s="42"/>
      <c r="F85" s="43" t="str">
        <f>IF(E85="", "", IF(AND(E85&gt;='PAINEL DE CONTROLE'!$C$5*(1-CONFIGURAÇÕES!$D$7), E85&lt;='PAINEL DE CONTROLE'!$C$5*(1+CONFIGURAÇÕES!$D$7)), "DENTRO", "FORA"))</f>
        <v/>
      </c>
    </row>
    <row r="86" spans="2:6" x14ac:dyDescent="0.2">
      <c r="B86" s="47"/>
      <c r="C86" s="48" t="str">
        <f t="shared" si="1"/>
        <v/>
      </c>
      <c r="D86" s="44"/>
      <c r="E86" s="42"/>
      <c r="F86" s="43" t="str">
        <f>IF(E86="", "", IF(AND(E86&gt;='PAINEL DE CONTROLE'!$C$5*(1-CONFIGURAÇÕES!$D$7), E86&lt;='PAINEL DE CONTROLE'!$C$5*(1+CONFIGURAÇÕES!$D$7)), "DENTRO", "FORA"))</f>
        <v/>
      </c>
    </row>
    <row r="87" spans="2:6" x14ac:dyDescent="0.2">
      <c r="B87" s="47"/>
      <c r="C87" s="48" t="str">
        <f t="shared" si="1"/>
        <v/>
      </c>
      <c r="D87" s="44"/>
      <c r="E87" s="42"/>
      <c r="F87" s="43" t="str">
        <f>IF(E87="", "", IF(AND(E87&gt;='PAINEL DE CONTROLE'!$C$5*(1-CONFIGURAÇÕES!$D$7), E87&lt;='PAINEL DE CONTROLE'!$C$5*(1+CONFIGURAÇÕES!$D$7)), "DENTRO", "FORA"))</f>
        <v/>
      </c>
    </row>
    <row r="88" spans="2:6" x14ac:dyDescent="0.2">
      <c r="B88" s="47"/>
      <c r="C88" s="48" t="str">
        <f t="shared" si="1"/>
        <v/>
      </c>
      <c r="D88" s="44"/>
      <c r="E88" s="42"/>
      <c r="F88" s="43" t="str">
        <f>IF(E88="", "", IF(AND(E88&gt;='PAINEL DE CONTROLE'!$C$5*(1-CONFIGURAÇÕES!$D$7), E88&lt;='PAINEL DE CONTROLE'!$C$5*(1+CONFIGURAÇÕES!$D$7)), "DENTRO", "FORA"))</f>
        <v/>
      </c>
    </row>
    <row r="89" spans="2:6" x14ac:dyDescent="0.2">
      <c r="B89" s="47"/>
      <c r="C89" s="48" t="str">
        <f t="shared" si="1"/>
        <v/>
      </c>
      <c r="D89" s="44"/>
      <c r="E89" s="42"/>
      <c r="F89" s="43" t="str">
        <f>IF(E89="", "", IF(AND(E89&gt;='PAINEL DE CONTROLE'!$C$5*(1-CONFIGURAÇÕES!$D$7), E89&lt;='PAINEL DE CONTROLE'!$C$5*(1+CONFIGURAÇÕES!$D$7)), "DENTRO", "FORA"))</f>
        <v/>
      </c>
    </row>
    <row r="90" spans="2:6" x14ac:dyDescent="0.2">
      <c r="B90" s="47"/>
      <c r="C90" s="48" t="str">
        <f t="shared" si="1"/>
        <v/>
      </c>
      <c r="D90" s="44"/>
      <c r="E90" s="42"/>
      <c r="F90" s="43" t="str">
        <f>IF(E90="", "", IF(AND(E90&gt;='PAINEL DE CONTROLE'!$C$5*(1-CONFIGURAÇÕES!$D$7), E90&lt;='PAINEL DE CONTROLE'!$C$5*(1+CONFIGURAÇÕES!$D$7)), "DENTRO", "FORA"))</f>
        <v/>
      </c>
    </row>
    <row r="91" spans="2:6" x14ac:dyDescent="0.2">
      <c r="B91" s="47"/>
      <c r="C91" s="48" t="str">
        <f t="shared" si="1"/>
        <v/>
      </c>
      <c r="D91" s="44"/>
      <c r="E91" s="42"/>
      <c r="F91" s="43" t="str">
        <f>IF(E91="", "", IF(AND(E91&gt;='PAINEL DE CONTROLE'!$C$5*(1-CONFIGURAÇÕES!$D$7), E91&lt;='PAINEL DE CONTROLE'!$C$5*(1+CONFIGURAÇÕES!$D$7)), "DENTRO", "FORA"))</f>
        <v/>
      </c>
    </row>
    <row r="92" spans="2:6" x14ac:dyDescent="0.2">
      <c r="B92" s="47"/>
      <c r="C92" s="48" t="str">
        <f t="shared" si="1"/>
        <v/>
      </c>
      <c r="D92" s="44"/>
      <c r="E92" s="42"/>
      <c r="F92" s="43" t="str">
        <f>IF(E92="", "", IF(AND(E92&gt;='PAINEL DE CONTROLE'!$C$5*(1-CONFIGURAÇÕES!$D$7), E92&lt;='PAINEL DE CONTROLE'!$C$5*(1+CONFIGURAÇÕES!$D$7)), "DENTRO", "FORA"))</f>
        <v/>
      </c>
    </row>
    <row r="93" spans="2:6" x14ac:dyDescent="0.2">
      <c r="B93" s="47"/>
      <c r="C93" s="48" t="str">
        <f t="shared" si="1"/>
        <v/>
      </c>
      <c r="D93" s="44"/>
      <c r="E93" s="42"/>
      <c r="F93" s="43" t="str">
        <f>IF(E93="", "", IF(AND(E93&gt;='PAINEL DE CONTROLE'!$C$5*(1-CONFIGURAÇÕES!$D$7), E93&lt;='PAINEL DE CONTROLE'!$C$5*(1+CONFIGURAÇÕES!$D$7)), "DENTRO", "FORA"))</f>
        <v/>
      </c>
    </row>
    <row r="94" spans="2:6" x14ac:dyDescent="0.2">
      <c r="B94" s="47"/>
      <c r="C94" s="48" t="str">
        <f t="shared" si="1"/>
        <v/>
      </c>
      <c r="D94" s="44"/>
      <c r="E94" s="42"/>
      <c r="F94" s="43" t="str">
        <f>IF(E94="", "", IF(AND(E94&gt;='PAINEL DE CONTROLE'!$C$5*(1-CONFIGURAÇÕES!$D$7), E94&lt;='PAINEL DE CONTROLE'!$C$5*(1+CONFIGURAÇÕES!$D$7)), "DENTRO", "FORA"))</f>
        <v/>
      </c>
    </row>
    <row r="95" spans="2:6" x14ac:dyDescent="0.2">
      <c r="B95" s="47"/>
      <c r="C95" s="48" t="str">
        <f t="shared" si="1"/>
        <v/>
      </c>
      <c r="D95" s="44"/>
      <c r="E95" s="42"/>
      <c r="F95" s="43" t="str">
        <f>IF(E95="", "", IF(AND(E95&gt;='PAINEL DE CONTROLE'!$C$5*(1-CONFIGURAÇÕES!$D$7), E95&lt;='PAINEL DE CONTROLE'!$C$5*(1+CONFIGURAÇÕES!$D$7)), "DENTRO", "FORA"))</f>
        <v/>
      </c>
    </row>
    <row r="96" spans="2:6" x14ac:dyDescent="0.2">
      <c r="B96" s="47"/>
      <c r="C96" s="48" t="str">
        <f t="shared" si="1"/>
        <v/>
      </c>
      <c r="D96" s="44"/>
      <c r="E96" s="42"/>
      <c r="F96" s="43" t="str">
        <f>IF(E96="", "", IF(AND(E96&gt;='PAINEL DE CONTROLE'!$C$5*(1-CONFIGURAÇÕES!$D$7), E96&lt;='PAINEL DE CONTROLE'!$C$5*(1+CONFIGURAÇÕES!$D$7)), "DENTRO", "FORA"))</f>
        <v/>
      </c>
    </row>
    <row r="97" spans="2:6" x14ac:dyDescent="0.2">
      <c r="B97" s="47"/>
      <c r="C97" s="48" t="str">
        <f t="shared" si="1"/>
        <v/>
      </c>
      <c r="D97" s="44"/>
      <c r="E97" s="42"/>
      <c r="F97" s="43" t="str">
        <f>IF(E97="", "", IF(AND(E97&gt;='PAINEL DE CONTROLE'!$C$5*(1-CONFIGURAÇÕES!$D$7), E97&lt;='PAINEL DE CONTROLE'!$C$5*(1+CONFIGURAÇÕES!$D$7)), "DENTRO", "FORA"))</f>
        <v/>
      </c>
    </row>
    <row r="98" spans="2:6" x14ac:dyDescent="0.2">
      <c r="B98" s="47"/>
      <c r="C98" s="48" t="str">
        <f t="shared" si="1"/>
        <v/>
      </c>
      <c r="D98" s="44"/>
      <c r="E98" s="42"/>
      <c r="F98" s="43" t="str">
        <f>IF(E98="", "", IF(AND(E98&gt;='PAINEL DE CONTROLE'!$C$5*(1-CONFIGURAÇÕES!$D$7), E98&lt;='PAINEL DE CONTROLE'!$C$5*(1+CONFIGURAÇÕES!$D$7)), "DENTRO", "FORA"))</f>
        <v/>
      </c>
    </row>
    <row r="99" spans="2:6" x14ac:dyDescent="0.2">
      <c r="B99" s="47"/>
      <c r="C99" s="48" t="str">
        <f t="shared" ref="C99:C132" si="2">IF(B99="","",IF(AND(B99&gt;=$E$8,B99&lt;=$E$9),"DENTRO","FORA"))</f>
        <v/>
      </c>
      <c r="D99" s="44"/>
      <c r="E99" s="42"/>
      <c r="F99" s="43" t="str">
        <f>IF(E99="", "", IF(AND(E99&gt;='PAINEL DE CONTROLE'!$C$5*(1-CONFIGURAÇÕES!$D$7), E99&lt;='PAINEL DE CONTROLE'!$C$5*(1+CONFIGURAÇÕES!$D$7)), "DENTRO", "FORA"))</f>
        <v/>
      </c>
    </row>
    <row r="100" spans="2:6" x14ac:dyDescent="0.2">
      <c r="B100" s="47"/>
      <c r="C100" s="48" t="str">
        <f t="shared" si="2"/>
        <v/>
      </c>
      <c r="D100" s="44"/>
      <c r="E100" s="42"/>
      <c r="F100" s="43" t="str">
        <f>IF(E100="", "", IF(AND(E100&gt;='PAINEL DE CONTROLE'!$C$5*(1-CONFIGURAÇÕES!$D$7), E100&lt;='PAINEL DE CONTROLE'!$C$5*(1+CONFIGURAÇÕES!$D$7)), "DENTRO", "FORA"))</f>
        <v/>
      </c>
    </row>
    <row r="101" spans="2:6" x14ac:dyDescent="0.2">
      <c r="B101" s="47"/>
      <c r="C101" s="48" t="str">
        <f t="shared" si="2"/>
        <v/>
      </c>
      <c r="D101" s="44"/>
      <c r="E101" s="42"/>
      <c r="F101" s="43" t="str">
        <f>IF(E101="", "", IF(AND(E101&gt;='PAINEL DE CONTROLE'!$C$5*(1-CONFIGURAÇÕES!$D$7), E101&lt;='PAINEL DE CONTROLE'!$C$5*(1+CONFIGURAÇÕES!$D$7)), "DENTRO", "FORA"))</f>
        <v/>
      </c>
    </row>
    <row r="102" spans="2:6" x14ac:dyDescent="0.2">
      <c r="B102" s="47"/>
      <c r="C102" s="48" t="str">
        <f t="shared" si="2"/>
        <v/>
      </c>
      <c r="D102" s="44"/>
      <c r="E102" s="42"/>
      <c r="F102" s="43" t="str">
        <f>IF(E102="", "", IF(AND(E102&gt;='PAINEL DE CONTROLE'!$C$5*(1-CONFIGURAÇÕES!$D$7), E102&lt;='PAINEL DE CONTROLE'!$C$5*(1+CONFIGURAÇÕES!$D$7)), "DENTRO", "FORA"))</f>
        <v/>
      </c>
    </row>
    <row r="103" spans="2:6" x14ac:dyDescent="0.2">
      <c r="B103" s="47"/>
      <c r="C103" s="48" t="str">
        <f t="shared" si="2"/>
        <v/>
      </c>
      <c r="D103" s="44"/>
      <c r="E103" s="42"/>
      <c r="F103" s="43" t="str">
        <f>IF(E103="", "", IF(AND(E103&gt;='PAINEL DE CONTROLE'!$C$5*(1-CONFIGURAÇÕES!$D$7), E103&lt;='PAINEL DE CONTROLE'!$C$5*(1+CONFIGURAÇÕES!$D$7)), "DENTRO", "FORA"))</f>
        <v/>
      </c>
    </row>
    <row r="104" spans="2:6" x14ac:dyDescent="0.2">
      <c r="B104" s="47"/>
      <c r="C104" s="48" t="str">
        <f t="shared" si="2"/>
        <v/>
      </c>
      <c r="D104" s="44"/>
      <c r="E104" s="42"/>
      <c r="F104" s="43" t="str">
        <f>IF(E104="", "", IF(AND(E104&gt;='PAINEL DE CONTROLE'!$C$5*(1-CONFIGURAÇÕES!$D$7), E104&lt;='PAINEL DE CONTROLE'!$C$5*(1+CONFIGURAÇÕES!$D$7)), "DENTRO", "FORA"))</f>
        <v/>
      </c>
    </row>
    <row r="105" spans="2:6" x14ac:dyDescent="0.2">
      <c r="B105" s="47"/>
      <c r="C105" s="48" t="str">
        <f t="shared" si="2"/>
        <v/>
      </c>
      <c r="D105" s="44"/>
      <c r="E105" s="42"/>
      <c r="F105" s="43" t="str">
        <f>IF(E105="", "", IF(AND(E105&gt;='PAINEL DE CONTROLE'!$C$5*(1-CONFIGURAÇÕES!$D$7), E105&lt;='PAINEL DE CONTROLE'!$C$5*(1+CONFIGURAÇÕES!$D$7)), "DENTRO", "FORA"))</f>
        <v/>
      </c>
    </row>
    <row r="106" spans="2:6" x14ac:dyDescent="0.2">
      <c r="B106" s="47"/>
      <c r="C106" s="48" t="str">
        <f t="shared" si="2"/>
        <v/>
      </c>
      <c r="D106" s="44"/>
      <c r="E106" s="42"/>
      <c r="F106" s="43" t="str">
        <f>IF(E106="", "", IF(AND(E106&gt;='PAINEL DE CONTROLE'!$C$5*(1-CONFIGURAÇÕES!$D$7), E106&lt;='PAINEL DE CONTROLE'!$C$5*(1+CONFIGURAÇÕES!$D$7)), "DENTRO", "FORA"))</f>
        <v/>
      </c>
    </row>
    <row r="107" spans="2:6" x14ac:dyDescent="0.2">
      <c r="B107" s="47"/>
      <c r="C107" s="48" t="str">
        <f t="shared" si="2"/>
        <v/>
      </c>
      <c r="D107" s="44"/>
      <c r="E107" s="42"/>
      <c r="F107" s="43" t="str">
        <f>IF(E107="", "", IF(AND(E107&gt;='PAINEL DE CONTROLE'!$C$5*(1-CONFIGURAÇÕES!$D$7), E107&lt;='PAINEL DE CONTROLE'!$C$5*(1+CONFIGURAÇÕES!$D$7)), "DENTRO", "FORA"))</f>
        <v/>
      </c>
    </row>
    <row r="108" spans="2:6" x14ac:dyDescent="0.2">
      <c r="B108" s="47"/>
      <c r="C108" s="48" t="str">
        <f t="shared" si="2"/>
        <v/>
      </c>
      <c r="D108" s="44"/>
      <c r="E108" s="42"/>
      <c r="F108" s="43" t="str">
        <f>IF(E108="", "", IF(AND(E108&gt;='PAINEL DE CONTROLE'!$C$5*(1-CONFIGURAÇÕES!$D$7), E108&lt;='PAINEL DE CONTROLE'!$C$5*(1+CONFIGURAÇÕES!$D$7)), "DENTRO", "FORA"))</f>
        <v/>
      </c>
    </row>
    <row r="109" spans="2:6" x14ac:dyDescent="0.2">
      <c r="B109" s="47"/>
      <c r="C109" s="48" t="str">
        <f t="shared" si="2"/>
        <v/>
      </c>
      <c r="D109" s="44"/>
      <c r="E109" s="42"/>
      <c r="F109" s="43" t="str">
        <f>IF(E109="", "", IF(AND(E109&gt;='PAINEL DE CONTROLE'!$C$5*(1-CONFIGURAÇÕES!$D$7), E109&lt;='PAINEL DE CONTROLE'!$C$5*(1+CONFIGURAÇÕES!$D$7)), "DENTRO", "FORA"))</f>
        <v/>
      </c>
    </row>
    <row r="110" spans="2:6" x14ac:dyDescent="0.2">
      <c r="B110" s="47"/>
      <c r="C110" s="48" t="str">
        <f t="shared" si="2"/>
        <v/>
      </c>
      <c r="D110" s="44"/>
      <c r="E110" s="42"/>
      <c r="F110" s="43" t="str">
        <f>IF(E110="", "", IF(AND(E110&gt;='PAINEL DE CONTROLE'!$C$5*(1-CONFIGURAÇÕES!$D$7), E110&lt;='PAINEL DE CONTROLE'!$C$5*(1+CONFIGURAÇÕES!$D$7)), "DENTRO", "FORA"))</f>
        <v/>
      </c>
    </row>
    <row r="111" spans="2:6" x14ac:dyDescent="0.2">
      <c r="B111" s="47"/>
      <c r="C111" s="48" t="str">
        <f t="shared" si="2"/>
        <v/>
      </c>
      <c r="D111" s="44"/>
      <c r="E111" s="42"/>
      <c r="F111" s="43" t="str">
        <f>IF(E111="", "", IF(AND(E111&gt;='PAINEL DE CONTROLE'!$C$5*(1-CONFIGURAÇÕES!$D$7), E111&lt;='PAINEL DE CONTROLE'!$C$5*(1+CONFIGURAÇÕES!$D$7)), "DENTRO", "FORA"))</f>
        <v/>
      </c>
    </row>
    <row r="112" spans="2:6" x14ac:dyDescent="0.2">
      <c r="B112" s="47"/>
      <c r="C112" s="48" t="str">
        <f t="shared" si="2"/>
        <v/>
      </c>
      <c r="D112" s="44"/>
      <c r="E112" s="42"/>
      <c r="F112" s="43" t="str">
        <f>IF(E112="", "", IF(AND(E112&gt;='PAINEL DE CONTROLE'!$C$5*(1-CONFIGURAÇÕES!$D$7), E112&lt;='PAINEL DE CONTROLE'!$C$5*(1+CONFIGURAÇÕES!$D$7)), "DENTRO", "FORA"))</f>
        <v/>
      </c>
    </row>
    <row r="113" spans="2:6" x14ac:dyDescent="0.2">
      <c r="B113" s="47"/>
      <c r="C113" s="48" t="str">
        <f t="shared" si="2"/>
        <v/>
      </c>
      <c r="D113" s="44"/>
      <c r="E113" s="42"/>
      <c r="F113" s="43" t="str">
        <f>IF(E113="", "", IF(AND(E113&gt;='PAINEL DE CONTROLE'!$C$5*(1-CONFIGURAÇÕES!$D$7), E113&lt;='PAINEL DE CONTROLE'!$C$5*(1+CONFIGURAÇÕES!$D$7)), "DENTRO", "FORA"))</f>
        <v/>
      </c>
    </row>
    <row r="114" spans="2:6" x14ac:dyDescent="0.2">
      <c r="B114" s="47"/>
      <c r="C114" s="48" t="str">
        <f t="shared" si="2"/>
        <v/>
      </c>
      <c r="D114" s="44"/>
      <c r="E114" s="42"/>
      <c r="F114" s="43" t="str">
        <f>IF(E114="", "", IF(AND(E114&gt;='PAINEL DE CONTROLE'!$C$5*(1-CONFIGURAÇÕES!$D$7), E114&lt;='PAINEL DE CONTROLE'!$C$5*(1+CONFIGURAÇÕES!$D$7)), "DENTRO", "FORA"))</f>
        <v/>
      </c>
    </row>
    <row r="115" spans="2:6" x14ac:dyDescent="0.2">
      <c r="B115" s="47"/>
      <c r="C115" s="48" t="str">
        <f t="shared" si="2"/>
        <v/>
      </c>
      <c r="D115" s="44"/>
      <c r="E115" s="42"/>
      <c r="F115" s="43" t="str">
        <f>IF(E115="", "", IF(AND(E115&gt;='PAINEL DE CONTROLE'!$C$5*(1-CONFIGURAÇÕES!$D$7), E115&lt;='PAINEL DE CONTROLE'!$C$5*(1+CONFIGURAÇÕES!$D$7)), "DENTRO", "FORA"))</f>
        <v/>
      </c>
    </row>
    <row r="116" spans="2:6" x14ac:dyDescent="0.2">
      <c r="B116" s="47"/>
      <c r="C116" s="48" t="str">
        <f t="shared" si="2"/>
        <v/>
      </c>
      <c r="D116" s="44"/>
      <c r="E116" s="42"/>
      <c r="F116" s="43" t="str">
        <f>IF(E116="", "", IF(AND(E116&gt;='PAINEL DE CONTROLE'!$C$5*(1-CONFIGURAÇÕES!$D$7), E116&lt;='PAINEL DE CONTROLE'!$C$5*(1+CONFIGURAÇÕES!$D$7)), "DENTRO", "FORA"))</f>
        <v/>
      </c>
    </row>
    <row r="117" spans="2:6" x14ac:dyDescent="0.2">
      <c r="B117" s="47"/>
      <c r="C117" s="48" t="str">
        <f t="shared" si="2"/>
        <v/>
      </c>
      <c r="D117" s="44"/>
      <c r="E117" s="42"/>
      <c r="F117" s="43" t="str">
        <f>IF(E117="", "", IF(AND(E117&gt;='PAINEL DE CONTROLE'!$C$5*(1-CONFIGURAÇÕES!$D$7), E117&lt;='PAINEL DE CONTROLE'!$C$5*(1+CONFIGURAÇÕES!$D$7)), "DENTRO", "FORA"))</f>
        <v/>
      </c>
    </row>
    <row r="118" spans="2:6" x14ac:dyDescent="0.2">
      <c r="B118" s="47"/>
      <c r="C118" s="48" t="str">
        <f t="shared" si="2"/>
        <v/>
      </c>
      <c r="D118" s="44"/>
      <c r="E118" s="42"/>
      <c r="F118" s="43" t="str">
        <f>IF(E118="", "", IF(AND(E118&gt;='PAINEL DE CONTROLE'!$C$5*(1-CONFIGURAÇÕES!$D$7), E118&lt;='PAINEL DE CONTROLE'!$C$5*(1+CONFIGURAÇÕES!$D$7)), "DENTRO", "FORA"))</f>
        <v/>
      </c>
    </row>
    <row r="119" spans="2:6" x14ac:dyDescent="0.2">
      <c r="B119" s="47"/>
      <c r="C119" s="48" t="str">
        <f t="shared" si="2"/>
        <v/>
      </c>
      <c r="D119" s="44"/>
      <c r="E119" s="42"/>
      <c r="F119" s="43" t="str">
        <f>IF(E119="", "", IF(AND(E119&gt;='PAINEL DE CONTROLE'!$C$5*(1-CONFIGURAÇÕES!$D$7), E119&lt;='PAINEL DE CONTROLE'!$C$5*(1+CONFIGURAÇÕES!$D$7)), "DENTRO", "FORA"))</f>
        <v/>
      </c>
    </row>
    <row r="120" spans="2:6" x14ac:dyDescent="0.2">
      <c r="B120" s="47"/>
      <c r="C120" s="48" t="str">
        <f t="shared" si="2"/>
        <v/>
      </c>
      <c r="D120" s="44"/>
      <c r="E120" s="42"/>
      <c r="F120" s="43" t="str">
        <f>IF(E120="", "", IF(AND(E120&gt;='PAINEL DE CONTROLE'!$C$5*(1-CONFIGURAÇÕES!$D$7), E120&lt;='PAINEL DE CONTROLE'!$C$5*(1+CONFIGURAÇÕES!$D$7)), "DENTRO", "FORA"))</f>
        <v/>
      </c>
    </row>
    <row r="121" spans="2:6" x14ac:dyDescent="0.2">
      <c r="B121" s="47"/>
      <c r="C121" s="48" t="str">
        <f t="shared" si="2"/>
        <v/>
      </c>
      <c r="D121" s="44"/>
      <c r="E121" s="42"/>
      <c r="F121" s="43" t="str">
        <f>IF(E121="", "", IF(AND(E121&gt;='PAINEL DE CONTROLE'!$C$5*(1-CONFIGURAÇÕES!$D$7), E121&lt;='PAINEL DE CONTROLE'!$C$5*(1+CONFIGURAÇÕES!$D$7)), "DENTRO", "FORA"))</f>
        <v/>
      </c>
    </row>
    <row r="122" spans="2:6" x14ac:dyDescent="0.2">
      <c r="B122" s="47"/>
      <c r="C122" s="48" t="str">
        <f t="shared" si="2"/>
        <v/>
      </c>
      <c r="D122" s="44"/>
      <c r="E122" s="42"/>
      <c r="F122" s="43" t="str">
        <f>IF(E122="", "", IF(AND(E122&gt;='PAINEL DE CONTROLE'!$C$5*(1-CONFIGURAÇÕES!$D$7), E122&lt;='PAINEL DE CONTROLE'!$C$5*(1+CONFIGURAÇÕES!$D$7)), "DENTRO", "FORA"))</f>
        <v/>
      </c>
    </row>
    <row r="123" spans="2:6" x14ac:dyDescent="0.2">
      <c r="B123" s="47"/>
      <c r="C123" s="48" t="str">
        <f t="shared" si="2"/>
        <v/>
      </c>
      <c r="D123" s="44"/>
      <c r="E123" s="42"/>
      <c r="F123" s="43" t="str">
        <f>IF(E123="", "", IF(AND(E123&gt;='PAINEL DE CONTROLE'!$C$5*(1-CONFIGURAÇÕES!$D$7), E123&lt;='PAINEL DE CONTROLE'!$C$5*(1+CONFIGURAÇÕES!$D$7)), "DENTRO", "FORA"))</f>
        <v/>
      </c>
    </row>
    <row r="124" spans="2:6" x14ac:dyDescent="0.2">
      <c r="B124" s="47"/>
      <c r="C124" s="48" t="str">
        <f t="shared" si="2"/>
        <v/>
      </c>
      <c r="D124" s="44"/>
      <c r="E124" s="42"/>
      <c r="F124" s="43" t="str">
        <f>IF(E124="", "", IF(AND(E124&gt;='PAINEL DE CONTROLE'!$C$5*(1-CONFIGURAÇÕES!$D$7), E124&lt;='PAINEL DE CONTROLE'!$C$5*(1+CONFIGURAÇÕES!$D$7)), "DENTRO", "FORA"))</f>
        <v/>
      </c>
    </row>
    <row r="125" spans="2:6" x14ac:dyDescent="0.2">
      <c r="B125" s="47"/>
      <c r="C125" s="48" t="str">
        <f t="shared" si="2"/>
        <v/>
      </c>
      <c r="D125" s="44"/>
      <c r="E125" s="42"/>
      <c r="F125" s="43" t="str">
        <f>IF(E125="", "", IF(AND(E125&gt;='PAINEL DE CONTROLE'!$C$5*(1-CONFIGURAÇÕES!$D$7), E125&lt;='PAINEL DE CONTROLE'!$C$5*(1+CONFIGURAÇÕES!$D$7)), "DENTRO", "FORA"))</f>
        <v/>
      </c>
    </row>
    <row r="126" spans="2:6" x14ac:dyDescent="0.2">
      <c r="B126" s="47"/>
      <c r="C126" s="48" t="str">
        <f t="shared" si="2"/>
        <v/>
      </c>
      <c r="D126" s="44"/>
      <c r="E126" s="42"/>
      <c r="F126" s="43" t="str">
        <f>IF(E126="", "", IF(AND(E126&gt;='PAINEL DE CONTROLE'!$C$5*(1-CONFIGURAÇÕES!$D$7), E126&lt;='PAINEL DE CONTROLE'!$C$5*(1+CONFIGURAÇÕES!$D$7)), "DENTRO", "FORA"))</f>
        <v/>
      </c>
    </row>
    <row r="127" spans="2:6" x14ac:dyDescent="0.2">
      <c r="B127" s="47"/>
      <c r="C127" s="48" t="str">
        <f t="shared" si="2"/>
        <v/>
      </c>
      <c r="D127" s="44"/>
      <c r="E127" s="42"/>
      <c r="F127" s="43" t="str">
        <f>IF(E127="", "", IF(AND(E127&gt;='PAINEL DE CONTROLE'!$C$5*(1-CONFIGURAÇÕES!$D$7), E127&lt;='PAINEL DE CONTROLE'!$C$5*(1+CONFIGURAÇÕES!$D$7)), "DENTRO", "FORA"))</f>
        <v/>
      </c>
    </row>
    <row r="128" spans="2:6" x14ac:dyDescent="0.2">
      <c r="B128" s="47"/>
      <c r="C128" s="48" t="str">
        <f t="shared" si="2"/>
        <v/>
      </c>
      <c r="D128" s="44"/>
      <c r="E128" s="42"/>
      <c r="F128" s="43" t="str">
        <f>IF(E128="", "", IF(AND(E128&gt;='PAINEL DE CONTROLE'!$C$5*(1-CONFIGURAÇÕES!$D$7), E128&lt;='PAINEL DE CONTROLE'!$C$5*(1+CONFIGURAÇÕES!$D$7)), "DENTRO", "FORA"))</f>
        <v/>
      </c>
    </row>
    <row r="129" spans="2:6" x14ac:dyDescent="0.2">
      <c r="B129" s="47"/>
      <c r="C129" s="48" t="str">
        <f t="shared" si="2"/>
        <v/>
      </c>
      <c r="D129" s="44"/>
      <c r="E129" s="42"/>
      <c r="F129" s="43" t="str">
        <f>IF(E129="", "", IF(AND(E129&gt;='PAINEL DE CONTROLE'!$C$5*(1-CONFIGURAÇÕES!$D$7), E129&lt;='PAINEL DE CONTROLE'!$C$5*(1+CONFIGURAÇÕES!$D$7)), "DENTRO", "FORA"))</f>
        <v/>
      </c>
    </row>
    <row r="130" spans="2:6" x14ac:dyDescent="0.2">
      <c r="B130" s="47"/>
      <c r="C130" s="48" t="str">
        <f t="shared" si="2"/>
        <v/>
      </c>
      <c r="D130" s="44"/>
      <c r="E130" s="42"/>
      <c r="F130" s="43" t="str">
        <f>IF(E130="", "", IF(AND(E130&gt;='PAINEL DE CONTROLE'!$C$5*(1-CONFIGURAÇÕES!$D$7), E130&lt;='PAINEL DE CONTROLE'!$C$5*(1+CONFIGURAÇÕES!$D$7)), "DENTRO", "FORA"))</f>
        <v/>
      </c>
    </row>
    <row r="131" spans="2:6" x14ac:dyDescent="0.2">
      <c r="B131" s="47"/>
      <c r="C131" s="48" t="str">
        <f t="shared" si="2"/>
        <v/>
      </c>
      <c r="D131" s="44"/>
      <c r="E131" s="42"/>
      <c r="F131" s="43" t="str">
        <f>IF(E131="", "", IF(AND(E131&gt;='PAINEL DE CONTROLE'!$C$5*(1-CONFIGURAÇÕES!$D$7), E131&lt;='PAINEL DE CONTROLE'!$C$5*(1+CONFIGURAÇÕES!$D$7)), "DENTRO", "FORA"))</f>
        <v/>
      </c>
    </row>
    <row r="132" spans="2:6" x14ac:dyDescent="0.2">
      <c r="B132" s="47"/>
      <c r="C132" s="48" t="str">
        <f t="shared" si="2"/>
        <v/>
      </c>
      <c r="D132" s="44"/>
      <c r="E132" s="42"/>
      <c r="F132" s="43" t="str">
        <f>IF(E132="", "", IF(AND(E132&gt;='PAINEL DE CONTROLE'!$C$5*(1-CONFIGURAÇÕES!$D$7), E132&lt;='PAINEL DE CONTROLE'!$C$5*(1+CONFIGURAÇÕES!$D$7)), "DENTRO", "FORA"))</f>
        <v/>
      </c>
    </row>
    <row r="133" spans="2:6" x14ac:dyDescent="0.2">
      <c r="B133" s="47"/>
      <c r="C133" s="48" t="str">
        <f t="shared" ref="C133:C196" si="3">IF(B133="","",IF(AND(B133&gt;=$E$8,B133&lt;=$E$9),"DENTRO","FORA"))</f>
        <v/>
      </c>
      <c r="D133" s="44"/>
      <c r="E133" s="42"/>
      <c r="F133" s="43" t="str">
        <f>IF(E133="", "", IF(AND(E133&gt;='PAINEL DE CONTROLE'!$C$5*(1-CONFIGURAÇÕES!$D$7), E133&lt;='PAINEL DE CONTROLE'!$C$5*(1+CONFIGURAÇÕES!$D$7)), "DENTRO", "FORA"))</f>
        <v/>
      </c>
    </row>
    <row r="134" spans="2:6" x14ac:dyDescent="0.2">
      <c r="B134" s="47"/>
      <c r="C134" s="48" t="str">
        <f t="shared" si="3"/>
        <v/>
      </c>
      <c r="D134" s="44"/>
      <c r="E134" s="42"/>
      <c r="F134" s="43" t="str">
        <f>IF(E134="", "", IF(AND(E134&gt;='PAINEL DE CONTROLE'!$C$5*(1-CONFIGURAÇÕES!$D$7), E134&lt;='PAINEL DE CONTROLE'!$C$5*(1+CONFIGURAÇÕES!$D$7)), "DENTRO", "FORA"))</f>
        <v/>
      </c>
    </row>
    <row r="135" spans="2:6" x14ac:dyDescent="0.2">
      <c r="B135" s="47"/>
      <c r="C135" s="48" t="str">
        <f t="shared" si="3"/>
        <v/>
      </c>
      <c r="D135" s="44"/>
      <c r="E135" s="42"/>
      <c r="F135" s="43" t="str">
        <f>IF(E135="", "", IF(AND(E135&gt;='PAINEL DE CONTROLE'!$C$5*(1-CONFIGURAÇÕES!$D$7), E135&lt;='PAINEL DE CONTROLE'!$C$5*(1+CONFIGURAÇÕES!$D$7)), "DENTRO", "FORA"))</f>
        <v/>
      </c>
    </row>
    <row r="136" spans="2:6" x14ac:dyDescent="0.2">
      <c r="B136" s="47"/>
      <c r="C136" s="48" t="str">
        <f t="shared" si="3"/>
        <v/>
      </c>
      <c r="D136" s="44"/>
      <c r="E136" s="42"/>
      <c r="F136" s="43" t="str">
        <f>IF(E136="", "", IF(AND(E136&gt;='PAINEL DE CONTROLE'!$C$5*(1-CONFIGURAÇÕES!$D$7), E136&lt;='PAINEL DE CONTROLE'!$C$5*(1+CONFIGURAÇÕES!$D$7)), "DENTRO", "FORA"))</f>
        <v/>
      </c>
    </row>
    <row r="137" spans="2:6" x14ac:dyDescent="0.2">
      <c r="B137" s="47"/>
      <c r="C137" s="48" t="str">
        <f t="shared" si="3"/>
        <v/>
      </c>
      <c r="D137" s="44"/>
      <c r="E137" s="42"/>
      <c r="F137" s="43" t="str">
        <f>IF(E137="", "", IF(AND(E137&gt;='PAINEL DE CONTROLE'!$C$5*(1-CONFIGURAÇÕES!$D$7), E137&lt;='PAINEL DE CONTROLE'!$C$5*(1+CONFIGURAÇÕES!$D$7)), "DENTRO", "FORA"))</f>
        <v/>
      </c>
    </row>
    <row r="138" spans="2:6" x14ac:dyDescent="0.2">
      <c r="B138" s="47"/>
      <c r="C138" s="48" t="str">
        <f t="shared" si="3"/>
        <v/>
      </c>
      <c r="D138" s="44"/>
      <c r="E138" s="42"/>
      <c r="F138" s="43" t="str">
        <f>IF(E138="", "", IF(AND(E138&gt;='PAINEL DE CONTROLE'!$C$5*(1-CONFIGURAÇÕES!$D$7), E138&lt;='PAINEL DE CONTROLE'!$C$5*(1+CONFIGURAÇÕES!$D$7)), "DENTRO", "FORA"))</f>
        <v/>
      </c>
    </row>
    <row r="139" spans="2:6" x14ac:dyDescent="0.2">
      <c r="B139" s="47"/>
      <c r="C139" s="48" t="str">
        <f t="shared" si="3"/>
        <v/>
      </c>
      <c r="D139" s="44"/>
      <c r="E139" s="42"/>
      <c r="F139" s="43" t="str">
        <f>IF(E139="", "", IF(AND(E139&gt;='PAINEL DE CONTROLE'!$C$5*(1-CONFIGURAÇÕES!$D$7), E139&lt;='PAINEL DE CONTROLE'!$C$5*(1+CONFIGURAÇÕES!$D$7)), "DENTRO", "FORA"))</f>
        <v/>
      </c>
    </row>
    <row r="140" spans="2:6" x14ac:dyDescent="0.2">
      <c r="B140" s="47"/>
      <c r="C140" s="48" t="str">
        <f t="shared" si="3"/>
        <v/>
      </c>
      <c r="D140" s="44"/>
      <c r="E140" s="42"/>
      <c r="F140" s="43" t="str">
        <f>IF(E140="", "", IF(AND(E140&gt;='PAINEL DE CONTROLE'!$C$5*(1-CONFIGURAÇÕES!$D$7), E140&lt;='PAINEL DE CONTROLE'!$C$5*(1+CONFIGURAÇÕES!$D$7)), "DENTRO", "FORA"))</f>
        <v/>
      </c>
    </row>
    <row r="141" spans="2:6" x14ac:dyDescent="0.2">
      <c r="B141" s="47"/>
      <c r="C141" s="48" t="str">
        <f t="shared" si="3"/>
        <v/>
      </c>
      <c r="D141" s="44"/>
      <c r="E141" s="42"/>
      <c r="F141" s="43" t="str">
        <f>IF(E141="", "", IF(AND(E141&gt;='PAINEL DE CONTROLE'!$C$5*(1-CONFIGURAÇÕES!$D$7), E141&lt;='PAINEL DE CONTROLE'!$C$5*(1+CONFIGURAÇÕES!$D$7)), "DENTRO", "FORA"))</f>
        <v/>
      </c>
    </row>
    <row r="142" spans="2:6" x14ac:dyDescent="0.2">
      <c r="B142" s="47"/>
      <c r="C142" s="48" t="str">
        <f t="shared" si="3"/>
        <v/>
      </c>
      <c r="D142" s="44"/>
      <c r="E142" s="42"/>
      <c r="F142" s="43" t="str">
        <f>IF(E142="", "", IF(AND(E142&gt;='PAINEL DE CONTROLE'!$C$5*(1-CONFIGURAÇÕES!$D$7), E142&lt;='PAINEL DE CONTROLE'!$C$5*(1+CONFIGURAÇÕES!$D$7)), "DENTRO", "FORA"))</f>
        <v/>
      </c>
    </row>
    <row r="143" spans="2:6" x14ac:dyDescent="0.2">
      <c r="B143" s="47"/>
      <c r="C143" s="48" t="str">
        <f t="shared" si="3"/>
        <v/>
      </c>
      <c r="D143" s="44"/>
      <c r="E143" s="42"/>
      <c r="F143" s="43" t="str">
        <f>IF(E143="", "", IF(AND(E143&gt;='PAINEL DE CONTROLE'!$C$5*(1-CONFIGURAÇÕES!$D$7), E143&lt;='PAINEL DE CONTROLE'!$C$5*(1+CONFIGURAÇÕES!$D$7)), "DENTRO", "FORA"))</f>
        <v/>
      </c>
    </row>
    <row r="144" spans="2:6" x14ac:dyDescent="0.2">
      <c r="B144" s="47"/>
      <c r="C144" s="48" t="str">
        <f t="shared" si="3"/>
        <v/>
      </c>
      <c r="D144" s="44"/>
      <c r="E144" s="42"/>
      <c r="F144" s="43" t="str">
        <f>IF(E144="", "", IF(AND(E144&gt;='PAINEL DE CONTROLE'!$C$5*(1-CONFIGURAÇÕES!$D$7), E144&lt;='PAINEL DE CONTROLE'!$C$5*(1+CONFIGURAÇÕES!$D$7)), "DENTRO", "FORA"))</f>
        <v/>
      </c>
    </row>
    <row r="145" spans="2:6" x14ac:dyDescent="0.2">
      <c r="B145" s="47"/>
      <c r="C145" s="48" t="str">
        <f t="shared" si="3"/>
        <v/>
      </c>
      <c r="D145" s="44"/>
      <c r="E145" s="42"/>
      <c r="F145" s="43" t="str">
        <f>IF(E145="", "", IF(AND(E145&gt;='PAINEL DE CONTROLE'!$C$5*(1-CONFIGURAÇÕES!$D$7), E145&lt;='PAINEL DE CONTROLE'!$C$5*(1+CONFIGURAÇÕES!$D$7)), "DENTRO", "FORA"))</f>
        <v/>
      </c>
    </row>
    <row r="146" spans="2:6" x14ac:dyDescent="0.2">
      <c r="B146" s="47"/>
      <c r="C146" s="48" t="str">
        <f t="shared" si="3"/>
        <v/>
      </c>
      <c r="D146" s="44"/>
      <c r="E146" s="42"/>
      <c r="F146" s="43" t="str">
        <f>IF(E146="", "", IF(AND(E146&gt;='PAINEL DE CONTROLE'!$C$5*(1-CONFIGURAÇÕES!$D$7), E146&lt;='PAINEL DE CONTROLE'!$C$5*(1+CONFIGURAÇÕES!$D$7)), "DENTRO", "FORA"))</f>
        <v/>
      </c>
    </row>
    <row r="147" spans="2:6" x14ac:dyDescent="0.2">
      <c r="B147" s="47"/>
      <c r="C147" s="48" t="str">
        <f t="shared" si="3"/>
        <v/>
      </c>
      <c r="D147" s="44"/>
      <c r="E147" s="42"/>
      <c r="F147" s="43" t="str">
        <f>IF(E147="", "", IF(AND(E147&gt;='PAINEL DE CONTROLE'!$C$5*(1-CONFIGURAÇÕES!$D$7), E147&lt;='PAINEL DE CONTROLE'!$C$5*(1+CONFIGURAÇÕES!$D$7)), "DENTRO", "FORA"))</f>
        <v/>
      </c>
    </row>
    <row r="148" spans="2:6" x14ac:dyDescent="0.2">
      <c r="B148" s="47"/>
      <c r="C148" s="48" t="str">
        <f t="shared" si="3"/>
        <v/>
      </c>
      <c r="D148" s="44"/>
      <c r="E148" s="42"/>
      <c r="F148" s="43" t="str">
        <f>IF(E148="", "", IF(AND(E148&gt;='PAINEL DE CONTROLE'!$C$5*(1-CONFIGURAÇÕES!$D$7), E148&lt;='PAINEL DE CONTROLE'!$C$5*(1+CONFIGURAÇÕES!$D$7)), "DENTRO", "FORA"))</f>
        <v/>
      </c>
    </row>
    <row r="149" spans="2:6" x14ac:dyDescent="0.2">
      <c r="B149" s="47"/>
      <c r="C149" s="48" t="str">
        <f t="shared" si="3"/>
        <v/>
      </c>
      <c r="D149" s="44"/>
      <c r="E149" s="42"/>
      <c r="F149" s="43" t="str">
        <f>IF(E149="", "", IF(AND(E149&gt;='PAINEL DE CONTROLE'!$C$5*(1-CONFIGURAÇÕES!$D$7), E149&lt;='PAINEL DE CONTROLE'!$C$5*(1+CONFIGURAÇÕES!$D$7)), "DENTRO", "FORA"))</f>
        <v/>
      </c>
    </row>
    <row r="150" spans="2:6" x14ac:dyDescent="0.2">
      <c r="B150" s="47"/>
      <c r="C150" s="48" t="str">
        <f t="shared" si="3"/>
        <v/>
      </c>
      <c r="D150" s="44"/>
      <c r="E150" s="42"/>
      <c r="F150" s="43" t="str">
        <f>IF(E150="", "", IF(AND(E150&gt;='PAINEL DE CONTROLE'!$C$5*(1-CONFIGURAÇÕES!$D$7), E150&lt;='PAINEL DE CONTROLE'!$C$5*(1+CONFIGURAÇÕES!$D$7)), "DENTRO", "FORA"))</f>
        <v/>
      </c>
    </row>
    <row r="151" spans="2:6" x14ac:dyDescent="0.2">
      <c r="B151" s="47"/>
      <c r="C151" s="48" t="str">
        <f t="shared" si="3"/>
        <v/>
      </c>
      <c r="D151" s="44"/>
      <c r="E151" s="42"/>
      <c r="F151" s="43" t="str">
        <f>IF(E151="", "", IF(AND(E151&gt;='PAINEL DE CONTROLE'!$C$5*(1-CONFIGURAÇÕES!$D$7), E151&lt;='PAINEL DE CONTROLE'!$C$5*(1+CONFIGURAÇÕES!$D$7)), "DENTRO", "FORA"))</f>
        <v/>
      </c>
    </row>
    <row r="152" spans="2:6" x14ac:dyDescent="0.2">
      <c r="B152" s="47"/>
      <c r="C152" s="48" t="str">
        <f t="shared" si="3"/>
        <v/>
      </c>
      <c r="D152" s="44"/>
      <c r="E152" s="42"/>
      <c r="F152" s="43" t="str">
        <f>IF(E152="", "", IF(AND(E152&gt;='PAINEL DE CONTROLE'!$C$5*(1-CONFIGURAÇÕES!$D$7), E152&lt;='PAINEL DE CONTROLE'!$C$5*(1+CONFIGURAÇÕES!$D$7)), "DENTRO", "FORA"))</f>
        <v/>
      </c>
    </row>
    <row r="153" spans="2:6" x14ac:dyDescent="0.2">
      <c r="B153" s="47"/>
      <c r="C153" s="48" t="str">
        <f t="shared" si="3"/>
        <v/>
      </c>
      <c r="D153" s="44"/>
      <c r="E153" s="42"/>
      <c r="F153" s="43" t="str">
        <f>IF(E153="", "", IF(AND(E153&gt;='PAINEL DE CONTROLE'!$C$5*(1-CONFIGURAÇÕES!$D$7), E153&lt;='PAINEL DE CONTROLE'!$C$5*(1+CONFIGURAÇÕES!$D$7)), "DENTRO", "FORA"))</f>
        <v/>
      </c>
    </row>
    <row r="154" spans="2:6" x14ac:dyDescent="0.2">
      <c r="B154" s="47"/>
      <c r="C154" s="48" t="str">
        <f t="shared" si="3"/>
        <v/>
      </c>
      <c r="D154" s="44"/>
      <c r="E154" s="42"/>
      <c r="F154" s="43" t="str">
        <f>IF(E154="", "", IF(AND(E154&gt;='PAINEL DE CONTROLE'!$C$5*(1-CONFIGURAÇÕES!$D$7), E154&lt;='PAINEL DE CONTROLE'!$C$5*(1+CONFIGURAÇÕES!$D$7)), "DENTRO", "FORA"))</f>
        <v/>
      </c>
    </row>
    <row r="155" spans="2:6" x14ac:dyDescent="0.2">
      <c r="B155" s="47"/>
      <c r="C155" s="48" t="str">
        <f t="shared" si="3"/>
        <v/>
      </c>
      <c r="D155" s="44"/>
      <c r="E155" s="42"/>
      <c r="F155" s="43" t="str">
        <f>IF(E155="", "", IF(AND(E155&gt;='PAINEL DE CONTROLE'!$C$5*(1-CONFIGURAÇÕES!$D$7), E155&lt;='PAINEL DE CONTROLE'!$C$5*(1+CONFIGURAÇÕES!$D$7)), "DENTRO", "FORA"))</f>
        <v/>
      </c>
    </row>
    <row r="156" spans="2:6" x14ac:dyDescent="0.2">
      <c r="B156" s="47"/>
      <c r="C156" s="48" t="str">
        <f t="shared" si="3"/>
        <v/>
      </c>
      <c r="D156" s="44"/>
      <c r="E156" s="42"/>
      <c r="F156" s="43" t="str">
        <f>IF(E156="", "", IF(AND(E156&gt;='PAINEL DE CONTROLE'!$C$5*(1-CONFIGURAÇÕES!$D$7), E156&lt;='PAINEL DE CONTROLE'!$C$5*(1+CONFIGURAÇÕES!$D$7)), "DENTRO", "FORA"))</f>
        <v/>
      </c>
    </row>
    <row r="157" spans="2:6" x14ac:dyDescent="0.2">
      <c r="B157" s="47"/>
      <c r="C157" s="48" t="str">
        <f t="shared" si="3"/>
        <v/>
      </c>
      <c r="D157" s="44"/>
      <c r="E157" s="42"/>
      <c r="F157" s="43" t="str">
        <f>IF(E157="", "", IF(AND(E157&gt;='PAINEL DE CONTROLE'!$C$5*(1-CONFIGURAÇÕES!$D$7), E157&lt;='PAINEL DE CONTROLE'!$C$5*(1+CONFIGURAÇÕES!$D$7)), "DENTRO", "FORA"))</f>
        <v/>
      </c>
    </row>
    <row r="158" spans="2:6" x14ac:dyDescent="0.2">
      <c r="B158" s="47"/>
      <c r="C158" s="48" t="str">
        <f t="shared" si="3"/>
        <v/>
      </c>
      <c r="D158" s="44"/>
      <c r="E158" s="42"/>
      <c r="F158" s="43" t="str">
        <f>IF(E158="", "", IF(AND(E158&gt;='PAINEL DE CONTROLE'!$C$5*(1-CONFIGURAÇÕES!$D$7), E158&lt;='PAINEL DE CONTROLE'!$C$5*(1+CONFIGURAÇÕES!$D$7)), "DENTRO", "FORA"))</f>
        <v/>
      </c>
    </row>
    <row r="159" spans="2:6" x14ac:dyDescent="0.2">
      <c r="B159" s="47"/>
      <c r="C159" s="48" t="str">
        <f t="shared" si="3"/>
        <v/>
      </c>
      <c r="D159" s="44"/>
      <c r="E159" s="42"/>
      <c r="F159" s="43" t="str">
        <f>IF(E159="", "", IF(AND(E159&gt;='PAINEL DE CONTROLE'!$C$5*(1-CONFIGURAÇÕES!$D$7), E159&lt;='PAINEL DE CONTROLE'!$C$5*(1+CONFIGURAÇÕES!$D$7)), "DENTRO", "FORA"))</f>
        <v/>
      </c>
    </row>
    <row r="160" spans="2:6" x14ac:dyDescent="0.2">
      <c r="B160" s="47"/>
      <c r="C160" s="48" t="str">
        <f t="shared" si="3"/>
        <v/>
      </c>
      <c r="D160" s="44"/>
      <c r="E160" s="42"/>
      <c r="F160" s="43" t="str">
        <f>IF(E160="", "", IF(AND(E160&gt;='PAINEL DE CONTROLE'!$C$5*(1-CONFIGURAÇÕES!$D$7), E160&lt;='PAINEL DE CONTROLE'!$C$5*(1+CONFIGURAÇÕES!$D$7)), "DENTRO", "FORA"))</f>
        <v/>
      </c>
    </row>
    <row r="161" spans="2:6" x14ac:dyDescent="0.2">
      <c r="B161" s="47"/>
      <c r="C161" s="48" t="str">
        <f t="shared" si="3"/>
        <v/>
      </c>
      <c r="D161" s="44"/>
      <c r="E161" s="42"/>
      <c r="F161" s="43" t="str">
        <f>IF(E161="", "", IF(AND(E161&gt;='PAINEL DE CONTROLE'!$C$5*(1-CONFIGURAÇÕES!$D$7), E161&lt;='PAINEL DE CONTROLE'!$C$5*(1+CONFIGURAÇÕES!$D$7)), "DENTRO", "FORA"))</f>
        <v/>
      </c>
    </row>
    <row r="162" spans="2:6" x14ac:dyDescent="0.2">
      <c r="B162" s="47"/>
      <c r="C162" s="48" t="str">
        <f t="shared" si="3"/>
        <v/>
      </c>
      <c r="D162" s="44"/>
      <c r="E162" s="42"/>
      <c r="F162" s="43" t="str">
        <f>IF(E162="", "", IF(AND(E162&gt;='PAINEL DE CONTROLE'!$C$5*(1-CONFIGURAÇÕES!$D$7), E162&lt;='PAINEL DE CONTROLE'!$C$5*(1+CONFIGURAÇÕES!$D$7)), "DENTRO", "FORA"))</f>
        <v/>
      </c>
    </row>
    <row r="163" spans="2:6" x14ac:dyDescent="0.2">
      <c r="B163" s="47"/>
      <c r="C163" s="48" t="str">
        <f t="shared" si="3"/>
        <v/>
      </c>
      <c r="D163" s="44"/>
      <c r="E163" s="42"/>
      <c r="F163" s="43" t="str">
        <f>IF(E163="", "", IF(AND(E163&gt;='PAINEL DE CONTROLE'!$C$5*(1-CONFIGURAÇÕES!$D$7), E163&lt;='PAINEL DE CONTROLE'!$C$5*(1+CONFIGURAÇÕES!$D$7)), "DENTRO", "FORA"))</f>
        <v/>
      </c>
    </row>
    <row r="164" spans="2:6" x14ac:dyDescent="0.2">
      <c r="B164" s="47"/>
      <c r="C164" s="48" t="str">
        <f t="shared" si="3"/>
        <v/>
      </c>
      <c r="D164" s="44"/>
      <c r="E164" s="42"/>
      <c r="F164" s="43" t="str">
        <f>IF(E164="", "", IF(AND(E164&gt;='PAINEL DE CONTROLE'!$C$5*(1-CONFIGURAÇÕES!$D$7), E164&lt;='PAINEL DE CONTROLE'!$C$5*(1+CONFIGURAÇÕES!$D$7)), "DENTRO", "FORA"))</f>
        <v/>
      </c>
    </row>
    <row r="165" spans="2:6" x14ac:dyDescent="0.2">
      <c r="B165" s="47"/>
      <c r="C165" s="48" t="str">
        <f t="shared" si="3"/>
        <v/>
      </c>
      <c r="D165" s="44"/>
      <c r="E165" s="42"/>
      <c r="F165" s="43" t="str">
        <f>IF(E165="", "", IF(AND(E165&gt;='PAINEL DE CONTROLE'!$C$5*(1-CONFIGURAÇÕES!$D$7), E165&lt;='PAINEL DE CONTROLE'!$C$5*(1+CONFIGURAÇÕES!$D$7)), "DENTRO", "FORA"))</f>
        <v/>
      </c>
    </row>
    <row r="166" spans="2:6" x14ac:dyDescent="0.2">
      <c r="B166" s="47"/>
      <c r="C166" s="48" t="str">
        <f t="shared" si="3"/>
        <v/>
      </c>
      <c r="D166" s="44"/>
      <c r="E166" s="42"/>
      <c r="F166" s="43" t="str">
        <f>IF(E166="", "", IF(AND(E166&gt;='PAINEL DE CONTROLE'!$C$5*(1-CONFIGURAÇÕES!$D$7), E166&lt;='PAINEL DE CONTROLE'!$C$5*(1+CONFIGURAÇÕES!$D$7)), "DENTRO", "FORA"))</f>
        <v/>
      </c>
    </row>
    <row r="167" spans="2:6" x14ac:dyDescent="0.2">
      <c r="B167" s="47"/>
      <c r="C167" s="48" t="str">
        <f t="shared" si="3"/>
        <v/>
      </c>
      <c r="D167" s="44"/>
      <c r="E167" s="42"/>
      <c r="F167" s="43" t="str">
        <f>IF(E167="", "", IF(AND(E167&gt;='PAINEL DE CONTROLE'!$C$5*(1-CONFIGURAÇÕES!$D$7), E167&lt;='PAINEL DE CONTROLE'!$C$5*(1+CONFIGURAÇÕES!$D$7)), "DENTRO", "FORA"))</f>
        <v/>
      </c>
    </row>
    <row r="168" spans="2:6" x14ac:dyDescent="0.2">
      <c r="B168" s="47"/>
      <c r="C168" s="48" t="str">
        <f t="shared" si="3"/>
        <v/>
      </c>
      <c r="D168" s="44"/>
      <c r="E168" s="42"/>
      <c r="F168" s="43" t="str">
        <f>IF(E168="", "", IF(AND(E168&gt;='PAINEL DE CONTROLE'!$C$5*(1-CONFIGURAÇÕES!$D$7), E168&lt;='PAINEL DE CONTROLE'!$C$5*(1+CONFIGURAÇÕES!$D$7)), "DENTRO", "FORA"))</f>
        <v/>
      </c>
    </row>
    <row r="169" spans="2:6" x14ac:dyDescent="0.2">
      <c r="B169" s="47"/>
      <c r="C169" s="48" t="str">
        <f t="shared" si="3"/>
        <v/>
      </c>
      <c r="D169" s="44"/>
      <c r="E169" s="42"/>
      <c r="F169" s="43" t="str">
        <f>IF(E169="", "", IF(AND(E169&gt;='PAINEL DE CONTROLE'!$C$5*(1-CONFIGURAÇÕES!$D$7), E169&lt;='PAINEL DE CONTROLE'!$C$5*(1+CONFIGURAÇÕES!$D$7)), "DENTRO", "FORA"))</f>
        <v/>
      </c>
    </row>
    <row r="170" spans="2:6" x14ac:dyDescent="0.2">
      <c r="B170" s="47"/>
      <c r="C170" s="48" t="str">
        <f t="shared" si="3"/>
        <v/>
      </c>
      <c r="D170" s="44"/>
      <c r="E170" s="42"/>
      <c r="F170" s="43" t="str">
        <f>IF(E170="", "", IF(AND(E170&gt;='PAINEL DE CONTROLE'!$C$5*(1-CONFIGURAÇÕES!$D$7), E170&lt;='PAINEL DE CONTROLE'!$C$5*(1+CONFIGURAÇÕES!$D$7)), "DENTRO", "FORA"))</f>
        <v/>
      </c>
    </row>
    <row r="171" spans="2:6" x14ac:dyDescent="0.2">
      <c r="B171" s="47"/>
      <c r="C171" s="48" t="str">
        <f t="shared" si="3"/>
        <v/>
      </c>
      <c r="D171" s="44"/>
      <c r="E171" s="42"/>
      <c r="F171" s="43" t="str">
        <f>IF(E171="", "", IF(AND(E171&gt;='PAINEL DE CONTROLE'!$C$5*(1-CONFIGURAÇÕES!$D$7), E171&lt;='PAINEL DE CONTROLE'!$C$5*(1+CONFIGURAÇÕES!$D$7)), "DENTRO", "FORA"))</f>
        <v/>
      </c>
    </row>
    <row r="172" spans="2:6" x14ac:dyDescent="0.2">
      <c r="B172" s="47"/>
      <c r="C172" s="48" t="str">
        <f t="shared" si="3"/>
        <v/>
      </c>
      <c r="D172" s="44"/>
      <c r="E172" s="42"/>
      <c r="F172" s="43" t="str">
        <f>IF(E172="", "", IF(AND(E172&gt;='PAINEL DE CONTROLE'!$C$5*(1-CONFIGURAÇÕES!$D$7), E172&lt;='PAINEL DE CONTROLE'!$C$5*(1+CONFIGURAÇÕES!$D$7)), "DENTRO", "FORA"))</f>
        <v/>
      </c>
    </row>
    <row r="173" spans="2:6" x14ac:dyDescent="0.2">
      <c r="B173" s="47"/>
      <c r="C173" s="48" t="str">
        <f t="shared" si="3"/>
        <v/>
      </c>
      <c r="D173" s="44"/>
      <c r="E173" s="42"/>
      <c r="F173" s="43" t="str">
        <f>IF(E173="", "", IF(AND(E173&gt;='PAINEL DE CONTROLE'!$C$5*(1-CONFIGURAÇÕES!$D$7), E173&lt;='PAINEL DE CONTROLE'!$C$5*(1+CONFIGURAÇÕES!$D$7)), "DENTRO", "FORA"))</f>
        <v/>
      </c>
    </row>
    <row r="174" spans="2:6" x14ac:dyDescent="0.2">
      <c r="B174" s="47"/>
      <c r="C174" s="48" t="str">
        <f t="shared" si="3"/>
        <v/>
      </c>
      <c r="D174" s="44"/>
      <c r="E174" s="42"/>
      <c r="F174" s="43" t="str">
        <f>IF(E174="", "", IF(AND(E174&gt;='PAINEL DE CONTROLE'!$C$5*(1-CONFIGURAÇÕES!$D$7), E174&lt;='PAINEL DE CONTROLE'!$C$5*(1+CONFIGURAÇÕES!$D$7)), "DENTRO", "FORA"))</f>
        <v/>
      </c>
    </row>
    <row r="175" spans="2:6" x14ac:dyDescent="0.2">
      <c r="B175" s="47"/>
      <c r="C175" s="48" t="str">
        <f t="shared" si="3"/>
        <v/>
      </c>
      <c r="D175" s="44"/>
      <c r="E175" s="42"/>
      <c r="F175" s="43" t="str">
        <f>IF(E175="", "", IF(AND(E175&gt;='PAINEL DE CONTROLE'!$C$5*(1-CONFIGURAÇÕES!$D$7), E175&lt;='PAINEL DE CONTROLE'!$C$5*(1+CONFIGURAÇÕES!$D$7)), "DENTRO", "FORA"))</f>
        <v/>
      </c>
    </row>
    <row r="176" spans="2:6" x14ac:dyDescent="0.2">
      <c r="B176" s="47"/>
      <c r="C176" s="48" t="str">
        <f t="shared" si="3"/>
        <v/>
      </c>
      <c r="D176" s="44"/>
      <c r="E176" s="42"/>
      <c r="F176" s="43" t="str">
        <f>IF(E176="", "", IF(AND(E176&gt;='PAINEL DE CONTROLE'!$C$5*(1-CONFIGURAÇÕES!$D$7), E176&lt;='PAINEL DE CONTROLE'!$C$5*(1+CONFIGURAÇÕES!$D$7)), "DENTRO", "FORA"))</f>
        <v/>
      </c>
    </row>
    <row r="177" spans="2:6" x14ac:dyDescent="0.2">
      <c r="B177" s="47"/>
      <c r="C177" s="48" t="str">
        <f t="shared" si="3"/>
        <v/>
      </c>
      <c r="D177" s="44"/>
      <c r="E177" s="42"/>
      <c r="F177" s="43" t="str">
        <f>IF(E177="", "", IF(AND(E177&gt;='PAINEL DE CONTROLE'!$C$5*(1-CONFIGURAÇÕES!$D$7), E177&lt;='PAINEL DE CONTROLE'!$C$5*(1+CONFIGURAÇÕES!$D$7)), "DENTRO", "FORA"))</f>
        <v/>
      </c>
    </row>
    <row r="178" spans="2:6" x14ac:dyDescent="0.2">
      <c r="B178" s="47"/>
      <c r="C178" s="48" t="str">
        <f t="shared" si="3"/>
        <v/>
      </c>
      <c r="D178" s="44"/>
      <c r="E178" s="42"/>
      <c r="F178" s="43" t="str">
        <f>IF(E178="", "", IF(AND(E178&gt;='PAINEL DE CONTROLE'!$C$5*(1-CONFIGURAÇÕES!$D$7), E178&lt;='PAINEL DE CONTROLE'!$C$5*(1+CONFIGURAÇÕES!$D$7)), "DENTRO", "FORA"))</f>
        <v/>
      </c>
    </row>
    <row r="179" spans="2:6" x14ac:dyDescent="0.2">
      <c r="B179" s="47"/>
      <c r="C179" s="48" t="str">
        <f t="shared" si="3"/>
        <v/>
      </c>
      <c r="D179" s="44"/>
      <c r="E179" s="42"/>
      <c r="F179" s="43" t="str">
        <f>IF(E179="", "", IF(AND(E179&gt;='PAINEL DE CONTROLE'!$C$5*(1-CONFIGURAÇÕES!$D$7), E179&lt;='PAINEL DE CONTROLE'!$C$5*(1+CONFIGURAÇÕES!$D$7)), "DENTRO", "FORA"))</f>
        <v/>
      </c>
    </row>
    <row r="180" spans="2:6" x14ac:dyDescent="0.2">
      <c r="B180" s="47"/>
      <c r="C180" s="48" t="str">
        <f t="shared" si="3"/>
        <v/>
      </c>
      <c r="D180" s="44"/>
      <c r="E180" s="42"/>
      <c r="F180" s="43" t="str">
        <f>IF(E180="", "", IF(AND(E180&gt;='PAINEL DE CONTROLE'!$C$5*(1-CONFIGURAÇÕES!$D$7), E180&lt;='PAINEL DE CONTROLE'!$C$5*(1+CONFIGURAÇÕES!$D$7)), "DENTRO", "FORA"))</f>
        <v/>
      </c>
    </row>
    <row r="181" spans="2:6" x14ac:dyDescent="0.2">
      <c r="B181" s="47"/>
      <c r="C181" s="48" t="str">
        <f t="shared" si="3"/>
        <v/>
      </c>
      <c r="D181" s="44"/>
      <c r="E181" s="42"/>
      <c r="F181" s="43" t="str">
        <f>IF(E181="", "", IF(AND(E181&gt;='PAINEL DE CONTROLE'!$C$5*(1-CONFIGURAÇÕES!$D$7), E181&lt;='PAINEL DE CONTROLE'!$C$5*(1+CONFIGURAÇÕES!$D$7)), "DENTRO", "FORA"))</f>
        <v/>
      </c>
    </row>
    <row r="182" spans="2:6" x14ac:dyDescent="0.2">
      <c r="B182" s="47"/>
      <c r="C182" s="48" t="str">
        <f t="shared" si="3"/>
        <v/>
      </c>
      <c r="D182" s="44"/>
      <c r="E182" s="42"/>
      <c r="F182" s="43" t="str">
        <f>IF(E182="", "", IF(AND(E182&gt;='PAINEL DE CONTROLE'!$C$5*(1-CONFIGURAÇÕES!$D$7), E182&lt;='PAINEL DE CONTROLE'!$C$5*(1+CONFIGURAÇÕES!$D$7)), "DENTRO", "FORA"))</f>
        <v/>
      </c>
    </row>
    <row r="183" spans="2:6" x14ac:dyDescent="0.2">
      <c r="B183" s="47"/>
      <c r="C183" s="48" t="str">
        <f t="shared" si="3"/>
        <v/>
      </c>
      <c r="D183" s="44"/>
      <c r="E183" s="42"/>
      <c r="F183" s="43" t="str">
        <f>IF(E183="", "", IF(AND(E183&gt;='PAINEL DE CONTROLE'!$C$5*(1-CONFIGURAÇÕES!$D$7), E183&lt;='PAINEL DE CONTROLE'!$C$5*(1+CONFIGURAÇÕES!$D$7)), "DENTRO", "FORA"))</f>
        <v/>
      </c>
    </row>
    <row r="184" spans="2:6" x14ac:dyDescent="0.2">
      <c r="B184" s="47"/>
      <c r="C184" s="48" t="str">
        <f t="shared" si="3"/>
        <v/>
      </c>
      <c r="D184" s="44"/>
      <c r="E184" s="42"/>
      <c r="F184" s="43" t="str">
        <f>IF(E184="", "", IF(AND(E184&gt;='PAINEL DE CONTROLE'!$C$5*(1-CONFIGURAÇÕES!$D$7), E184&lt;='PAINEL DE CONTROLE'!$C$5*(1+CONFIGURAÇÕES!$D$7)), "DENTRO", "FORA"))</f>
        <v/>
      </c>
    </row>
    <row r="185" spans="2:6" x14ac:dyDescent="0.2">
      <c r="B185" s="47"/>
      <c r="C185" s="48" t="str">
        <f t="shared" si="3"/>
        <v/>
      </c>
      <c r="D185" s="44"/>
      <c r="E185" s="42"/>
      <c r="F185" s="43" t="str">
        <f>IF(E185="", "", IF(AND(E185&gt;='PAINEL DE CONTROLE'!$C$5*(1-CONFIGURAÇÕES!$D$7), E185&lt;='PAINEL DE CONTROLE'!$C$5*(1+CONFIGURAÇÕES!$D$7)), "DENTRO", "FORA"))</f>
        <v/>
      </c>
    </row>
    <row r="186" spans="2:6" x14ac:dyDescent="0.2">
      <c r="B186" s="47"/>
      <c r="C186" s="48" t="str">
        <f t="shared" si="3"/>
        <v/>
      </c>
      <c r="D186" s="44"/>
      <c r="E186" s="42"/>
      <c r="F186" s="43" t="str">
        <f>IF(E186="", "", IF(AND(E186&gt;='PAINEL DE CONTROLE'!$C$5*(1-CONFIGURAÇÕES!$D$7), E186&lt;='PAINEL DE CONTROLE'!$C$5*(1+CONFIGURAÇÕES!$D$7)), "DENTRO", "FORA"))</f>
        <v/>
      </c>
    </row>
    <row r="187" spans="2:6" x14ac:dyDescent="0.2">
      <c r="B187" s="47"/>
      <c r="C187" s="48" t="str">
        <f t="shared" si="3"/>
        <v/>
      </c>
      <c r="D187" s="44"/>
      <c r="E187" s="42"/>
      <c r="F187" s="43" t="str">
        <f>IF(E187="", "", IF(AND(E187&gt;='PAINEL DE CONTROLE'!$C$5*(1-CONFIGURAÇÕES!$D$7), E187&lt;='PAINEL DE CONTROLE'!$C$5*(1+CONFIGURAÇÕES!$D$7)), "DENTRO", "FORA"))</f>
        <v/>
      </c>
    </row>
    <row r="188" spans="2:6" x14ac:dyDescent="0.2">
      <c r="B188" s="47"/>
      <c r="C188" s="48" t="str">
        <f t="shared" si="3"/>
        <v/>
      </c>
      <c r="D188" s="44"/>
      <c r="E188" s="42"/>
      <c r="F188" s="43" t="str">
        <f>IF(E188="", "", IF(AND(E188&gt;='PAINEL DE CONTROLE'!$C$5*(1-CONFIGURAÇÕES!$D$7), E188&lt;='PAINEL DE CONTROLE'!$C$5*(1+CONFIGURAÇÕES!$D$7)), "DENTRO", "FORA"))</f>
        <v/>
      </c>
    </row>
    <row r="189" spans="2:6" x14ac:dyDescent="0.2">
      <c r="B189" s="47"/>
      <c r="C189" s="48" t="str">
        <f t="shared" si="3"/>
        <v/>
      </c>
      <c r="D189" s="44"/>
      <c r="E189" s="42"/>
      <c r="F189" s="43" t="str">
        <f>IF(E189="", "", IF(AND(E189&gt;='PAINEL DE CONTROLE'!$C$5*(1-CONFIGURAÇÕES!$D$7), E189&lt;='PAINEL DE CONTROLE'!$C$5*(1+CONFIGURAÇÕES!$D$7)), "DENTRO", "FORA"))</f>
        <v/>
      </c>
    </row>
    <row r="190" spans="2:6" x14ac:dyDescent="0.2">
      <c r="B190" s="47"/>
      <c r="C190" s="48" t="str">
        <f t="shared" si="3"/>
        <v/>
      </c>
      <c r="D190" s="44"/>
      <c r="E190" s="42"/>
      <c r="F190" s="43" t="str">
        <f>IF(E190="", "", IF(AND(E190&gt;='PAINEL DE CONTROLE'!$C$5*(1-CONFIGURAÇÕES!$D$7), E190&lt;='PAINEL DE CONTROLE'!$C$5*(1+CONFIGURAÇÕES!$D$7)), "DENTRO", "FORA"))</f>
        <v/>
      </c>
    </row>
    <row r="191" spans="2:6" x14ac:dyDescent="0.2">
      <c r="B191" s="47"/>
      <c r="C191" s="48" t="str">
        <f t="shared" si="3"/>
        <v/>
      </c>
      <c r="D191" s="44"/>
      <c r="E191" s="42"/>
      <c r="F191" s="43" t="str">
        <f>IF(E191="", "", IF(AND(E191&gt;='PAINEL DE CONTROLE'!$C$5*(1-CONFIGURAÇÕES!$D$7), E191&lt;='PAINEL DE CONTROLE'!$C$5*(1+CONFIGURAÇÕES!$D$7)), "DENTRO", "FORA"))</f>
        <v/>
      </c>
    </row>
    <row r="192" spans="2:6" x14ac:dyDescent="0.2">
      <c r="B192" s="47"/>
      <c r="C192" s="48" t="str">
        <f t="shared" si="3"/>
        <v/>
      </c>
      <c r="D192" s="44"/>
      <c r="E192" s="42"/>
      <c r="F192" s="43" t="str">
        <f>IF(E192="", "", IF(AND(E192&gt;='PAINEL DE CONTROLE'!$C$5*(1-CONFIGURAÇÕES!$D$7), E192&lt;='PAINEL DE CONTROLE'!$C$5*(1+CONFIGURAÇÕES!$D$7)), "DENTRO", "FORA"))</f>
        <v/>
      </c>
    </row>
    <row r="193" spans="2:6" x14ac:dyDescent="0.2">
      <c r="B193" s="47"/>
      <c r="C193" s="48" t="str">
        <f t="shared" si="3"/>
        <v/>
      </c>
      <c r="D193" s="44"/>
      <c r="E193" s="42"/>
      <c r="F193" s="43" t="str">
        <f>IF(E193="", "", IF(AND(E193&gt;='PAINEL DE CONTROLE'!$C$5*(1-CONFIGURAÇÕES!$D$7), E193&lt;='PAINEL DE CONTROLE'!$C$5*(1+CONFIGURAÇÕES!$D$7)), "DENTRO", "FORA"))</f>
        <v/>
      </c>
    </row>
    <row r="194" spans="2:6" x14ac:dyDescent="0.2">
      <c r="B194" s="47"/>
      <c r="C194" s="48" t="str">
        <f t="shared" si="3"/>
        <v/>
      </c>
      <c r="D194" s="44"/>
      <c r="E194" s="42"/>
      <c r="F194" s="43" t="str">
        <f>IF(E194="", "", IF(AND(E194&gt;='PAINEL DE CONTROLE'!$C$5*(1-CONFIGURAÇÕES!$D$7), E194&lt;='PAINEL DE CONTROLE'!$C$5*(1+CONFIGURAÇÕES!$D$7)), "DENTRO", "FORA"))</f>
        <v/>
      </c>
    </row>
    <row r="195" spans="2:6" x14ac:dyDescent="0.2">
      <c r="B195" s="47"/>
      <c r="C195" s="48" t="str">
        <f t="shared" si="3"/>
        <v/>
      </c>
      <c r="D195" s="44"/>
      <c r="E195" s="42"/>
      <c r="F195" s="43" t="str">
        <f>IF(E195="", "", IF(AND(E195&gt;='PAINEL DE CONTROLE'!$C$5*(1-CONFIGURAÇÕES!$D$7), E195&lt;='PAINEL DE CONTROLE'!$C$5*(1+CONFIGURAÇÕES!$D$7)), "DENTRO", "FORA"))</f>
        <v/>
      </c>
    </row>
    <row r="196" spans="2:6" x14ac:dyDescent="0.2">
      <c r="B196" s="47"/>
      <c r="C196" s="48" t="str">
        <f t="shared" si="3"/>
        <v/>
      </c>
      <c r="D196" s="44"/>
      <c r="E196" s="42"/>
      <c r="F196" s="43" t="str">
        <f>IF(E196="", "", IF(AND(E196&gt;='PAINEL DE CONTROLE'!$C$5*(1-CONFIGURAÇÕES!$D$7), E196&lt;='PAINEL DE CONTROLE'!$C$5*(1+CONFIGURAÇÕES!$D$7)), "DENTRO", "FORA"))</f>
        <v/>
      </c>
    </row>
    <row r="197" spans="2:6" x14ac:dyDescent="0.2">
      <c r="B197" s="47"/>
      <c r="C197" s="48" t="str">
        <f t="shared" ref="C197:C260" si="4">IF(B197="","",IF(AND(B197&gt;=$E$8,B197&lt;=$E$9),"DENTRO","FORA"))</f>
        <v/>
      </c>
      <c r="D197" s="44"/>
      <c r="E197" s="42"/>
      <c r="F197" s="43" t="str">
        <f>IF(E197="", "", IF(AND(E197&gt;='PAINEL DE CONTROLE'!$C$5*(1-CONFIGURAÇÕES!$D$7), E197&lt;='PAINEL DE CONTROLE'!$C$5*(1+CONFIGURAÇÕES!$D$7)), "DENTRO", "FORA"))</f>
        <v/>
      </c>
    </row>
    <row r="198" spans="2:6" x14ac:dyDescent="0.2">
      <c r="B198" s="47"/>
      <c r="C198" s="48" t="str">
        <f t="shared" si="4"/>
        <v/>
      </c>
      <c r="D198" s="44"/>
      <c r="E198" s="42"/>
      <c r="F198" s="43" t="str">
        <f>IF(E198="", "", IF(AND(E198&gt;='PAINEL DE CONTROLE'!$C$5*(1-CONFIGURAÇÕES!$D$7), E198&lt;='PAINEL DE CONTROLE'!$C$5*(1+CONFIGURAÇÕES!$D$7)), "DENTRO", "FORA"))</f>
        <v/>
      </c>
    </row>
    <row r="199" spans="2:6" x14ac:dyDescent="0.2">
      <c r="B199" s="47"/>
      <c r="C199" s="48" t="str">
        <f t="shared" si="4"/>
        <v/>
      </c>
      <c r="D199" s="44"/>
      <c r="E199" s="42"/>
      <c r="F199" s="43" t="str">
        <f>IF(E199="", "", IF(AND(E199&gt;='PAINEL DE CONTROLE'!$C$5*(1-CONFIGURAÇÕES!$D$7), E199&lt;='PAINEL DE CONTROLE'!$C$5*(1+CONFIGURAÇÕES!$D$7)), "DENTRO", "FORA"))</f>
        <v/>
      </c>
    </row>
    <row r="200" spans="2:6" x14ac:dyDescent="0.2">
      <c r="B200" s="47"/>
      <c r="C200" s="48" t="str">
        <f t="shared" si="4"/>
        <v/>
      </c>
      <c r="D200" s="44"/>
      <c r="E200" s="42"/>
      <c r="F200" s="43" t="str">
        <f>IF(E200="", "", IF(AND(E200&gt;='PAINEL DE CONTROLE'!$C$5*(1-CONFIGURAÇÕES!$D$7), E200&lt;='PAINEL DE CONTROLE'!$C$5*(1+CONFIGURAÇÕES!$D$7)), "DENTRO", "FORA"))</f>
        <v/>
      </c>
    </row>
    <row r="201" spans="2:6" x14ac:dyDescent="0.2">
      <c r="B201" s="47"/>
      <c r="C201" s="48" t="str">
        <f t="shared" si="4"/>
        <v/>
      </c>
      <c r="D201" s="44"/>
      <c r="E201" s="42"/>
      <c r="F201" s="43" t="str">
        <f>IF(E201="", "", IF(AND(E201&gt;='PAINEL DE CONTROLE'!$C$5*(1-CONFIGURAÇÕES!$D$7), E201&lt;='PAINEL DE CONTROLE'!$C$5*(1+CONFIGURAÇÕES!$D$7)), "DENTRO", "FORA"))</f>
        <v/>
      </c>
    </row>
    <row r="202" spans="2:6" x14ac:dyDescent="0.2">
      <c r="B202" s="47"/>
      <c r="C202" s="48" t="str">
        <f t="shared" si="4"/>
        <v/>
      </c>
      <c r="D202" s="44"/>
      <c r="E202" s="42"/>
      <c r="F202" s="43" t="str">
        <f>IF(E202="", "", IF(AND(E202&gt;='PAINEL DE CONTROLE'!$C$5*(1-CONFIGURAÇÕES!$D$7), E202&lt;='PAINEL DE CONTROLE'!$C$5*(1+CONFIGURAÇÕES!$D$7)), "DENTRO", "FORA"))</f>
        <v/>
      </c>
    </row>
    <row r="203" spans="2:6" x14ac:dyDescent="0.2">
      <c r="B203" s="47"/>
      <c r="C203" s="48" t="str">
        <f t="shared" si="4"/>
        <v/>
      </c>
      <c r="D203" s="44"/>
      <c r="E203" s="42"/>
      <c r="F203" s="43" t="str">
        <f>IF(E203="", "", IF(AND(E203&gt;='PAINEL DE CONTROLE'!$C$5*(1-CONFIGURAÇÕES!$D$7), E203&lt;='PAINEL DE CONTROLE'!$C$5*(1+CONFIGURAÇÕES!$D$7)), "DENTRO", "FORA"))</f>
        <v/>
      </c>
    </row>
    <row r="204" spans="2:6" x14ac:dyDescent="0.2">
      <c r="B204" s="47"/>
      <c r="C204" s="48" t="str">
        <f t="shared" si="4"/>
        <v/>
      </c>
      <c r="D204" s="44"/>
      <c r="E204" s="42"/>
      <c r="F204" s="43" t="str">
        <f>IF(E204="", "", IF(AND(E204&gt;='PAINEL DE CONTROLE'!$C$5*(1-CONFIGURAÇÕES!$D$7), E204&lt;='PAINEL DE CONTROLE'!$C$5*(1+CONFIGURAÇÕES!$D$7)), "DENTRO", "FORA"))</f>
        <v/>
      </c>
    </row>
    <row r="205" spans="2:6" x14ac:dyDescent="0.2">
      <c r="B205" s="47"/>
      <c r="C205" s="48" t="str">
        <f t="shared" si="4"/>
        <v/>
      </c>
      <c r="D205" s="44"/>
      <c r="E205" s="42"/>
      <c r="F205" s="43" t="str">
        <f>IF(E205="", "", IF(AND(E205&gt;='PAINEL DE CONTROLE'!$C$5*(1-CONFIGURAÇÕES!$D$7), E205&lt;='PAINEL DE CONTROLE'!$C$5*(1+CONFIGURAÇÕES!$D$7)), "DENTRO", "FORA"))</f>
        <v/>
      </c>
    </row>
    <row r="206" spans="2:6" x14ac:dyDescent="0.2">
      <c r="B206" s="47"/>
      <c r="C206" s="48" t="str">
        <f t="shared" si="4"/>
        <v/>
      </c>
      <c r="D206" s="44"/>
      <c r="E206" s="42"/>
      <c r="F206" s="43" t="str">
        <f>IF(E206="", "", IF(AND(E206&gt;='PAINEL DE CONTROLE'!$C$5*(1-CONFIGURAÇÕES!$D$7), E206&lt;='PAINEL DE CONTROLE'!$C$5*(1+CONFIGURAÇÕES!$D$7)), "DENTRO", "FORA"))</f>
        <v/>
      </c>
    </row>
    <row r="207" spans="2:6" x14ac:dyDescent="0.2">
      <c r="B207" s="47"/>
      <c r="C207" s="48" t="str">
        <f t="shared" si="4"/>
        <v/>
      </c>
      <c r="D207" s="44"/>
      <c r="E207" s="42"/>
      <c r="F207" s="43" t="str">
        <f>IF(E207="", "", IF(AND(E207&gt;='PAINEL DE CONTROLE'!$C$5*(1-CONFIGURAÇÕES!$D$7), E207&lt;='PAINEL DE CONTROLE'!$C$5*(1+CONFIGURAÇÕES!$D$7)), "DENTRO", "FORA"))</f>
        <v/>
      </c>
    </row>
    <row r="208" spans="2:6" x14ac:dyDescent="0.2">
      <c r="B208" s="47"/>
      <c r="C208" s="48" t="str">
        <f t="shared" si="4"/>
        <v/>
      </c>
      <c r="D208" s="44"/>
      <c r="E208" s="42"/>
      <c r="F208" s="43" t="str">
        <f>IF(E208="", "", IF(AND(E208&gt;='PAINEL DE CONTROLE'!$C$5*(1-CONFIGURAÇÕES!$D$7), E208&lt;='PAINEL DE CONTROLE'!$C$5*(1+CONFIGURAÇÕES!$D$7)), "DENTRO", "FORA"))</f>
        <v/>
      </c>
    </row>
    <row r="209" spans="2:6" x14ac:dyDescent="0.2">
      <c r="B209" s="47"/>
      <c r="C209" s="48" t="str">
        <f t="shared" si="4"/>
        <v/>
      </c>
      <c r="D209" s="44"/>
      <c r="E209" s="42"/>
      <c r="F209" s="43" t="str">
        <f>IF(E209="", "", IF(AND(E209&gt;='PAINEL DE CONTROLE'!$C$5*(1-CONFIGURAÇÕES!$D$7), E209&lt;='PAINEL DE CONTROLE'!$C$5*(1+CONFIGURAÇÕES!$D$7)), "DENTRO", "FORA"))</f>
        <v/>
      </c>
    </row>
    <row r="210" spans="2:6" x14ac:dyDescent="0.2">
      <c r="B210" s="47"/>
      <c r="C210" s="48" t="str">
        <f t="shared" si="4"/>
        <v/>
      </c>
      <c r="D210" s="44"/>
      <c r="E210" s="42"/>
      <c r="F210" s="43" t="str">
        <f>IF(E210="", "", IF(AND(E210&gt;='PAINEL DE CONTROLE'!$C$5*(1-CONFIGURAÇÕES!$D$7), E210&lt;='PAINEL DE CONTROLE'!$C$5*(1+CONFIGURAÇÕES!$D$7)), "DENTRO", "FORA"))</f>
        <v/>
      </c>
    </row>
    <row r="211" spans="2:6" x14ac:dyDescent="0.2">
      <c r="B211" s="47"/>
      <c r="C211" s="48" t="str">
        <f t="shared" si="4"/>
        <v/>
      </c>
      <c r="D211" s="44"/>
      <c r="E211" s="42"/>
      <c r="F211" s="43" t="str">
        <f>IF(E211="", "", IF(AND(E211&gt;='PAINEL DE CONTROLE'!$C$5*(1-CONFIGURAÇÕES!$D$7), E211&lt;='PAINEL DE CONTROLE'!$C$5*(1+CONFIGURAÇÕES!$D$7)), "DENTRO", "FORA"))</f>
        <v/>
      </c>
    </row>
    <row r="212" spans="2:6" x14ac:dyDescent="0.2">
      <c r="B212" s="47"/>
      <c r="C212" s="48" t="str">
        <f t="shared" si="4"/>
        <v/>
      </c>
      <c r="D212" s="44"/>
      <c r="E212" s="42"/>
      <c r="F212" s="43" t="str">
        <f>IF(E212="", "", IF(AND(E212&gt;='PAINEL DE CONTROLE'!$C$5*(1-CONFIGURAÇÕES!$D$7), E212&lt;='PAINEL DE CONTROLE'!$C$5*(1+CONFIGURAÇÕES!$D$7)), "DENTRO", "FORA"))</f>
        <v/>
      </c>
    </row>
    <row r="213" spans="2:6" x14ac:dyDescent="0.2">
      <c r="B213" s="47"/>
      <c r="C213" s="48" t="str">
        <f t="shared" si="4"/>
        <v/>
      </c>
      <c r="D213" s="44"/>
      <c r="E213" s="42"/>
      <c r="F213" s="43" t="str">
        <f>IF(E213="", "", IF(AND(E213&gt;='PAINEL DE CONTROLE'!$C$5*(1-CONFIGURAÇÕES!$D$7), E213&lt;='PAINEL DE CONTROLE'!$C$5*(1+CONFIGURAÇÕES!$D$7)), "DENTRO", "FORA"))</f>
        <v/>
      </c>
    </row>
    <row r="214" spans="2:6" x14ac:dyDescent="0.2">
      <c r="B214" s="47"/>
      <c r="C214" s="48" t="str">
        <f t="shared" si="4"/>
        <v/>
      </c>
      <c r="D214" s="44"/>
      <c r="E214" s="42"/>
      <c r="F214" s="43" t="str">
        <f>IF(E214="", "", IF(AND(E214&gt;='PAINEL DE CONTROLE'!$C$5*(1-CONFIGURAÇÕES!$D$7), E214&lt;='PAINEL DE CONTROLE'!$C$5*(1+CONFIGURAÇÕES!$D$7)), "DENTRO", "FORA"))</f>
        <v/>
      </c>
    </row>
    <row r="215" spans="2:6" x14ac:dyDescent="0.2">
      <c r="B215" s="47"/>
      <c r="C215" s="48" t="str">
        <f t="shared" si="4"/>
        <v/>
      </c>
      <c r="D215" s="44"/>
      <c r="E215" s="42"/>
      <c r="F215" s="43" t="str">
        <f>IF(E215="", "", IF(AND(E215&gt;='PAINEL DE CONTROLE'!$C$5*(1-CONFIGURAÇÕES!$D$7), E215&lt;='PAINEL DE CONTROLE'!$C$5*(1+CONFIGURAÇÕES!$D$7)), "DENTRO", "FORA"))</f>
        <v/>
      </c>
    </row>
    <row r="216" spans="2:6" x14ac:dyDescent="0.2">
      <c r="B216" s="47"/>
      <c r="C216" s="48" t="str">
        <f t="shared" si="4"/>
        <v/>
      </c>
      <c r="D216" s="44"/>
      <c r="E216" s="42"/>
      <c r="F216" s="43" t="str">
        <f>IF(E216="", "", IF(AND(E216&gt;='PAINEL DE CONTROLE'!$C$5*(1-CONFIGURAÇÕES!$D$7), E216&lt;='PAINEL DE CONTROLE'!$C$5*(1+CONFIGURAÇÕES!$D$7)), "DENTRO", "FORA"))</f>
        <v/>
      </c>
    </row>
    <row r="217" spans="2:6" x14ac:dyDescent="0.2">
      <c r="B217" s="47"/>
      <c r="C217" s="48" t="str">
        <f t="shared" si="4"/>
        <v/>
      </c>
      <c r="D217" s="44"/>
      <c r="E217" s="42"/>
      <c r="F217" s="43" t="str">
        <f>IF(E217="", "", IF(AND(E217&gt;='PAINEL DE CONTROLE'!$C$5*(1-CONFIGURAÇÕES!$D$7), E217&lt;='PAINEL DE CONTROLE'!$C$5*(1+CONFIGURAÇÕES!$D$7)), "DENTRO", "FORA"))</f>
        <v/>
      </c>
    </row>
    <row r="218" spans="2:6" x14ac:dyDescent="0.2">
      <c r="B218" s="47"/>
      <c r="C218" s="48" t="str">
        <f t="shared" si="4"/>
        <v/>
      </c>
      <c r="D218" s="44"/>
      <c r="E218" s="42"/>
      <c r="F218" s="43" t="str">
        <f>IF(E218="", "", IF(AND(E218&gt;='PAINEL DE CONTROLE'!$C$5*(1-CONFIGURAÇÕES!$D$7), E218&lt;='PAINEL DE CONTROLE'!$C$5*(1+CONFIGURAÇÕES!$D$7)), "DENTRO", "FORA"))</f>
        <v/>
      </c>
    </row>
    <row r="219" spans="2:6" x14ac:dyDescent="0.2">
      <c r="B219" s="47"/>
      <c r="C219" s="48" t="str">
        <f t="shared" si="4"/>
        <v/>
      </c>
      <c r="D219" s="44"/>
      <c r="E219" s="42"/>
      <c r="F219" s="43" t="str">
        <f>IF(E219="", "", IF(AND(E219&gt;='PAINEL DE CONTROLE'!$C$5*(1-CONFIGURAÇÕES!$D$7), E219&lt;='PAINEL DE CONTROLE'!$C$5*(1+CONFIGURAÇÕES!$D$7)), "DENTRO", "FORA"))</f>
        <v/>
      </c>
    </row>
    <row r="220" spans="2:6" x14ac:dyDescent="0.2">
      <c r="B220" s="47"/>
      <c r="C220" s="48" t="str">
        <f t="shared" si="4"/>
        <v/>
      </c>
      <c r="D220" s="44"/>
      <c r="E220" s="42"/>
      <c r="F220" s="43" t="str">
        <f>IF(E220="", "", IF(AND(E220&gt;='PAINEL DE CONTROLE'!$C$5*(1-CONFIGURAÇÕES!$D$7), E220&lt;='PAINEL DE CONTROLE'!$C$5*(1+CONFIGURAÇÕES!$D$7)), "DENTRO", "FORA"))</f>
        <v/>
      </c>
    </row>
    <row r="221" spans="2:6" x14ac:dyDescent="0.2">
      <c r="B221" s="47"/>
      <c r="C221" s="48" t="str">
        <f t="shared" si="4"/>
        <v/>
      </c>
      <c r="D221" s="44"/>
      <c r="E221" s="42"/>
      <c r="F221" s="43" t="str">
        <f>IF(E221="", "", IF(AND(E221&gt;='PAINEL DE CONTROLE'!$C$5*(1-CONFIGURAÇÕES!$D$7), E221&lt;='PAINEL DE CONTROLE'!$C$5*(1+CONFIGURAÇÕES!$D$7)), "DENTRO", "FORA"))</f>
        <v/>
      </c>
    </row>
    <row r="222" spans="2:6" x14ac:dyDescent="0.2">
      <c r="B222" s="47"/>
      <c r="C222" s="48" t="str">
        <f t="shared" si="4"/>
        <v/>
      </c>
      <c r="D222" s="44"/>
      <c r="E222" s="42"/>
      <c r="F222" s="43" t="str">
        <f>IF(E222="", "", IF(AND(E222&gt;='PAINEL DE CONTROLE'!$C$5*(1-CONFIGURAÇÕES!$D$7), E222&lt;='PAINEL DE CONTROLE'!$C$5*(1+CONFIGURAÇÕES!$D$7)), "DENTRO", "FORA"))</f>
        <v/>
      </c>
    </row>
    <row r="223" spans="2:6" x14ac:dyDescent="0.2">
      <c r="B223" s="47"/>
      <c r="C223" s="48" t="str">
        <f t="shared" si="4"/>
        <v/>
      </c>
      <c r="D223" s="44"/>
      <c r="E223" s="42"/>
      <c r="F223" s="43" t="str">
        <f>IF(E223="", "", IF(AND(E223&gt;='PAINEL DE CONTROLE'!$C$5*(1-CONFIGURAÇÕES!$D$7), E223&lt;='PAINEL DE CONTROLE'!$C$5*(1+CONFIGURAÇÕES!$D$7)), "DENTRO", "FORA"))</f>
        <v/>
      </c>
    </row>
    <row r="224" spans="2:6" x14ac:dyDescent="0.2">
      <c r="B224" s="47"/>
      <c r="C224" s="48" t="str">
        <f t="shared" si="4"/>
        <v/>
      </c>
      <c r="D224" s="44"/>
      <c r="E224" s="42"/>
      <c r="F224" s="43" t="str">
        <f>IF(E224="", "", IF(AND(E224&gt;='PAINEL DE CONTROLE'!$C$5*(1-CONFIGURAÇÕES!$D$7), E224&lt;='PAINEL DE CONTROLE'!$C$5*(1+CONFIGURAÇÕES!$D$7)), "DENTRO", "FORA"))</f>
        <v/>
      </c>
    </row>
    <row r="225" spans="2:6" x14ac:dyDescent="0.2">
      <c r="B225" s="47"/>
      <c r="C225" s="48" t="str">
        <f t="shared" si="4"/>
        <v/>
      </c>
      <c r="D225" s="44"/>
      <c r="E225" s="42"/>
      <c r="F225" s="43" t="str">
        <f>IF(E225="", "", IF(AND(E225&gt;='PAINEL DE CONTROLE'!$C$5*(1-CONFIGURAÇÕES!$D$7), E225&lt;='PAINEL DE CONTROLE'!$C$5*(1+CONFIGURAÇÕES!$D$7)), "DENTRO", "FORA"))</f>
        <v/>
      </c>
    </row>
    <row r="226" spans="2:6" x14ac:dyDescent="0.2">
      <c r="B226" s="47"/>
      <c r="C226" s="48" t="str">
        <f t="shared" si="4"/>
        <v/>
      </c>
      <c r="D226" s="44"/>
      <c r="E226" s="42"/>
      <c r="F226" s="43" t="str">
        <f>IF(E226="", "", IF(AND(E226&gt;='PAINEL DE CONTROLE'!$C$5*(1-CONFIGURAÇÕES!$D$7), E226&lt;='PAINEL DE CONTROLE'!$C$5*(1+CONFIGURAÇÕES!$D$7)), "DENTRO", "FORA"))</f>
        <v/>
      </c>
    </row>
    <row r="227" spans="2:6" x14ac:dyDescent="0.2">
      <c r="B227" s="47"/>
      <c r="C227" s="48" t="str">
        <f t="shared" si="4"/>
        <v/>
      </c>
      <c r="D227" s="44"/>
      <c r="E227" s="42"/>
      <c r="F227" s="43" t="str">
        <f>IF(E227="", "", IF(AND(E227&gt;='PAINEL DE CONTROLE'!$C$5*(1-CONFIGURAÇÕES!$D$7), E227&lt;='PAINEL DE CONTROLE'!$C$5*(1+CONFIGURAÇÕES!$D$7)), "DENTRO", "FORA"))</f>
        <v/>
      </c>
    </row>
    <row r="228" spans="2:6" x14ac:dyDescent="0.2">
      <c r="B228" s="47"/>
      <c r="C228" s="48" t="str">
        <f t="shared" si="4"/>
        <v/>
      </c>
      <c r="D228" s="44"/>
      <c r="E228" s="42"/>
      <c r="F228" s="43" t="str">
        <f>IF(E228="", "", IF(AND(E228&gt;='PAINEL DE CONTROLE'!$C$5*(1-CONFIGURAÇÕES!$D$7), E228&lt;='PAINEL DE CONTROLE'!$C$5*(1+CONFIGURAÇÕES!$D$7)), "DENTRO", "FORA"))</f>
        <v/>
      </c>
    </row>
    <row r="229" spans="2:6" x14ac:dyDescent="0.2">
      <c r="B229" s="47"/>
      <c r="C229" s="48" t="str">
        <f t="shared" si="4"/>
        <v/>
      </c>
      <c r="D229" s="44"/>
      <c r="E229" s="42"/>
      <c r="F229" s="43" t="str">
        <f>IF(E229="", "", IF(AND(E229&gt;='PAINEL DE CONTROLE'!$C$5*(1-CONFIGURAÇÕES!$D$7), E229&lt;='PAINEL DE CONTROLE'!$C$5*(1+CONFIGURAÇÕES!$D$7)), "DENTRO", "FORA"))</f>
        <v/>
      </c>
    </row>
    <row r="230" spans="2:6" x14ac:dyDescent="0.2">
      <c r="B230" s="47"/>
      <c r="C230" s="48" t="str">
        <f t="shared" si="4"/>
        <v/>
      </c>
      <c r="D230" s="44"/>
      <c r="E230" s="42"/>
      <c r="F230" s="43" t="str">
        <f>IF(E230="", "", IF(AND(E230&gt;='PAINEL DE CONTROLE'!$C$5*(1-CONFIGURAÇÕES!$D$7), E230&lt;='PAINEL DE CONTROLE'!$C$5*(1+CONFIGURAÇÕES!$D$7)), "DENTRO", "FORA"))</f>
        <v/>
      </c>
    </row>
    <row r="231" spans="2:6" x14ac:dyDescent="0.2">
      <c r="B231" s="47"/>
      <c r="C231" s="48" t="str">
        <f t="shared" si="4"/>
        <v/>
      </c>
      <c r="D231" s="44"/>
      <c r="E231" s="42"/>
      <c r="F231" s="43" t="str">
        <f>IF(E231="", "", IF(AND(E231&gt;='PAINEL DE CONTROLE'!$C$5*(1-CONFIGURAÇÕES!$D$7), E231&lt;='PAINEL DE CONTROLE'!$C$5*(1+CONFIGURAÇÕES!$D$7)), "DENTRO", "FORA"))</f>
        <v/>
      </c>
    </row>
    <row r="232" spans="2:6" x14ac:dyDescent="0.2">
      <c r="B232" s="47"/>
      <c r="C232" s="48" t="str">
        <f t="shared" si="4"/>
        <v/>
      </c>
      <c r="D232" s="44"/>
      <c r="E232" s="42"/>
      <c r="F232" s="43" t="str">
        <f>IF(E232="", "", IF(AND(E232&gt;='PAINEL DE CONTROLE'!$C$5*(1-CONFIGURAÇÕES!$D$7), E232&lt;='PAINEL DE CONTROLE'!$C$5*(1+CONFIGURAÇÕES!$D$7)), "DENTRO", "FORA"))</f>
        <v/>
      </c>
    </row>
    <row r="233" spans="2:6" x14ac:dyDescent="0.2">
      <c r="B233" s="47"/>
      <c r="C233" s="48" t="str">
        <f t="shared" si="4"/>
        <v/>
      </c>
      <c r="D233" s="44"/>
      <c r="E233" s="42"/>
      <c r="F233" s="43" t="str">
        <f>IF(E233="", "", IF(AND(E233&gt;='PAINEL DE CONTROLE'!$C$5*(1-CONFIGURAÇÕES!$D$7), E233&lt;='PAINEL DE CONTROLE'!$C$5*(1+CONFIGURAÇÕES!$D$7)), "DENTRO", "FORA"))</f>
        <v/>
      </c>
    </row>
    <row r="234" spans="2:6" x14ac:dyDescent="0.2">
      <c r="B234" s="47"/>
      <c r="C234" s="48" t="str">
        <f t="shared" si="4"/>
        <v/>
      </c>
      <c r="D234" s="44"/>
      <c r="E234" s="42"/>
      <c r="F234" s="43" t="str">
        <f>IF(E234="", "", IF(AND(E234&gt;='PAINEL DE CONTROLE'!$C$5*(1-CONFIGURAÇÕES!$D$7), E234&lt;='PAINEL DE CONTROLE'!$C$5*(1+CONFIGURAÇÕES!$D$7)), "DENTRO", "FORA"))</f>
        <v/>
      </c>
    </row>
    <row r="235" spans="2:6" x14ac:dyDescent="0.2">
      <c r="B235" s="47"/>
      <c r="C235" s="48" t="str">
        <f t="shared" si="4"/>
        <v/>
      </c>
      <c r="D235" s="44"/>
      <c r="E235" s="42"/>
      <c r="F235" s="43" t="str">
        <f>IF(E235="", "", IF(AND(E235&gt;='PAINEL DE CONTROLE'!$C$5*(1-CONFIGURAÇÕES!$D$7), E235&lt;='PAINEL DE CONTROLE'!$C$5*(1+CONFIGURAÇÕES!$D$7)), "DENTRO", "FORA"))</f>
        <v/>
      </c>
    </row>
    <row r="236" spans="2:6" x14ac:dyDescent="0.2">
      <c r="B236" s="47"/>
      <c r="C236" s="48" t="str">
        <f t="shared" si="4"/>
        <v/>
      </c>
      <c r="D236" s="44"/>
      <c r="E236" s="42"/>
      <c r="F236" s="43" t="str">
        <f>IF(E236="", "", IF(AND(E236&gt;='PAINEL DE CONTROLE'!$C$5*(1-CONFIGURAÇÕES!$D$7), E236&lt;='PAINEL DE CONTROLE'!$C$5*(1+CONFIGURAÇÕES!$D$7)), "DENTRO", "FORA"))</f>
        <v/>
      </c>
    </row>
    <row r="237" spans="2:6" x14ac:dyDescent="0.2">
      <c r="B237" s="47"/>
      <c r="C237" s="48" t="str">
        <f t="shared" si="4"/>
        <v/>
      </c>
      <c r="D237" s="44"/>
      <c r="E237" s="42"/>
      <c r="F237" s="43" t="str">
        <f>IF(E237="", "", IF(AND(E237&gt;='PAINEL DE CONTROLE'!$C$5*(1-CONFIGURAÇÕES!$D$7), E237&lt;='PAINEL DE CONTROLE'!$C$5*(1+CONFIGURAÇÕES!$D$7)), "DENTRO", "FORA"))</f>
        <v/>
      </c>
    </row>
    <row r="238" spans="2:6" x14ac:dyDescent="0.2">
      <c r="B238" s="47"/>
      <c r="C238" s="48" t="str">
        <f t="shared" si="4"/>
        <v/>
      </c>
      <c r="D238" s="44"/>
      <c r="E238" s="42"/>
      <c r="F238" s="43" t="str">
        <f>IF(E238="", "", IF(AND(E238&gt;='PAINEL DE CONTROLE'!$C$5*(1-CONFIGURAÇÕES!$D$7), E238&lt;='PAINEL DE CONTROLE'!$C$5*(1+CONFIGURAÇÕES!$D$7)), "DENTRO", "FORA"))</f>
        <v/>
      </c>
    </row>
    <row r="239" spans="2:6" x14ac:dyDescent="0.2">
      <c r="B239" s="47"/>
      <c r="C239" s="48" t="str">
        <f t="shared" si="4"/>
        <v/>
      </c>
      <c r="D239" s="44"/>
      <c r="E239" s="42"/>
      <c r="F239" s="43" t="str">
        <f>IF(E239="", "", IF(AND(E239&gt;='PAINEL DE CONTROLE'!$C$5*(1-CONFIGURAÇÕES!$D$7), E239&lt;='PAINEL DE CONTROLE'!$C$5*(1+CONFIGURAÇÕES!$D$7)), "DENTRO", "FORA"))</f>
        <v/>
      </c>
    </row>
    <row r="240" spans="2:6" x14ac:dyDescent="0.2">
      <c r="B240" s="47"/>
      <c r="C240" s="48" t="str">
        <f t="shared" si="4"/>
        <v/>
      </c>
      <c r="D240" s="44"/>
      <c r="E240" s="42"/>
      <c r="F240" s="43" t="str">
        <f>IF(E240="", "", IF(AND(E240&gt;='PAINEL DE CONTROLE'!$C$5*(1-CONFIGURAÇÕES!$D$7), E240&lt;='PAINEL DE CONTROLE'!$C$5*(1+CONFIGURAÇÕES!$D$7)), "DENTRO", "FORA"))</f>
        <v/>
      </c>
    </row>
    <row r="241" spans="2:6" x14ac:dyDescent="0.2">
      <c r="B241" s="47"/>
      <c r="C241" s="48" t="str">
        <f t="shared" si="4"/>
        <v/>
      </c>
      <c r="D241" s="44"/>
      <c r="E241" s="42"/>
      <c r="F241" s="43" t="str">
        <f>IF(E241="", "", IF(AND(E241&gt;='PAINEL DE CONTROLE'!$C$5*(1-CONFIGURAÇÕES!$D$7), E241&lt;='PAINEL DE CONTROLE'!$C$5*(1+CONFIGURAÇÕES!$D$7)), "DENTRO", "FORA"))</f>
        <v/>
      </c>
    </row>
    <row r="242" spans="2:6" x14ac:dyDescent="0.2">
      <c r="B242" s="47"/>
      <c r="C242" s="48" t="str">
        <f t="shared" si="4"/>
        <v/>
      </c>
      <c r="D242" s="44"/>
      <c r="E242" s="42"/>
      <c r="F242" s="43" t="str">
        <f>IF(E242="", "", IF(AND(E242&gt;='PAINEL DE CONTROLE'!$C$5*(1-CONFIGURAÇÕES!$D$7), E242&lt;='PAINEL DE CONTROLE'!$C$5*(1+CONFIGURAÇÕES!$D$7)), "DENTRO", "FORA"))</f>
        <v/>
      </c>
    </row>
    <row r="243" spans="2:6" x14ac:dyDescent="0.2">
      <c r="B243" s="47"/>
      <c r="C243" s="48" t="str">
        <f t="shared" si="4"/>
        <v/>
      </c>
      <c r="D243" s="44"/>
      <c r="E243" s="42"/>
      <c r="F243" s="43" t="str">
        <f>IF(E243="", "", IF(AND(E243&gt;='PAINEL DE CONTROLE'!$C$5*(1-CONFIGURAÇÕES!$D$7), E243&lt;='PAINEL DE CONTROLE'!$C$5*(1+CONFIGURAÇÕES!$D$7)), "DENTRO", "FORA"))</f>
        <v/>
      </c>
    </row>
    <row r="244" spans="2:6" x14ac:dyDescent="0.2">
      <c r="B244" s="47"/>
      <c r="C244" s="48" t="str">
        <f t="shared" si="4"/>
        <v/>
      </c>
      <c r="D244" s="44"/>
      <c r="E244" s="42"/>
      <c r="F244" s="43" t="str">
        <f>IF(E244="", "", IF(AND(E244&gt;='PAINEL DE CONTROLE'!$C$5*(1-CONFIGURAÇÕES!$D$7), E244&lt;='PAINEL DE CONTROLE'!$C$5*(1+CONFIGURAÇÕES!$D$7)), "DENTRO", "FORA"))</f>
        <v/>
      </c>
    </row>
    <row r="245" spans="2:6" x14ac:dyDescent="0.2">
      <c r="B245" s="47"/>
      <c r="C245" s="48" t="str">
        <f t="shared" si="4"/>
        <v/>
      </c>
      <c r="D245" s="44"/>
      <c r="E245" s="42"/>
      <c r="F245" s="43" t="str">
        <f>IF(E245="", "", IF(AND(E245&gt;='PAINEL DE CONTROLE'!$C$5*(1-CONFIGURAÇÕES!$D$7), E245&lt;='PAINEL DE CONTROLE'!$C$5*(1+CONFIGURAÇÕES!$D$7)), "DENTRO", "FORA"))</f>
        <v/>
      </c>
    </row>
    <row r="246" spans="2:6" x14ac:dyDescent="0.2">
      <c r="B246" s="47"/>
      <c r="C246" s="48" t="str">
        <f t="shared" si="4"/>
        <v/>
      </c>
      <c r="D246" s="44"/>
      <c r="E246" s="42"/>
      <c r="F246" s="43" t="str">
        <f>IF(E246="", "", IF(AND(E246&gt;='PAINEL DE CONTROLE'!$C$5*(1-CONFIGURAÇÕES!$D$7), E246&lt;='PAINEL DE CONTROLE'!$C$5*(1+CONFIGURAÇÕES!$D$7)), "DENTRO", "FORA"))</f>
        <v/>
      </c>
    </row>
    <row r="247" spans="2:6" x14ac:dyDescent="0.2">
      <c r="B247" s="47"/>
      <c r="C247" s="48" t="str">
        <f t="shared" si="4"/>
        <v/>
      </c>
      <c r="D247" s="44"/>
      <c r="E247" s="42"/>
      <c r="F247" s="43" t="str">
        <f>IF(E247="", "", IF(AND(E247&gt;='PAINEL DE CONTROLE'!$C$5*(1-CONFIGURAÇÕES!$D$7), E247&lt;='PAINEL DE CONTROLE'!$C$5*(1+CONFIGURAÇÕES!$D$7)), "DENTRO", "FORA"))</f>
        <v/>
      </c>
    </row>
    <row r="248" spans="2:6" x14ac:dyDescent="0.2">
      <c r="B248" s="47"/>
      <c r="C248" s="48" t="str">
        <f t="shared" si="4"/>
        <v/>
      </c>
      <c r="D248" s="44"/>
      <c r="E248" s="42"/>
      <c r="F248" s="43" t="str">
        <f>IF(E248="", "", IF(AND(E248&gt;='PAINEL DE CONTROLE'!$C$5*(1-CONFIGURAÇÕES!$D$7), E248&lt;='PAINEL DE CONTROLE'!$C$5*(1+CONFIGURAÇÕES!$D$7)), "DENTRO", "FORA"))</f>
        <v/>
      </c>
    </row>
    <row r="249" spans="2:6" x14ac:dyDescent="0.2">
      <c r="B249" s="47"/>
      <c r="C249" s="48" t="str">
        <f t="shared" si="4"/>
        <v/>
      </c>
      <c r="D249" s="44"/>
      <c r="E249" s="42"/>
      <c r="F249" s="43" t="str">
        <f>IF(E249="", "", IF(AND(E249&gt;='PAINEL DE CONTROLE'!$C$5*(1-CONFIGURAÇÕES!$D$7), E249&lt;='PAINEL DE CONTROLE'!$C$5*(1+CONFIGURAÇÕES!$D$7)), "DENTRO", "FORA"))</f>
        <v/>
      </c>
    </row>
    <row r="250" spans="2:6" x14ac:dyDescent="0.2">
      <c r="B250" s="47"/>
      <c r="C250" s="48" t="str">
        <f t="shared" si="4"/>
        <v/>
      </c>
      <c r="D250" s="44"/>
      <c r="E250" s="42"/>
      <c r="F250" s="43" t="str">
        <f>IF(E250="", "", IF(AND(E250&gt;='PAINEL DE CONTROLE'!$C$5*(1-CONFIGURAÇÕES!$D$7), E250&lt;='PAINEL DE CONTROLE'!$C$5*(1+CONFIGURAÇÕES!$D$7)), "DENTRO", "FORA"))</f>
        <v/>
      </c>
    </row>
    <row r="251" spans="2:6" x14ac:dyDescent="0.2">
      <c r="B251" s="47"/>
      <c r="C251" s="48" t="str">
        <f t="shared" si="4"/>
        <v/>
      </c>
      <c r="D251" s="44"/>
      <c r="E251" s="42"/>
      <c r="F251" s="43" t="str">
        <f>IF(E251="", "", IF(AND(E251&gt;='PAINEL DE CONTROLE'!$C$5*(1-CONFIGURAÇÕES!$D$7), E251&lt;='PAINEL DE CONTROLE'!$C$5*(1+CONFIGURAÇÕES!$D$7)), "DENTRO", "FORA"))</f>
        <v/>
      </c>
    </row>
    <row r="252" spans="2:6" x14ac:dyDescent="0.2">
      <c r="B252" s="47"/>
      <c r="C252" s="48" t="str">
        <f t="shared" si="4"/>
        <v/>
      </c>
      <c r="D252" s="44"/>
      <c r="E252" s="42"/>
      <c r="F252" s="43" t="str">
        <f>IF(E252="", "", IF(AND(E252&gt;='PAINEL DE CONTROLE'!$C$5*(1-CONFIGURAÇÕES!$D$7), E252&lt;='PAINEL DE CONTROLE'!$C$5*(1+CONFIGURAÇÕES!$D$7)), "DENTRO", "FORA"))</f>
        <v/>
      </c>
    </row>
    <row r="253" spans="2:6" x14ac:dyDescent="0.2">
      <c r="B253" s="47"/>
      <c r="C253" s="48" t="str">
        <f t="shared" si="4"/>
        <v/>
      </c>
      <c r="D253" s="44"/>
      <c r="E253" s="42"/>
      <c r="F253" s="43" t="str">
        <f>IF(E253="", "", IF(AND(E253&gt;='PAINEL DE CONTROLE'!$C$5*(1-CONFIGURAÇÕES!$D$7), E253&lt;='PAINEL DE CONTROLE'!$C$5*(1+CONFIGURAÇÕES!$D$7)), "DENTRO", "FORA"))</f>
        <v/>
      </c>
    </row>
    <row r="254" spans="2:6" x14ac:dyDescent="0.2">
      <c r="B254" s="47"/>
      <c r="C254" s="48" t="str">
        <f t="shared" si="4"/>
        <v/>
      </c>
      <c r="D254" s="44"/>
      <c r="E254" s="42"/>
      <c r="F254" s="43" t="str">
        <f>IF(E254="", "", IF(AND(E254&gt;='PAINEL DE CONTROLE'!$C$5*(1-CONFIGURAÇÕES!$D$7), E254&lt;='PAINEL DE CONTROLE'!$C$5*(1+CONFIGURAÇÕES!$D$7)), "DENTRO", "FORA"))</f>
        <v/>
      </c>
    </row>
    <row r="255" spans="2:6" x14ac:dyDescent="0.2">
      <c r="B255" s="47"/>
      <c r="C255" s="48" t="str">
        <f t="shared" si="4"/>
        <v/>
      </c>
      <c r="D255" s="44"/>
      <c r="E255" s="42"/>
      <c r="F255" s="43" t="str">
        <f>IF(E255="", "", IF(AND(E255&gt;='PAINEL DE CONTROLE'!$C$5*(1-CONFIGURAÇÕES!$D$7), E255&lt;='PAINEL DE CONTROLE'!$C$5*(1+CONFIGURAÇÕES!$D$7)), "DENTRO", "FORA"))</f>
        <v/>
      </c>
    </row>
    <row r="256" spans="2:6" x14ac:dyDescent="0.2">
      <c r="B256" s="47"/>
      <c r="C256" s="48" t="str">
        <f t="shared" si="4"/>
        <v/>
      </c>
      <c r="D256" s="44"/>
      <c r="E256" s="42"/>
      <c r="F256" s="43" t="str">
        <f>IF(E256="", "", IF(AND(E256&gt;='PAINEL DE CONTROLE'!$C$5*(1-CONFIGURAÇÕES!$D$7), E256&lt;='PAINEL DE CONTROLE'!$C$5*(1+CONFIGURAÇÕES!$D$7)), "DENTRO", "FORA"))</f>
        <v/>
      </c>
    </row>
    <row r="257" spans="2:6" x14ac:dyDescent="0.2">
      <c r="B257" s="47"/>
      <c r="C257" s="48" t="str">
        <f t="shared" si="4"/>
        <v/>
      </c>
      <c r="D257" s="44"/>
      <c r="E257" s="42"/>
      <c r="F257" s="43" t="str">
        <f>IF(E257="", "", IF(AND(E257&gt;='PAINEL DE CONTROLE'!$C$5*(1-CONFIGURAÇÕES!$D$7), E257&lt;='PAINEL DE CONTROLE'!$C$5*(1+CONFIGURAÇÕES!$D$7)), "DENTRO", "FORA"))</f>
        <v/>
      </c>
    </row>
    <row r="258" spans="2:6" x14ac:dyDescent="0.2">
      <c r="B258" s="47"/>
      <c r="C258" s="48" t="str">
        <f t="shared" si="4"/>
        <v/>
      </c>
      <c r="D258" s="44"/>
      <c r="E258" s="42"/>
      <c r="F258" s="43" t="str">
        <f>IF(E258="", "", IF(AND(E258&gt;='PAINEL DE CONTROLE'!$C$5*(1-CONFIGURAÇÕES!$D$7), E258&lt;='PAINEL DE CONTROLE'!$C$5*(1+CONFIGURAÇÕES!$D$7)), "DENTRO", "FORA"))</f>
        <v/>
      </c>
    </row>
    <row r="259" spans="2:6" x14ac:dyDescent="0.2">
      <c r="B259" s="47"/>
      <c r="C259" s="48" t="str">
        <f t="shared" si="4"/>
        <v/>
      </c>
      <c r="D259" s="44"/>
      <c r="E259" s="42"/>
      <c r="F259" s="43" t="str">
        <f>IF(E259="", "", IF(AND(E259&gt;='PAINEL DE CONTROLE'!$C$5*(1-CONFIGURAÇÕES!$D$7), E259&lt;='PAINEL DE CONTROLE'!$C$5*(1+CONFIGURAÇÕES!$D$7)), "DENTRO", "FORA"))</f>
        <v/>
      </c>
    </row>
    <row r="260" spans="2:6" x14ac:dyDescent="0.2">
      <c r="B260" s="47"/>
      <c r="C260" s="48" t="str">
        <f t="shared" si="4"/>
        <v/>
      </c>
      <c r="D260" s="44"/>
      <c r="E260" s="42"/>
      <c r="F260" s="43" t="str">
        <f>IF(E260="", "", IF(AND(E260&gt;='PAINEL DE CONTROLE'!$C$5*(1-CONFIGURAÇÕES!$D$7), E260&lt;='PAINEL DE CONTROLE'!$C$5*(1+CONFIGURAÇÕES!$D$7)), "DENTRO", "FORA"))</f>
        <v/>
      </c>
    </row>
    <row r="261" spans="2:6" x14ac:dyDescent="0.2">
      <c r="B261" s="47"/>
      <c r="C261" s="48" t="str">
        <f t="shared" ref="C261:C324" si="5">IF(B261="","",IF(AND(B261&gt;=$E$8,B261&lt;=$E$9),"DENTRO","FORA"))</f>
        <v/>
      </c>
      <c r="D261" s="44"/>
      <c r="E261" s="42"/>
      <c r="F261" s="43" t="str">
        <f>IF(E261="", "", IF(AND(E261&gt;='PAINEL DE CONTROLE'!$C$5*(1-CONFIGURAÇÕES!$D$7), E261&lt;='PAINEL DE CONTROLE'!$C$5*(1+CONFIGURAÇÕES!$D$7)), "DENTRO", "FORA"))</f>
        <v/>
      </c>
    </row>
    <row r="262" spans="2:6" x14ac:dyDescent="0.2">
      <c r="B262" s="47"/>
      <c r="C262" s="48" t="str">
        <f t="shared" si="5"/>
        <v/>
      </c>
      <c r="D262" s="44"/>
      <c r="E262" s="42"/>
      <c r="F262" s="43" t="str">
        <f>IF(E262="", "", IF(AND(E262&gt;='PAINEL DE CONTROLE'!$C$5*(1-CONFIGURAÇÕES!$D$7), E262&lt;='PAINEL DE CONTROLE'!$C$5*(1+CONFIGURAÇÕES!$D$7)), "DENTRO", "FORA"))</f>
        <v/>
      </c>
    </row>
    <row r="263" spans="2:6" x14ac:dyDescent="0.2">
      <c r="B263" s="47"/>
      <c r="C263" s="48" t="str">
        <f t="shared" si="5"/>
        <v/>
      </c>
      <c r="D263" s="44"/>
      <c r="E263" s="42"/>
      <c r="F263" s="43" t="str">
        <f>IF(E263="", "", IF(AND(E263&gt;='PAINEL DE CONTROLE'!$C$5*(1-CONFIGURAÇÕES!$D$7), E263&lt;='PAINEL DE CONTROLE'!$C$5*(1+CONFIGURAÇÕES!$D$7)), "DENTRO", "FORA"))</f>
        <v/>
      </c>
    </row>
    <row r="264" spans="2:6" x14ac:dyDescent="0.2">
      <c r="B264" s="47"/>
      <c r="C264" s="48" t="str">
        <f t="shared" si="5"/>
        <v/>
      </c>
      <c r="D264" s="44"/>
      <c r="E264" s="42"/>
      <c r="F264" s="43" t="str">
        <f>IF(E264="", "", IF(AND(E264&gt;='PAINEL DE CONTROLE'!$C$5*(1-CONFIGURAÇÕES!$D$7), E264&lt;='PAINEL DE CONTROLE'!$C$5*(1+CONFIGURAÇÕES!$D$7)), "DENTRO", "FORA"))</f>
        <v/>
      </c>
    </row>
    <row r="265" spans="2:6" x14ac:dyDescent="0.2">
      <c r="B265" s="47"/>
      <c r="C265" s="48" t="str">
        <f t="shared" si="5"/>
        <v/>
      </c>
      <c r="D265" s="44"/>
      <c r="E265" s="42"/>
      <c r="F265" s="43" t="str">
        <f>IF(E265="", "", IF(AND(E265&gt;='PAINEL DE CONTROLE'!$C$5*(1-CONFIGURAÇÕES!$D$7), E265&lt;='PAINEL DE CONTROLE'!$C$5*(1+CONFIGURAÇÕES!$D$7)), "DENTRO", "FORA"))</f>
        <v/>
      </c>
    </row>
    <row r="266" spans="2:6" x14ac:dyDescent="0.2">
      <c r="B266" s="47"/>
      <c r="C266" s="48" t="str">
        <f t="shared" si="5"/>
        <v/>
      </c>
      <c r="D266" s="44"/>
      <c r="E266" s="42"/>
      <c r="F266" s="43" t="str">
        <f>IF(E266="", "", IF(AND(E266&gt;='PAINEL DE CONTROLE'!$C$5*(1-CONFIGURAÇÕES!$D$7), E266&lt;='PAINEL DE CONTROLE'!$C$5*(1+CONFIGURAÇÕES!$D$7)), "DENTRO", "FORA"))</f>
        <v/>
      </c>
    </row>
    <row r="267" spans="2:6" x14ac:dyDescent="0.2">
      <c r="B267" s="47"/>
      <c r="C267" s="48" t="str">
        <f t="shared" si="5"/>
        <v/>
      </c>
      <c r="D267" s="44"/>
      <c r="E267" s="42"/>
      <c r="F267" s="43" t="str">
        <f>IF(E267="", "", IF(AND(E267&gt;='PAINEL DE CONTROLE'!$C$5*(1-CONFIGURAÇÕES!$D$7), E267&lt;='PAINEL DE CONTROLE'!$C$5*(1+CONFIGURAÇÕES!$D$7)), "DENTRO", "FORA"))</f>
        <v/>
      </c>
    </row>
    <row r="268" spans="2:6" x14ac:dyDescent="0.2">
      <c r="B268" s="47"/>
      <c r="C268" s="48" t="str">
        <f t="shared" si="5"/>
        <v/>
      </c>
      <c r="D268" s="44"/>
      <c r="E268" s="42"/>
      <c r="F268" s="43" t="str">
        <f>IF(E268="", "", IF(AND(E268&gt;='PAINEL DE CONTROLE'!$C$5*(1-CONFIGURAÇÕES!$D$7), E268&lt;='PAINEL DE CONTROLE'!$C$5*(1+CONFIGURAÇÕES!$D$7)), "DENTRO", "FORA"))</f>
        <v/>
      </c>
    </row>
    <row r="269" spans="2:6" x14ac:dyDescent="0.2">
      <c r="B269" s="47"/>
      <c r="C269" s="48" t="str">
        <f t="shared" si="5"/>
        <v/>
      </c>
      <c r="D269" s="44"/>
      <c r="E269" s="42"/>
      <c r="F269" s="43" t="str">
        <f>IF(E269="", "", IF(AND(E269&gt;='PAINEL DE CONTROLE'!$C$5*(1-CONFIGURAÇÕES!$D$7), E269&lt;='PAINEL DE CONTROLE'!$C$5*(1+CONFIGURAÇÕES!$D$7)), "DENTRO", "FORA"))</f>
        <v/>
      </c>
    </row>
    <row r="270" spans="2:6" x14ac:dyDescent="0.2">
      <c r="B270" s="47"/>
      <c r="C270" s="48" t="str">
        <f t="shared" si="5"/>
        <v/>
      </c>
      <c r="D270" s="44"/>
      <c r="E270" s="42"/>
      <c r="F270" s="43" t="str">
        <f>IF(E270="", "", IF(AND(E270&gt;='PAINEL DE CONTROLE'!$C$5*(1-CONFIGURAÇÕES!$D$7), E270&lt;='PAINEL DE CONTROLE'!$C$5*(1+CONFIGURAÇÕES!$D$7)), "DENTRO", "FORA"))</f>
        <v/>
      </c>
    </row>
    <row r="271" spans="2:6" x14ac:dyDescent="0.2">
      <c r="B271" s="47"/>
      <c r="C271" s="48" t="str">
        <f t="shared" si="5"/>
        <v/>
      </c>
      <c r="D271" s="44"/>
      <c r="E271" s="42"/>
      <c r="F271" s="43" t="str">
        <f>IF(E271="", "", IF(AND(E271&gt;='PAINEL DE CONTROLE'!$C$5*(1-CONFIGURAÇÕES!$D$7), E271&lt;='PAINEL DE CONTROLE'!$C$5*(1+CONFIGURAÇÕES!$D$7)), "DENTRO", "FORA"))</f>
        <v/>
      </c>
    </row>
    <row r="272" spans="2:6" x14ac:dyDescent="0.2">
      <c r="B272" s="47"/>
      <c r="C272" s="48" t="str">
        <f t="shared" si="5"/>
        <v/>
      </c>
      <c r="D272" s="44"/>
      <c r="E272" s="42"/>
      <c r="F272" s="43" t="str">
        <f>IF(E272="", "", IF(AND(E272&gt;='PAINEL DE CONTROLE'!$C$5*(1-CONFIGURAÇÕES!$D$7), E272&lt;='PAINEL DE CONTROLE'!$C$5*(1+CONFIGURAÇÕES!$D$7)), "DENTRO", "FORA"))</f>
        <v/>
      </c>
    </row>
    <row r="273" spans="2:6" x14ac:dyDescent="0.2">
      <c r="B273" s="47"/>
      <c r="C273" s="48" t="str">
        <f t="shared" si="5"/>
        <v/>
      </c>
      <c r="D273" s="44"/>
      <c r="E273" s="42"/>
      <c r="F273" s="43" t="str">
        <f>IF(E273="", "", IF(AND(E273&gt;='PAINEL DE CONTROLE'!$C$5*(1-CONFIGURAÇÕES!$D$7), E273&lt;='PAINEL DE CONTROLE'!$C$5*(1+CONFIGURAÇÕES!$D$7)), "DENTRO", "FORA"))</f>
        <v/>
      </c>
    </row>
    <row r="274" spans="2:6" x14ac:dyDescent="0.2">
      <c r="B274" s="47"/>
      <c r="C274" s="48" t="str">
        <f t="shared" si="5"/>
        <v/>
      </c>
      <c r="D274" s="44"/>
      <c r="E274" s="42"/>
      <c r="F274" s="43" t="str">
        <f>IF(E274="", "", IF(AND(E274&gt;='PAINEL DE CONTROLE'!$C$5*(1-CONFIGURAÇÕES!$D$7), E274&lt;='PAINEL DE CONTROLE'!$C$5*(1+CONFIGURAÇÕES!$D$7)), "DENTRO", "FORA"))</f>
        <v/>
      </c>
    </row>
    <row r="275" spans="2:6" x14ac:dyDescent="0.2">
      <c r="B275" s="47"/>
      <c r="C275" s="48" t="str">
        <f t="shared" si="5"/>
        <v/>
      </c>
      <c r="D275" s="44"/>
      <c r="E275" s="42"/>
      <c r="F275" s="43" t="str">
        <f>IF(E275="", "", IF(AND(E275&gt;='PAINEL DE CONTROLE'!$C$5*(1-CONFIGURAÇÕES!$D$7), E275&lt;='PAINEL DE CONTROLE'!$C$5*(1+CONFIGURAÇÕES!$D$7)), "DENTRO", "FORA"))</f>
        <v/>
      </c>
    </row>
    <row r="276" spans="2:6" x14ac:dyDescent="0.2">
      <c r="B276" s="47"/>
      <c r="C276" s="48" t="str">
        <f t="shared" si="5"/>
        <v/>
      </c>
      <c r="D276" s="44"/>
      <c r="E276" s="42"/>
      <c r="F276" s="43" t="str">
        <f>IF(E276="", "", IF(AND(E276&gt;='PAINEL DE CONTROLE'!$C$5*(1-CONFIGURAÇÕES!$D$7), E276&lt;='PAINEL DE CONTROLE'!$C$5*(1+CONFIGURAÇÕES!$D$7)), "DENTRO", "FORA"))</f>
        <v/>
      </c>
    </row>
    <row r="277" spans="2:6" x14ac:dyDescent="0.2">
      <c r="B277" s="47"/>
      <c r="C277" s="48" t="str">
        <f t="shared" si="5"/>
        <v/>
      </c>
      <c r="D277" s="44"/>
      <c r="E277" s="42"/>
      <c r="F277" s="43" t="str">
        <f>IF(E277="", "", IF(AND(E277&gt;='PAINEL DE CONTROLE'!$C$5*(1-CONFIGURAÇÕES!$D$7), E277&lt;='PAINEL DE CONTROLE'!$C$5*(1+CONFIGURAÇÕES!$D$7)), "DENTRO", "FORA"))</f>
        <v/>
      </c>
    </row>
    <row r="278" spans="2:6" x14ac:dyDescent="0.2">
      <c r="B278" s="47"/>
      <c r="C278" s="48" t="str">
        <f t="shared" si="5"/>
        <v/>
      </c>
      <c r="D278" s="44"/>
      <c r="E278" s="42"/>
      <c r="F278" s="43" t="str">
        <f>IF(E278="", "", IF(AND(E278&gt;='PAINEL DE CONTROLE'!$C$5*(1-CONFIGURAÇÕES!$D$7), E278&lt;='PAINEL DE CONTROLE'!$C$5*(1+CONFIGURAÇÕES!$D$7)), "DENTRO", "FORA"))</f>
        <v/>
      </c>
    </row>
    <row r="279" spans="2:6" x14ac:dyDescent="0.2">
      <c r="B279" s="47"/>
      <c r="C279" s="48" t="str">
        <f t="shared" si="5"/>
        <v/>
      </c>
      <c r="D279" s="44"/>
      <c r="E279" s="42"/>
      <c r="F279" s="43" t="str">
        <f>IF(E279="", "", IF(AND(E279&gt;='PAINEL DE CONTROLE'!$C$5*(1-CONFIGURAÇÕES!$D$7), E279&lt;='PAINEL DE CONTROLE'!$C$5*(1+CONFIGURAÇÕES!$D$7)), "DENTRO", "FORA"))</f>
        <v/>
      </c>
    </row>
    <row r="280" spans="2:6" x14ac:dyDescent="0.2">
      <c r="B280" s="47"/>
      <c r="C280" s="48" t="str">
        <f t="shared" si="5"/>
        <v/>
      </c>
      <c r="D280" s="44"/>
      <c r="E280" s="42"/>
      <c r="F280" s="43" t="str">
        <f>IF(E280="", "", IF(AND(E280&gt;='PAINEL DE CONTROLE'!$C$5*(1-CONFIGURAÇÕES!$D$7), E280&lt;='PAINEL DE CONTROLE'!$C$5*(1+CONFIGURAÇÕES!$D$7)), "DENTRO", "FORA"))</f>
        <v/>
      </c>
    </row>
    <row r="281" spans="2:6" x14ac:dyDescent="0.2">
      <c r="B281" s="47"/>
      <c r="C281" s="48" t="str">
        <f t="shared" si="5"/>
        <v/>
      </c>
      <c r="D281" s="44"/>
      <c r="E281" s="42"/>
      <c r="F281" s="43" t="str">
        <f>IF(E281="", "", IF(AND(E281&gt;='PAINEL DE CONTROLE'!$C$5*(1-CONFIGURAÇÕES!$D$7), E281&lt;='PAINEL DE CONTROLE'!$C$5*(1+CONFIGURAÇÕES!$D$7)), "DENTRO", "FORA"))</f>
        <v/>
      </c>
    </row>
    <row r="282" spans="2:6" x14ac:dyDescent="0.2">
      <c r="B282" s="47"/>
      <c r="C282" s="48" t="str">
        <f t="shared" si="5"/>
        <v/>
      </c>
      <c r="D282" s="44"/>
      <c r="E282" s="42"/>
      <c r="F282" s="43" t="str">
        <f>IF(E282="", "", IF(AND(E282&gt;='PAINEL DE CONTROLE'!$C$5*(1-CONFIGURAÇÕES!$D$7), E282&lt;='PAINEL DE CONTROLE'!$C$5*(1+CONFIGURAÇÕES!$D$7)), "DENTRO", "FORA"))</f>
        <v/>
      </c>
    </row>
    <row r="283" spans="2:6" x14ac:dyDescent="0.2">
      <c r="B283" s="47"/>
      <c r="C283" s="48" t="str">
        <f t="shared" si="5"/>
        <v/>
      </c>
      <c r="D283" s="44"/>
      <c r="E283" s="42"/>
      <c r="F283" s="43" t="str">
        <f>IF(E283="", "", IF(AND(E283&gt;='PAINEL DE CONTROLE'!$C$5*(1-CONFIGURAÇÕES!$D$7), E283&lt;='PAINEL DE CONTROLE'!$C$5*(1+CONFIGURAÇÕES!$D$7)), "DENTRO", "FORA"))</f>
        <v/>
      </c>
    </row>
    <row r="284" spans="2:6" x14ac:dyDescent="0.2">
      <c r="B284" s="47"/>
      <c r="C284" s="48" t="str">
        <f t="shared" si="5"/>
        <v/>
      </c>
      <c r="D284" s="44"/>
      <c r="E284" s="42"/>
      <c r="F284" s="43" t="str">
        <f>IF(E284="", "", IF(AND(E284&gt;='PAINEL DE CONTROLE'!$C$5*(1-CONFIGURAÇÕES!$D$7), E284&lt;='PAINEL DE CONTROLE'!$C$5*(1+CONFIGURAÇÕES!$D$7)), "DENTRO", "FORA"))</f>
        <v/>
      </c>
    </row>
    <row r="285" spans="2:6" x14ac:dyDescent="0.2">
      <c r="B285" s="47"/>
      <c r="C285" s="48" t="str">
        <f t="shared" si="5"/>
        <v/>
      </c>
      <c r="D285" s="44"/>
      <c r="E285" s="42"/>
      <c r="F285" s="43" t="str">
        <f>IF(E285="", "", IF(AND(E285&gt;='PAINEL DE CONTROLE'!$C$5*(1-CONFIGURAÇÕES!$D$7), E285&lt;='PAINEL DE CONTROLE'!$C$5*(1+CONFIGURAÇÕES!$D$7)), "DENTRO", "FORA"))</f>
        <v/>
      </c>
    </row>
    <row r="286" spans="2:6" x14ac:dyDescent="0.2">
      <c r="B286" s="47"/>
      <c r="C286" s="48" t="str">
        <f t="shared" si="5"/>
        <v/>
      </c>
      <c r="D286" s="44"/>
      <c r="E286" s="42"/>
      <c r="F286" s="43" t="str">
        <f>IF(E286="", "", IF(AND(E286&gt;='PAINEL DE CONTROLE'!$C$5*(1-CONFIGURAÇÕES!$D$7), E286&lt;='PAINEL DE CONTROLE'!$C$5*(1+CONFIGURAÇÕES!$D$7)), "DENTRO", "FORA"))</f>
        <v/>
      </c>
    </row>
    <row r="287" spans="2:6" x14ac:dyDescent="0.2">
      <c r="B287" s="47"/>
      <c r="C287" s="48" t="str">
        <f t="shared" si="5"/>
        <v/>
      </c>
      <c r="D287" s="44"/>
      <c r="E287" s="42"/>
      <c r="F287" s="43" t="str">
        <f>IF(E287="", "", IF(AND(E287&gt;='PAINEL DE CONTROLE'!$C$5*(1-CONFIGURAÇÕES!$D$7), E287&lt;='PAINEL DE CONTROLE'!$C$5*(1+CONFIGURAÇÕES!$D$7)), "DENTRO", "FORA"))</f>
        <v/>
      </c>
    </row>
    <row r="288" spans="2:6" x14ac:dyDescent="0.2">
      <c r="B288" s="47"/>
      <c r="C288" s="48" t="str">
        <f t="shared" si="5"/>
        <v/>
      </c>
      <c r="D288" s="44"/>
      <c r="E288" s="42"/>
      <c r="F288" s="43" t="str">
        <f>IF(E288="", "", IF(AND(E288&gt;='PAINEL DE CONTROLE'!$C$5*(1-CONFIGURAÇÕES!$D$7), E288&lt;='PAINEL DE CONTROLE'!$C$5*(1+CONFIGURAÇÕES!$D$7)), "DENTRO", "FORA"))</f>
        <v/>
      </c>
    </row>
    <row r="289" spans="2:6" x14ac:dyDescent="0.2">
      <c r="B289" s="47"/>
      <c r="C289" s="48" t="str">
        <f t="shared" si="5"/>
        <v/>
      </c>
      <c r="D289" s="44"/>
      <c r="E289" s="42"/>
      <c r="F289" s="43" t="str">
        <f>IF(E289="", "", IF(AND(E289&gt;='PAINEL DE CONTROLE'!$C$5*(1-CONFIGURAÇÕES!$D$7), E289&lt;='PAINEL DE CONTROLE'!$C$5*(1+CONFIGURAÇÕES!$D$7)), "DENTRO", "FORA"))</f>
        <v/>
      </c>
    </row>
    <row r="290" spans="2:6" x14ac:dyDescent="0.2">
      <c r="B290" s="47"/>
      <c r="C290" s="48" t="str">
        <f t="shared" si="5"/>
        <v/>
      </c>
      <c r="D290" s="44"/>
      <c r="E290" s="42"/>
      <c r="F290" s="43" t="str">
        <f>IF(E290="", "", IF(AND(E290&gt;='PAINEL DE CONTROLE'!$C$5*(1-CONFIGURAÇÕES!$D$7), E290&lt;='PAINEL DE CONTROLE'!$C$5*(1+CONFIGURAÇÕES!$D$7)), "DENTRO", "FORA"))</f>
        <v/>
      </c>
    </row>
    <row r="291" spans="2:6" x14ac:dyDescent="0.2">
      <c r="B291" s="47"/>
      <c r="C291" s="48" t="str">
        <f t="shared" si="5"/>
        <v/>
      </c>
      <c r="D291" s="44"/>
      <c r="E291" s="42"/>
      <c r="F291" s="43" t="str">
        <f>IF(E291="", "", IF(AND(E291&gt;='PAINEL DE CONTROLE'!$C$5*(1-CONFIGURAÇÕES!$D$7), E291&lt;='PAINEL DE CONTROLE'!$C$5*(1+CONFIGURAÇÕES!$D$7)), "DENTRO", "FORA"))</f>
        <v/>
      </c>
    </row>
    <row r="292" spans="2:6" x14ac:dyDescent="0.2">
      <c r="B292" s="47"/>
      <c r="C292" s="48" t="str">
        <f t="shared" si="5"/>
        <v/>
      </c>
      <c r="D292" s="44"/>
      <c r="E292" s="42"/>
      <c r="F292" s="43" t="str">
        <f>IF(E292="", "", IF(AND(E292&gt;='PAINEL DE CONTROLE'!$C$5*(1-CONFIGURAÇÕES!$D$7), E292&lt;='PAINEL DE CONTROLE'!$C$5*(1+CONFIGURAÇÕES!$D$7)), "DENTRO", "FORA"))</f>
        <v/>
      </c>
    </row>
    <row r="293" spans="2:6" x14ac:dyDescent="0.2">
      <c r="B293" s="47"/>
      <c r="C293" s="48" t="str">
        <f t="shared" si="5"/>
        <v/>
      </c>
      <c r="D293" s="44"/>
      <c r="E293" s="42"/>
      <c r="F293" s="43" t="str">
        <f>IF(E293="", "", IF(AND(E293&gt;='PAINEL DE CONTROLE'!$C$5*(1-CONFIGURAÇÕES!$D$7), E293&lt;='PAINEL DE CONTROLE'!$C$5*(1+CONFIGURAÇÕES!$D$7)), "DENTRO", "FORA"))</f>
        <v/>
      </c>
    </row>
    <row r="294" spans="2:6" x14ac:dyDescent="0.2">
      <c r="B294" s="47"/>
      <c r="C294" s="48" t="str">
        <f t="shared" si="5"/>
        <v/>
      </c>
      <c r="D294" s="44"/>
      <c r="E294" s="42"/>
      <c r="F294" s="43" t="str">
        <f>IF(E294="", "", IF(AND(E294&gt;='PAINEL DE CONTROLE'!$C$5*(1-CONFIGURAÇÕES!$D$7), E294&lt;='PAINEL DE CONTROLE'!$C$5*(1+CONFIGURAÇÕES!$D$7)), "DENTRO", "FORA"))</f>
        <v/>
      </c>
    </row>
    <row r="295" spans="2:6" x14ac:dyDescent="0.2">
      <c r="B295" s="47"/>
      <c r="C295" s="48" t="str">
        <f t="shared" si="5"/>
        <v/>
      </c>
      <c r="D295" s="44"/>
      <c r="E295" s="42"/>
      <c r="F295" s="43" t="str">
        <f>IF(E295="", "", IF(AND(E295&gt;='PAINEL DE CONTROLE'!$C$5*(1-CONFIGURAÇÕES!$D$7), E295&lt;='PAINEL DE CONTROLE'!$C$5*(1+CONFIGURAÇÕES!$D$7)), "DENTRO", "FORA"))</f>
        <v/>
      </c>
    </row>
    <row r="296" spans="2:6" x14ac:dyDescent="0.2">
      <c r="B296" s="47"/>
      <c r="C296" s="48" t="str">
        <f t="shared" si="5"/>
        <v/>
      </c>
      <c r="D296" s="44"/>
      <c r="E296" s="42"/>
      <c r="F296" s="43" t="str">
        <f>IF(E296="", "", IF(AND(E296&gt;='PAINEL DE CONTROLE'!$C$5*(1-CONFIGURAÇÕES!$D$7), E296&lt;='PAINEL DE CONTROLE'!$C$5*(1+CONFIGURAÇÕES!$D$7)), "DENTRO", "FORA"))</f>
        <v/>
      </c>
    </row>
    <row r="297" spans="2:6" x14ac:dyDescent="0.2">
      <c r="B297" s="47"/>
      <c r="C297" s="48" t="str">
        <f t="shared" si="5"/>
        <v/>
      </c>
      <c r="D297" s="44"/>
      <c r="E297" s="42"/>
      <c r="F297" s="43" t="str">
        <f>IF(E297="", "", IF(AND(E297&gt;='PAINEL DE CONTROLE'!$C$5*(1-CONFIGURAÇÕES!$D$7), E297&lt;='PAINEL DE CONTROLE'!$C$5*(1+CONFIGURAÇÕES!$D$7)), "DENTRO", "FORA"))</f>
        <v/>
      </c>
    </row>
    <row r="298" spans="2:6" x14ac:dyDescent="0.2">
      <c r="B298" s="47"/>
      <c r="C298" s="48" t="str">
        <f t="shared" si="5"/>
        <v/>
      </c>
      <c r="D298" s="44"/>
      <c r="E298" s="42"/>
      <c r="F298" s="43" t="str">
        <f>IF(E298="", "", IF(AND(E298&gt;='PAINEL DE CONTROLE'!$C$5*(1-CONFIGURAÇÕES!$D$7), E298&lt;='PAINEL DE CONTROLE'!$C$5*(1+CONFIGURAÇÕES!$D$7)), "DENTRO", "FORA"))</f>
        <v/>
      </c>
    </row>
    <row r="299" spans="2:6" x14ac:dyDescent="0.2">
      <c r="B299" s="47"/>
      <c r="C299" s="48" t="str">
        <f t="shared" si="5"/>
        <v/>
      </c>
      <c r="D299" s="44"/>
      <c r="E299" s="42"/>
      <c r="F299" s="43" t="str">
        <f>IF(E299="", "", IF(AND(E299&gt;='PAINEL DE CONTROLE'!$C$5*(1-CONFIGURAÇÕES!$D$7), E299&lt;='PAINEL DE CONTROLE'!$C$5*(1+CONFIGURAÇÕES!$D$7)), "DENTRO", "FORA"))</f>
        <v/>
      </c>
    </row>
    <row r="300" spans="2:6" x14ac:dyDescent="0.2">
      <c r="B300" s="47"/>
      <c r="C300" s="48" t="str">
        <f t="shared" si="5"/>
        <v/>
      </c>
      <c r="D300" s="44"/>
      <c r="E300" s="42"/>
      <c r="F300" s="43" t="str">
        <f>IF(E300="", "", IF(AND(E300&gt;='PAINEL DE CONTROLE'!$C$5*(1-CONFIGURAÇÕES!$D$7), E300&lt;='PAINEL DE CONTROLE'!$C$5*(1+CONFIGURAÇÕES!$D$7)), "DENTRO", "FORA"))</f>
        <v/>
      </c>
    </row>
    <row r="301" spans="2:6" x14ac:dyDescent="0.2">
      <c r="B301" s="47"/>
      <c r="C301" s="48" t="str">
        <f t="shared" si="5"/>
        <v/>
      </c>
      <c r="D301" s="44"/>
      <c r="E301" s="42"/>
      <c r="F301" s="43" t="str">
        <f>IF(E301="", "", IF(AND(E301&gt;='PAINEL DE CONTROLE'!$C$5*(1-CONFIGURAÇÕES!$D$7), E301&lt;='PAINEL DE CONTROLE'!$C$5*(1+CONFIGURAÇÕES!$D$7)), "DENTRO", "FORA"))</f>
        <v/>
      </c>
    </row>
    <row r="302" spans="2:6" x14ac:dyDescent="0.2">
      <c r="B302" s="47"/>
      <c r="C302" s="48" t="str">
        <f t="shared" si="5"/>
        <v/>
      </c>
      <c r="D302" s="44"/>
      <c r="E302" s="42"/>
      <c r="F302" s="43" t="str">
        <f>IF(E302="", "", IF(AND(E302&gt;='PAINEL DE CONTROLE'!$C$5*(1-CONFIGURAÇÕES!$D$7), E302&lt;='PAINEL DE CONTROLE'!$C$5*(1+CONFIGURAÇÕES!$D$7)), "DENTRO", "FORA"))</f>
        <v/>
      </c>
    </row>
    <row r="303" spans="2:6" x14ac:dyDescent="0.2">
      <c r="B303" s="47"/>
      <c r="C303" s="48" t="str">
        <f t="shared" si="5"/>
        <v/>
      </c>
      <c r="D303" s="44"/>
      <c r="E303" s="42"/>
      <c r="F303" s="43" t="str">
        <f>IF(E303="", "", IF(AND(E303&gt;='PAINEL DE CONTROLE'!$C$5*(1-CONFIGURAÇÕES!$D$7), E303&lt;='PAINEL DE CONTROLE'!$C$5*(1+CONFIGURAÇÕES!$D$7)), "DENTRO", "FORA"))</f>
        <v/>
      </c>
    </row>
    <row r="304" spans="2:6" x14ac:dyDescent="0.2">
      <c r="B304" s="47"/>
      <c r="C304" s="48" t="str">
        <f t="shared" si="5"/>
        <v/>
      </c>
      <c r="D304" s="44"/>
      <c r="E304" s="42"/>
      <c r="F304" s="43" t="str">
        <f>IF(E304="", "", IF(AND(E304&gt;='PAINEL DE CONTROLE'!$C$5*(1-CONFIGURAÇÕES!$D$7), E304&lt;='PAINEL DE CONTROLE'!$C$5*(1+CONFIGURAÇÕES!$D$7)), "DENTRO", "FORA"))</f>
        <v/>
      </c>
    </row>
    <row r="305" spans="2:6" x14ac:dyDescent="0.2">
      <c r="B305" s="47"/>
      <c r="C305" s="48" t="str">
        <f t="shared" si="5"/>
        <v/>
      </c>
      <c r="D305" s="44"/>
      <c r="E305" s="42"/>
      <c r="F305" s="43" t="str">
        <f>IF(E305="", "", IF(AND(E305&gt;='PAINEL DE CONTROLE'!$C$5*(1-CONFIGURAÇÕES!$D$7), E305&lt;='PAINEL DE CONTROLE'!$C$5*(1+CONFIGURAÇÕES!$D$7)), "DENTRO", "FORA"))</f>
        <v/>
      </c>
    </row>
    <row r="306" spans="2:6" x14ac:dyDescent="0.2">
      <c r="B306" s="47"/>
      <c r="C306" s="48" t="str">
        <f t="shared" si="5"/>
        <v/>
      </c>
      <c r="D306" s="44"/>
      <c r="E306" s="42"/>
      <c r="F306" s="43" t="str">
        <f>IF(E306="", "", IF(AND(E306&gt;='PAINEL DE CONTROLE'!$C$5*(1-CONFIGURAÇÕES!$D$7), E306&lt;='PAINEL DE CONTROLE'!$C$5*(1+CONFIGURAÇÕES!$D$7)), "DENTRO", "FORA"))</f>
        <v/>
      </c>
    </row>
    <row r="307" spans="2:6" x14ac:dyDescent="0.2">
      <c r="B307" s="47"/>
      <c r="C307" s="48" t="str">
        <f t="shared" si="5"/>
        <v/>
      </c>
      <c r="D307" s="44"/>
      <c r="E307" s="42"/>
      <c r="F307" s="43" t="str">
        <f>IF(E307="", "", IF(AND(E307&gt;='PAINEL DE CONTROLE'!$C$5*(1-CONFIGURAÇÕES!$D$7), E307&lt;='PAINEL DE CONTROLE'!$C$5*(1+CONFIGURAÇÕES!$D$7)), "DENTRO", "FORA"))</f>
        <v/>
      </c>
    </row>
    <row r="308" spans="2:6" x14ac:dyDescent="0.2">
      <c r="B308" s="47"/>
      <c r="C308" s="48" t="str">
        <f t="shared" si="5"/>
        <v/>
      </c>
      <c r="D308" s="44"/>
      <c r="E308" s="42"/>
      <c r="F308" s="43" t="str">
        <f>IF(E308="", "", IF(AND(E308&gt;='PAINEL DE CONTROLE'!$C$5*(1-CONFIGURAÇÕES!$D$7), E308&lt;='PAINEL DE CONTROLE'!$C$5*(1+CONFIGURAÇÕES!$D$7)), "DENTRO", "FORA"))</f>
        <v/>
      </c>
    </row>
    <row r="309" spans="2:6" x14ac:dyDescent="0.2">
      <c r="B309" s="47"/>
      <c r="C309" s="48" t="str">
        <f t="shared" si="5"/>
        <v/>
      </c>
      <c r="D309" s="44"/>
      <c r="E309" s="42"/>
      <c r="F309" s="43" t="str">
        <f>IF(E309="", "", IF(AND(E309&gt;='PAINEL DE CONTROLE'!$C$5*(1-CONFIGURAÇÕES!$D$7), E309&lt;='PAINEL DE CONTROLE'!$C$5*(1+CONFIGURAÇÕES!$D$7)), "DENTRO", "FORA"))</f>
        <v/>
      </c>
    </row>
    <row r="310" spans="2:6" x14ac:dyDescent="0.2">
      <c r="B310" s="47"/>
      <c r="C310" s="48" t="str">
        <f t="shared" si="5"/>
        <v/>
      </c>
      <c r="D310" s="44"/>
      <c r="E310" s="42"/>
      <c r="F310" s="43" t="str">
        <f>IF(E310="", "", IF(AND(E310&gt;='PAINEL DE CONTROLE'!$C$5*(1-CONFIGURAÇÕES!$D$7), E310&lt;='PAINEL DE CONTROLE'!$C$5*(1+CONFIGURAÇÕES!$D$7)), "DENTRO", "FORA"))</f>
        <v/>
      </c>
    </row>
    <row r="311" spans="2:6" x14ac:dyDescent="0.2">
      <c r="B311" s="47"/>
      <c r="C311" s="48" t="str">
        <f t="shared" si="5"/>
        <v/>
      </c>
      <c r="D311" s="44"/>
      <c r="E311" s="42"/>
      <c r="F311" s="43" t="str">
        <f>IF(E311="", "", IF(AND(E311&gt;='PAINEL DE CONTROLE'!$C$5*(1-CONFIGURAÇÕES!$D$7), E311&lt;='PAINEL DE CONTROLE'!$C$5*(1+CONFIGURAÇÕES!$D$7)), "DENTRO", "FORA"))</f>
        <v/>
      </c>
    </row>
    <row r="312" spans="2:6" x14ac:dyDescent="0.2">
      <c r="B312" s="47"/>
      <c r="C312" s="48" t="str">
        <f t="shared" si="5"/>
        <v/>
      </c>
      <c r="D312" s="44"/>
      <c r="E312" s="42"/>
      <c r="F312" s="43" t="str">
        <f>IF(E312="", "", IF(AND(E312&gt;='PAINEL DE CONTROLE'!$C$5*(1-CONFIGURAÇÕES!$D$7), E312&lt;='PAINEL DE CONTROLE'!$C$5*(1+CONFIGURAÇÕES!$D$7)), "DENTRO", "FORA"))</f>
        <v/>
      </c>
    </row>
    <row r="313" spans="2:6" x14ac:dyDescent="0.2">
      <c r="B313" s="47"/>
      <c r="C313" s="48" t="str">
        <f t="shared" si="5"/>
        <v/>
      </c>
      <c r="D313" s="44"/>
      <c r="E313" s="42"/>
      <c r="F313" s="43" t="str">
        <f>IF(E313="", "", IF(AND(E313&gt;='PAINEL DE CONTROLE'!$C$5*(1-CONFIGURAÇÕES!$D$7), E313&lt;='PAINEL DE CONTROLE'!$C$5*(1+CONFIGURAÇÕES!$D$7)), "DENTRO", "FORA"))</f>
        <v/>
      </c>
    </row>
    <row r="314" spans="2:6" x14ac:dyDescent="0.2">
      <c r="B314" s="47"/>
      <c r="C314" s="48" t="str">
        <f t="shared" si="5"/>
        <v/>
      </c>
      <c r="D314" s="44"/>
      <c r="E314" s="42"/>
      <c r="F314" s="43" t="str">
        <f>IF(E314="", "", IF(AND(E314&gt;='PAINEL DE CONTROLE'!$C$5*(1-CONFIGURAÇÕES!$D$7), E314&lt;='PAINEL DE CONTROLE'!$C$5*(1+CONFIGURAÇÕES!$D$7)), "DENTRO", "FORA"))</f>
        <v/>
      </c>
    </row>
    <row r="315" spans="2:6" x14ac:dyDescent="0.2">
      <c r="B315" s="47"/>
      <c r="C315" s="48" t="str">
        <f t="shared" si="5"/>
        <v/>
      </c>
      <c r="D315" s="44"/>
      <c r="E315" s="42"/>
      <c r="F315" s="43" t="str">
        <f>IF(E315="", "", IF(AND(E315&gt;='PAINEL DE CONTROLE'!$C$5*(1-CONFIGURAÇÕES!$D$7), E315&lt;='PAINEL DE CONTROLE'!$C$5*(1+CONFIGURAÇÕES!$D$7)), "DENTRO", "FORA"))</f>
        <v/>
      </c>
    </row>
    <row r="316" spans="2:6" x14ac:dyDescent="0.2">
      <c r="B316" s="47"/>
      <c r="C316" s="48" t="str">
        <f t="shared" si="5"/>
        <v/>
      </c>
      <c r="D316" s="44"/>
      <c r="E316" s="42"/>
      <c r="F316" s="43" t="str">
        <f>IF(E316="", "", IF(AND(E316&gt;='PAINEL DE CONTROLE'!$C$5*(1-CONFIGURAÇÕES!$D$7), E316&lt;='PAINEL DE CONTROLE'!$C$5*(1+CONFIGURAÇÕES!$D$7)), "DENTRO", "FORA"))</f>
        <v/>
      </c>
    </row>
    <row r="317" spans="2:6" x14ac:dyDescent="0.2">
      <c r="B317" s="47"/>
      <c r="C317" s="48" t="str">
        <f t="shared" si="5"/>
        <v/>
      </c>
      <c r="D317" s="44"/>
      <c r="E317" s="42"/>
      <c r="F317" s="43" t="str">
        <f>IF(E317="", "", IF(AND(E317&gt;='PAINEL DE CONTROLE'!$C$5*(1-CONFIGURAÇÕES!$D$7), E317&lt;='PAINEL DE CONTROLE'!$C$5*(1+CONFIGURAÇÕES!$D$7)), "DENTRO", "FORA"))</f>
        <v/>
      </c>
    </row>
    <row r="318" spans="2:6" x14ac:dyDescent="0.2">
      <c r="B318" s="47"/>
      <c r="C318" s="48" t="str">
        <f t="shared" si="5"/>
        <v/>
      </c>
      <c r="D318" s="44"/>
      <c r="E318" s="42"/>
      <c r="F318" s="43" t="str">
        <f>IF(E318="", "", IF(AND(E318&gt;='PAINEL DE CONTROLE'!$C$5*(1-CONFIGURAÇÕES!$D$7), E318&lt;='PAINEL DE CONTROLE'!$C$5*(1+CONFIGURAÇÕES!$D$7)), "DENTRO", "FORA"))</f>
        <v/>
      </c>
    </row>
    <row r="319" spans="2:6" x14ac:dyDescent="0.2">
      <c r="B319" s="47"/>
      <c r="C319" s="48" t="str">
        <f t="shared" si="5"/>
        <v/>
      </c>
      <c r="D319" s="44"/>
      <c r="E319" s="42"/>
      <c r="F319" s="43" t="str">
        <f>IF(E319="", "", IF(AND(E319&gt;='PAINEL DE CONTROLE'!$C$5*(1-CONFIGURAÇÕES!$D$7), E319&lt;='PAINEL DE CONTROLE'!$C$5*(1+CONFIGURAÇÕES!$D$7)), "DENTRO", "FORA"))</f>
        <v/>
      </c>
    </row>
    <row r="320" spans="2:6" x14ac:dyDescent="0.2">
      <c r="B320" s="47"/>
      <c r="C320" s="48" t="str">
        <f t="shared" si="5"/>
        <v/>
      </c>
      <c r="D320" s="44"/>
      <c r="E320" s="42"/>
      <c r="F320" s="43" t="str">
        <f>IF(E320="", "", IF(AND(E320&gt;='PAINEL DE CONTROLE'!$C$5*(1-CONFIGURAÇÕES!$D$7), E320&lt;='PAINEL DE CONTROLE'!$C$5*(1+CONFIGURAÇÕES!$D$7)), "DENTRO", "FORA"))</f>
        <v/>
      </c>
    </row>
    <row r="321" spans="2:6" x14ac:dyDescent="0.2">
      <c r="B321" s="47"/>
      <c r="C321" s="48" t="str">
        <f t="shared" si="5"/>
        <v/>
      </c>
      <c r="D321" s="44"/>
      <c r="E321" s="42"/>
      <c r="F321" s="43" t="str">
        <f>IF(E321="", "", IF(AND(E321&gt;='PAINEL DE CONTROLE'!$C$5*(1-CONFIGURAÇÕES!$D$7), E321&lt;='PAINEL DE CONTROLE'!$C$5*(1+CONFIGURAÇÕES!$D$7)), "DENTRO", "FORA"))</f>
        <v/>
      </c>
    </row>
    <row r="322" spans="2:6" x14ac:dyDescent="0.2">
      <c r="B322" s="47"/>
      <c r="C322" s="48" t="str">
        <f t="shared" si="5"/>
        <v/>
      </c>
      <c r="D322" s="44"/>
      <c r="E322" s="42"/>
      <c r="F322" s="43" t="str">
        <f>IF(E322="", "", IF(AND(E322&gt;='PAINEL DE CONTROLE'!$C$5*(1-CONFIGURAÇÕES!$D$7), E322&lt;='PAINEL DE CONTROLE'!$C$5*(1+CONFIGURAÇÕES!$D$7)), "DENTRO", "FORA"))</f>
        <v/>
      </c>
    </row>
    <row r="323" spans="2:6" x14ac:dyDescent="0.2">
      <c r="B323" s="47"/>
      <c r="C323" s="48" t="str">
        <f t="shared" si="5"/>
        <v/>
      </c>
      <c r="D323" s="44"/>
      <c r="E323" s="42"/>
      <c r="F323" s="43" t="str">
        <f>IF(E323="", "", IF(AND(E323&gt;='PAINEL DE CONTROLE'!$C$5*(1-CONFIGURAÇÕES!$D$7), E323&lt;='PAINEL DE CONTROLE'!$C$5*(1+CONFIGURAÇÕES!$D$7)), "DENTRO", "FORA"))</f>
        <v/>
      </c>
    </row>
    <row r="324" spans="2:6" x14ac:dyDescent="0.2">
      <c r="B324" s="47"/>
      <c r="C324" s="48" t="str">
        <f t="shared" si="5"/>
        <v/>
      </c>
      <c r="D324" s="44"/>
      <c r="E324" s="42"/>
      <c r="F324" s="43" t="str">
        <f>IF(E324="", "", IF(AND(E324&gt;='PAINEL DE CONTROLE'!$C$5*(1-CONFIGURAÇÕES!$D$7), E324&lt;='PAINEL DE CONTROLE'!$C$5*(1+CONFIGURAÇÕES!$D$7)), "DENTRO", "FORA"))</f>
        <v/>
      </c>
    </row>
    <row r="325" spans="2:6" x14ac:dyDescent="0.2">
      <c r="B325" s="47"/>
      <c r="C325" s="48" t="str">
        <f t="shared" ref="C325:C388" si="6">IF(B325="","",IF(AND(B325&gt;=$E$8,B325&lt;=$E$9),"DENTRO","FORA"))</f>
        <v/>
      </c>
      <c r="D325" s="44"/>
      <c r="E325" s="42"/>
      <c r="F325" s="43" t="str">
        <f>IF(E325="", "", IF(AND(E325&gt;='PAINEL DE CONTROLE'!$C$5*(1-CONFIGURAÇÕES!$D$7), E325&lt;='PAINEL DE CONTROLE'!$C$5*(1+CONFIGURAÇÕES!$D$7)), "DENTRO", "FORA"))</f>
        <v/>
      </c>
    </row>
    <row r="326" spans="2:6" x14ac:dyDescent="0.2">
      <c r="B326" s="47"/>
      <c r="C326" s="48" t="str">
        <f t="shared" si="6"/>
        <v/>
      </c>
      <c r="D326" s="44"/>
      <c r="E326" s="42"/>
      <c r="F326" s="43" t="str">
        <f>IF(E326="", "", IF(AND(E326&gt;='PAINEL DE CONTROLE'!$C$5*(1-CONFIGURAÇÕES!$D$7), E326&lt;='PAINEL DE CONTROLE'!$C$5*(1+CONFIGURAÇÕES!$D$7)), "DENTRO", "FORA"))</f>
        <v/>
      </c>
    </row>
    <row r="327" spans="2:6" x14ac:dyDescent="0.2">
      <c r="B327" s="47"/>
      <c r="C327" s="48" t="str">
        <f t="shared" si="6"/>
        <v/>
      </c>
      <c r="D327" s="44"/>
      <c r="E327" s="42"/>
      <c r="F327" s="43" t="str">
        <f>IF(E327="", "", IF(AND(E327&gt;='PAINEL DE CONTROLE'!$C$5*(1-CONFIGURAÇÕES!$D$7), E327&lt;='PAINEL DE CONTROLE'!$C$5*(1+CONFIGURAÇÕES!$D$7)), "DENTRO", "FORA"))</f>
        <v/>
      </c>
    </row>
    <row r="328" spans="2:6" x14ac:dyDescent="0.2">
      <c r="B328" s="47"/>
      <c r="C328" s="48" t="str">
        <f t="shared" si="6"/>
        <v/>
      </c>
      <c r="D328" s="44"/>
      <c r="E328" s="42"/>
      <c r="F328" s="43" t="str">
        <f>IF(E328="", "", IF(AND(E328&gt;='PAINEL DE CONTROLE'!$C$5*(1-CONFIGURAÇÕES!$D$7), E328&lt;='PAINEL DE CONTROLE'!$C$5*(1+CONFIGURAÇÕES!$D$7)), "DENTRO", "FORA"))</f>
        <v/>
      </c>
    </row>
    <row r="329" spans="2:6" x14ac:dyDescent="0.2">
      <c r="B329" s="47"/>
      <c r="C329" s="48" t="str">
        <f t="shared" si="6"/>
        <v/>
      </c>
      <c r="D329" s="44"/>
      <c r="E329" s="42"/>
      <c r="F329" s="43" t="str">
        <f>IF(E329="", "", IF(AND(E329&gt;='PAINEL DE CONTROLE'!$C$5*(1-CONFIGURAÇÕES!$D$7), E329&lt;='PAINEL DE CONTROLE'!$C$5*(1+CONFIGURAÇÕES!$D$7)), "DENTRO", "FORA"))</f>
        <v/>
      </c>
    </row>
    <row r="330" spans="2:6" x14ac:dyDescent="0.2">
      <c r="B330" s="47"/>
      <c r="C330" s="48" t="str">
        <f t="shared" si="6"/>
        <v/>
      </c>
      <c r="D330" s="44"/>
      <c r="E330" s="42"/>
      <c r="F330" s="43" t="str">
        <f>IF(E330="", "", IF(AND(E330&gt;='PAINEL DE CONTROLE'!$C$5*(1-CONFIGURAÇÕES!$D$7), E330&lt;='PAINEL DE CONTROLE'!$C$5*(1+CONFIGURAÇÕES!$D$7)), "DENTRO", "FORA"))</f>
        <v/>
      </c>
    </row>
    <row r="331" spans="2:6" x14ac:dyDescent="0.2">
      <c r="B331" s="47"/>
      <c r="C331" s="48" t="str">
        <f t="shared" si="6"/>
        <v/>
      </c>
      <c r="D331" s="44"/>
      <c r="E331" s="42"/>
      <c r="F331" s="43" t="str">
        <f>IF(E331="", "", IF(AND(E331&gt;='PAINEL DE CONTROLE'!$C$5*(1-CONFIGURAÇÕES!$D$7), E331&lt;='PAINEL DE CONTROLE'!$C$5*(1+CONFIGURAÇÕES!$D$7)), "DENTRO", "FORA"))</f>
        <v/>
      </c>
    </row>
    <row r="332" spans="2:6" x14ac:dyDescent="0.2">
      <c r="B332" s="47"/>
      <c r="C332" s="48" t="str">
        <f t="shared" si="6"/>
        <v/>
      </c>
      <c r="D332" s="44"/>
      <c r="E332" s="42"/>
      <c r="F332" s="43" t="str">
        <f>IF(E332="", "", IF(AND(E332&gt;='PAINEL DE CONTROLE'!$C$5*(1-CONFIGURAÇÕES!$D$7), E332&lt;='PAINEL DE CONTROLE'!$C$5*(1+CONFIGURAÇÕES!$D$7)), "DENTRO", "FORA"))</f>
        <v/>
      </c>
    </row>
    <row r="333" spans="2:6" x14ac:dyDescent="0.2">
      <c r="B333" s="47"/>
      <c r="C333" s="48" t="str">
        <f t="shared" si="6"/>
        <v/>
      </c>
      <c r="D333" s="44"/>
      <c r="E333" s="42"/>
      <c r="F333" s="43" t="str">
        <f>IF(E333="", "", IF(AND(E333&gt;='PAINEL DE CONTROLE'!$C$5*(1-CONFIGURAÇÕES!$D$7), E333&lt;='PAINEL DE CONTROLE'!$C$5*(1+CONFIGURAÇÕES!$D$7)), "DENTRO", "FORA"))</f>
        <v/>
      </c>
    </row>
    <row r="334" spans="2:6" x14ac:dyDescent="0.2">
      <c r="B334" s="47"/>
      <c r="C334" s="48" t="str">
        <f t="shared" si="6"/>
        <v/>
      </c>
      <c r="D334" s="44"/>
      <c r="E334" s="42"/>
      <c r="F334" s="43" t="str">
        <f>IF(E334="", "", IF(AND(E334&gt;='PAINEL DE CONTROLE'!$C$5*(1-CONFIGURAÇÕES!$D$7), E334&lt;='PAINEL DE CONTROLE'!$C$5*(1+CONFIGURAÇÕES!$D$7)), "DENTRO", "FORA"))</f>
        <v/>
      </c>
    </row>
    <row r="335" spans="2:6" x14ac:dyDescent="0.2">
      <c r="B335" s="47"/>
      <c r="C335" s="48" t="str">
        <f t="shared" si="6"/>
        <v/>
      </c>
      <c r="D335" s="44"/>
      <c r="E335" s="42"/>
      <c r="F335" s="43" t="str">
        <f>IF(E335="", "", IF(AND(E335&gt;='PAINEL DE CONTROLE'!$C$5*(1-CONFIGURAÇÕES!$D$7), E335&lt;='PAINEL DE CONTROLE'!$C$5*(1+CONFIGURAÇÕES!$D$7)), "DENTRO", "FORA"))</f>
        <v/>
      </c>
    </row>
    <row r="336" spans="2:6" x14ac:dyDescent="0.2">
      <c r="B336" s="47"/>
      <c r="C336" s="48" t="str">
        <f t="shared" si="6"/>
        <v/>
      </c>
      <c r="D336" s="44"/>
      <c r="E336" s="42"/>
      <c r="F336" s="43" t="str">
        <f>IF(E336="", "", IF(AND(E336&gt;='PAINEL DE CONTROLE'!$C$5*(1-CONFIGURAÇÕES!$D$7), E336&lt;='PAINEL DE CONTROLE'!$C$5*(1+CONFIGURAÇÕES!$D$7)), "DENTRO", "FORA"))</f>
        <v/>
      </c>
    </row>
    <row r="337" spans="2:6" x14ac:dyDescent="0.2">
      <c r="B337" s="47"/>
      <c r="C337" s="48" t="str">
        <f t="shared" si="6"/>
        <v/>
      </c>
      <c r="D337" s="44"/>
      <c r="E337" s="42"/>
      <c r="F337" s="43" t="str">
        <f>IF(E337="", "", IF(AND(E337&gt;='PAINEL DE CONTROLE'!$C$5*(1-CONFIGURAÇÕES!$D$7), E337&lt;='PAINEL DE CONTROLE'!$C$5*(1+CONFIGURAÇÕES!$D$7)), "DENTRO", "FORA"))</f>
        <v/>
      </c>
    </row>
    <row r="338" spans="2:6" x14ac:dyDescent="0.2">
      <c r="B338" s="47"/>
      <c r="C338" s="48" t="str">
        <f t="shared" si="6"/>
        <v/>
      </c>
      <c r="D338" s="44"/>
      <c r="E338" s="42"/>
      <c r="F338" s="43" t="str">
        <f>IF(E338="", "", IF(AND(E338&gt;='PAINEL DE CONTROLE'!$C$5*(1-CONFIGURAÇÕES!$D$7), E338&lt;='PAINEL DE CONTROLE'!$C$5*(1+CONFIGURAÇÕES!$D$7)), "DENTRO", "FORA"))</f>
        <v/>
      </c>
    </row>
    <row r="339" spans="2:6" x14ac:dyDescent="0.2">
      <c r="B339" s="47"/>
      <c r="C339" s="48" t="str">
        <f t="shared" si="6"/>
        <v/>
      </c>
      <c r="D339" s="44"/>
      <c r="E339" s="42"/>
      <c r="F339" s="43" t="str">
        <f>IF(E339="", "", IF(AND(E339&gt;='PAINEL DE CONTROLE'!$C$5*(1-CONFIGURAÇÕES!$D$7), E339&lt;='PAINEL DE CONTROLE'!$C$5*(1+CONFIGURAÇÕES!$D$7)), "DENTRO", "FORA"))</f>
        <v/>
      </c>
    </row>
    <row r="340" spans="2:6" x14ac:dyDescent="0.2">
      <c r="B340" s="47"/>
      <c r="C340" s="48" t="str">
        <f t="shared" si="6"/>
        <v/>
      </c>
      <c r="D340" s="44"/>
      <c r="E340" s="42"/>
      <c r="F340" s="43" t="str">
        <f>IF(E340="", "", IF(AND(E340&gt;='PAINEL DE CONTROLE'!$C$5*(1-CONFIGURAÇÕES!$D$7), E340&lt;='PAINEL DE CONTROLE'!$C$5*(1+CONFIGURAÇÕES!$D$7)), "DENTRO", "FORA"))</f>
        <v/>
      </c>
    </row>
    <row r="341" spans="2:6" x14ac:dyDescent="0.2">
      <c r="B341" s="47"/>
      <c r="C341" s="48" t="str">
        <f t="shared" si="6"/>
        <v/>
      </c>
      <c r="D341" s="44"/>
      <c r="E341" s="42"/>
      <c r="F341" s="43" t="str">
        <f>IF(E341="", "", IF(AND(E341&gt;='PAINEL DE CONTROLE'!$C$5*(1-CONFIGURAÇÕES!$D$7), E341&lt;='PAINEL DE CONTROLE'!$C$5*(1+CONFIGURAÇÕES!$D$7)), "DENTRO", "FORA"))</f>
        <v/>
      </c>
    </row>
    <row r="342" spans="2:6" x14ac:dyDescent="0.2">
      <c r="B342" s="47"/>
      <c r="C342" s="48" t="str">
        <f t="shared" si="6"/>
        <v/>
      </c>
      <c r="D342" s="44"/>
      <c r="E342" s="42"/>
      <c r="F342" s="43" t="str">
        <f>IF(E342="", "", IF(AND(E342&gt;='PAINEL DE CONTROLE'!$C$5*(1-CONFIGURAÇÕES!$D$7), E342&lt;='PAINEL DE CONTROLE'!$C$5*(1+CONFIGURAÇÕES!$D$7)), "DENTRO", "FORA"))</f>
        <v/>
      </c>
    </row>
    <row r="343" spans="2:6" x14ac:dyDescent="0.2">
      <c r="B343" s="47"/>
      <c r="C343" s="48" t="str">
        <f t="shared" si="6"/>
        <v/>
      </c>
      <c r="D343" s="44"/>
      <c r="E343" s="42"/>
      <c r="F343" s="43" t="str">
        <f>IF(E343="", "", IF(AND(E343&gt;='PAINEL DE CONTROLE'!$C$5*(1-CONFIGURAÇÕES!$D$7), E343&lt;='PAINEL DE CONTROLE'!$C$5*(1+CONFIGURAÇÕES!$D$7)), "DENTRO", "FORA"))</f>
        <v/>
      </c>
    </row>
    <row r="344" spans="2:6" x14ac:dyDescent="0.2">
      <c r="B344" s="47"/>
      <c r="C344" s="48" t="str">
        <f t="shared" si="6"/>
        <v/>
      </c>
      <c r="D344" s="44"/>
      <c r="E344" s="42"/>
      <c r="F344" s="43" t="str">
        <f>IF(E344="", "", IF(AND(E344&gt;='PAINEL DE CONTROLE'!$C$5*(1-CONFIGURAÇÕES!$D$7), E344&lt;='PAINEL DE CONTROLE'!$C$5*(1+CONFIGURAÇÕES!$D$7)), "DENTRO", "FORA"))</f>
        <v/>
      </c>
    </row>
    <row r="345" spans="2:6" x14ac:dyDescent="0.2">
      <c r="B345" s="47"/>
      <c r="C345" s="48" t="str">
        <f t="shared" si="6"/>
        <v/>
      </c>
      <c r="D345" s="44"/>
      <c r="E345" s="42"/>
      <c r="F345" s="43" t="str">
        <f>IF(E345="", "", IF(AND(E345&gt;='PAINEL DE CONTROLE'!$C$5*(1-CONFIGURAÇÕES!$D$7), E345&lt;='PAINEL DE CONTROLE'!$C$5*(1+CONFIGURAÇÕES!$D$7)), "DENTRO", "FORA"))</f>
        <v/>
      </c>
    </row>
    <row r="346" spans="2:6" x14ac:dyDescent="0.2">
      <c r="B346" s="47"/>
      <c r="C346" s="48" t="str">
        <f t="shared" si="6"/>
        <v/>
      </c>
      <c r="D346" s="44"/>
      <c r="E346" s="42"/>
      <c r="F346" s="43" t="str">
        <f>IF(E346="", "", IF(AND(E346&gt;='PAINEL DE CONTROLE'!$C$5*(1-CONFIGURAÇÕES!$D$7), E346&lt;='PAINEL DE CONTROLE'!$C$5*(1+CONFIGURAÇÕES!$D$7)), "DENTRO", "FORA"))</f>
        <v/>
      </c>
    </row>
    <row r="347" spans="2:6" x14ac:dyDescent="0.2">
      <c r="B347" s="47"/>
      <c r="C347" s="48" t="str">
        <f t="shared" si="6"/>
        <v/>
      </c>
      <c r="D347" s="44"/>
      <c r="E347" s="42"/>
      <c r="F347" s="43" t="str">
        <f>IF(E347="", "", IF(AND(E347&gt;='PAINEL DE CONTROLE'!$C$5*(1-CONFIGURAÇÕES!$D$7), E347&lt;='PAINEL DE CONTROLE'!$C$5*(1+CONFIGURAÇÕES!$D$7)), "DENTRO", "FORA"))</f>
        <v/>
      </c>
    </row>
    <row r="348" spans="2:6" x14ac:dyDescent="0.2">
      <c r="B348" s="47"/>
      <c r="C348" s="48" t="str">
        <f t="shared" si="6"/>
        <v/>
      </c>
      <c r="D348" s="44"/>
      <c r="E348" s="42"/>
      <c r="F348" s="43" t="str">
        <f>IF(E348="", "", IF(AND(E348&gt;='PAINEL DE CONTROLE'!$C$5*(1-CONFIGURAÇÕES!$D$7), E348&lt;='PAINEL DE CONTROLE'!$C$5*(1+CONFIGURAÇÕES!$D$7)), "DENTRO", "FORA"))</f>
        <v/>
      </c>
    </row>
    <row r="349" spans="2:6" x14ac:dyDescent="0.2">
      <c r="B349" s="47"/>
      <c r="C349" s="48" t="str">
        <f t="shared" si="6"/>
        <v/>
      </c>
      <c r="D349" s="44"/>
      <c r="E349" s="42"/>
      <c r="F349" s="43" t="str">
        <f>IF(E349="", "", IF(AND(E349&gt;='PAINEL DE CONTROLE'!$C$5*(1-CONFIGURAÇÕES!$D$7), E349&lt;='PAINEL DE CONTROLE'!$C$5*(1+CONFIGURAÇÕES!$D$7)), "DENTRO", "FORA"))</f>
        <v/>
      </c>
    </row>
    <row r="350" spans="2:6" x14ac:dyDescent="0.2">
      <c r="B350" s="47"/>
      <c r="C350" s="48" t="str">
        <f t="shared" si="6"/>
        <v/>
      </c>
      <c r="D350" s="44"/>
      <c r="E350" s="42"/>
      <c r="F350" s="43" t="str">
        <f>IF(E350="", "", IF(AND(E350&gt;='PAINEL DE CONTROLE'!$C$5*(1-CONFIGURAÇÕES!$D$7), E350&lt;='PAINEL DE CONTROLE'!$C$5*(1+CONFIGURAÇÕES!$D$7)), "DENTRO", "FORA"))</f>
        <v/>
      </c>
    </row>
    <row r="351" spans="2:6" x14ac:dyDescent="0.2">
      <c r="B351" s="47"/>
      <c r="C351" s="48" t="str">
        <f t="shared" si="6"/>
        <v/>
      </c>
      <c r="D351" s="44"/>
      <c r="E351" s="42"/>
      <c r="F351" s="43" t="str">
        <f>IF(E351="", "", IF(AND(E351&gt;='PAINEL DE CONTROLE'!$C$5*(1-CONFIGURAÇÕES!$D$7), E351&lt;='PAINEL DE CONTROLE'!$C$5*(1+CONFIGURAÇÕES!$D$7)), "DENTRO", "FORA"))</f>
        <v/>
      </c>
    </row>
    <row r="352" spans="2:6" x14ac:dyDescent="0.2">
      <c r="B352" s="47"/>
      <c r="C352" s="48" t="str">
        <f t="shared" si="6"/>
        <v/>
      </c>
      <c r="D352" s="44"/>
      <c r="E352" s="42"/>
      <c r="F352" s="43" t="str">
        <f>IF(E352="", "", IF(AND(E352&gt;='PAINEL DE CONTROLE'!$C$5*(1-CONFIGURAÇÕES!$D$7), E352&lt;='PAINEL DE CONTROLE'!$C$5*(1+CONFIGURAÇÕES!$D$7)), "DENTRO", "FORA"))</f>
        <v/>
      </c>
    </row>
    <row r="353" spans="2:6" x14ac:dyDescent="0.2">
      <c r="B353" s="47"/>
      <c r="C353" s="48" t="str">
        <f t="shared" si="6"/>
        <v/>
      </c>
      <c r="D353" s="44"/>
      <c r="E353" s="42"/>
      <c r="F353" s="43" t="str">
        <f>IF(E353="", "", IF(AND(E353&gt;='PAINEL DE CONTROLE'!$C$5*(1-CONFIGURAÇÕES!$D$7), E353&lt;='PAINEL DE CONTROLE'!$C$5*(1+CONFIGURAÇÕES!$D$7)), "DENTRO", "FORA"))</f>
        <v/>
      </c>
    </row>
    <row r="354" spans="2:6" x14ac:dyDescent="0.2">
      <c r="B354" s="47"/>
      <c r="C354" s="48" t="str">
        <f t="shared" si="6"/>
        <v/>
      </c>
      <c r="D354" s="44"/>
      <c r="E354" s="42"/>
      <c r="F354" s="43" t="str">
        <f>IF(E354="", "", IF(AND(E354&gt;='PAINEL DE CONTROLE'!$C$5*(1-CONFIGURAÇÕES!$D$7), E354&lt;='PAINEL DE CONTROLE'!$C$5*(1+CONFIGURAÇÕES!$D$7)), "DENTRO", "FORA"))</f>
        <v/>
      </c>
    </row>
    <row r="355" spans="2:6" x14ac:dyDescent="0.2">
      <c r="B355" s="47"/>
      <c r="C355" s="48" t="str">
        <f t="shared" si="6"/>
        <v/>
      </c>
      <c r="D355" s="44"/>
      <c r="E355" s="42"/>
      <c r="F355" s="43" t="str">
        <f>IF(E355="", "", IF(AND(E355&gt;='PAINEL DE CONTROLE'!$C$5*(1-CONFIGURAÇÕES!$D$7), E355&lt;='PAINEL DE CONTROLE'!$C$5*(1+CONFIGURAÇÕES!$D$7)), "DENTRO", "FORA"))</f>
        <v/>
      </c>
    </row>
    <row r="356" spans="2:6" x14ac:dyDescent="0.2">
      <c r="B356" s="47"/>
      <c r="C356" s="48" t="str">
        <f t="shared" si="6"/>
        <v/>
      </c>
      <c r="D356" s="44"/>
      <c r="E356" s="42"/>
      <c r="F356" s="43" t="str">
        <f>IF(E356="", "", IF(AND(E356&gt;='PAINEL DE CONTROLE'!$C$5*(1-CONFIGURAÇÕES!$D$7), E356&lt;='PAINEL DE CONTROLE'!$C$5*(1+CONFIGURAÇÕES!$D$7)), "DENTRO", "FORA"))</f>
        <v/>
      </c>
    </row>
    <row r="357" spans="2:6" x14ac:dyDescent="0.2">
      <c r="B357" s="47"/>
      <c r="C357" s="48" t="str">
        <f t="shared" si="6"/>
        <v/>
      </c>
      <c r="D357" s="44"/>
      <c r="E357" s="42"/>
      <c r="F357" s="43" t="str">
        <f>IF(E357="", "", IF(AND(E357&gt;='PAINEL DE CONTROLE'!$C$5*(1-CONFIGURAÇÕES!$D$7), E357&lt;='PAINEL DE CONTROLE'!$C$5*(1+CONFIGURAÇÕES!$D$7)), "DENTRO", "FORA"))</f>
        <v/>
      </c>
    </row>
    <row r="358" spans="2:6" x14ac:dyDescent="0.2">
      <c r="B358" s="47"/>
      <c r="C358" s="48" t="str">
        <f t="shared" si="6"/>
        <v/>
      </c>
      <c r="D358" s="44"/>
      <c r="E358" s="42"/>
      <c r="F358" s="43" t="str">
        <f>IF(E358="", "", IF(AND(E358&gt;='PAINEL DE CONTROLE'!$C$5*(1-CONFIGURAÇÕES!$D$7), E358&lt;='PAINEL DE CONTROLE'!$C$5*(1+CONFIGURAÇÕES!$D$7)), "DENTRO", "FORA"))</f>
        <v/>
      </c>
    </row>
    <row r="359" spans="2:6" x14ac:dyDescent="0.2">
      <c r="B359" s="47"/>
      <c r="C359" s="48" t="str">
        <f t="shared" si="6"/>
        <v/>
      </c>
      <c r="D359" s="44"/>
      <c r="E359" s="42"/>
      <c r="F359" s="43" t="str">
        <f>IF(E359="", "", IF(AND(E359&gt;='PAINEL DE CONTROLE'!$C$5*(1-CONFIGURAÇÕES!$D$7), E359&lt;='PAINEL DE CONTROLE'!$C$5*(1+CONFIGURAÇÕES!$D$7)), "DENTRO", "FORA"))</f>
        <v/>
      </c>
    </row>
    <row r="360" spans="2:6" x14ac:dyDescent="0.2">
      <c r="B360" s="47"/>
      <c r="C360" s="48" t="str">
        <f t="shared" si="6"/>
        <v/>
      </c>
      <c r="D360" s="44"/>
      <c r="E360" s="42"/>
      <c r="F360" s="43" t="str">
        <f>IF(E360="", "", IF(AND(E360&gt;='PAINEL DE CONTROLE'!$C$5*(1-CONFIGURAÇÕES!$D$7), E360&lt;='PAINEL DE CONTROLE'!$C$5*(1+CONFIGURAÇÕES!$D$7)), "DENTRO", "FORA"))</f>
        <v/>
      </c>
    </row>
    <row r="361" spans="2:6" x14ac:dyDescent="0.2">
      <c r="B361" s="47"/>
      <c r="C361" s="48" t="str">
        <f t="shared" si="6"/>
        <v/>
      </c>
      <c r="D361" s="44"/>
      <c r="E361" s="42"/>
      <c r="F361" s="43" t="str">
        <f>IF(E361="", "", IF(AND(E361&gt;='PAINEL DE CONTROLE'!$C$5*(1-CONFIGURAÇÕES!$D$7), E361&lt;='PAINEL DE CONTROLE'!$C$5*(1+CONFIGURAÇÕES!$D$7)), "DENTRO", "FORA"))</f>
        <v/>
      </c>
    </row>
    <row r="362" spans="2:6" x14ac:dyDescent="0.2">
      <c r="B362" s="47"/>
      <c r="C362" s="48" t="str">
        <f t="shared" si="6"/>
        <v/>
      </c>
      <c r="D362" s="44"/>
      <c r="E362" s="42"/>
      <c r="F362" s="43" t="str">
        <f>IF(E362="", "", IF(AND(E362&gt;='PAINEL DE CONTROLE'!$C$5*(1-CONFIGURAÇÕES!$D$7), E362&lt;='PAINEL DE CONTROLE'!$C$5*(1+CONFIGURAÇÕES!$D$7)), "DENTRO", "FORA"))</f>
        <v/>
      </c>
    </row>
    <row r="363" spans="2:6" x14ac:dyDescent="0.2">
      <c r="B363" s="47"/>
      <c r="C363" s="48" t="str">
        <f t="shared" si="6"/>
        <v/>
      </c>
      <c r="D363" s="44"/>
      <c r="E363" s="42"/>
      <c r="F363" s="43" t="str">
        <f>IF(E363="", "", IF(AND(E363&gt;='PAINEL DE CONTROLE'!$C$5*(1-CONFIGURAÇÕES!$D$7), E363&lt;='PAINEL DE CONTROLE'!$C$5*(1+CONFIGURAÇÕES!$D$7)), "DENTRO", "FORA"))</f>
        <v/>
      </c>
    </row>
    <row r="364" spans="2:6" x14ac:dyDescent="0.2">
      <c r="B364" s="47"/>
      <c r="C364" s="48" t="str">
        <f t="shared" si="6"/>
        <v/>
      </c>
      <c r="D364" s="44"/>
      <c r="E364" s="42"/>
      <c r="F364" s="43" t="str">
        <f>IF(E364="", "", IF(AND(E364&gt;='PAINEL DE CONTROLE'!$C$5*(1-CONFIGURAÇÕES!$D$7), E364&lt;='PAINEL DE CONTROLE'!$C$5*(1+CONFIGURAÇÕES!$D$7)), "DENTRO", "FORA"))</f>
        <v/>
      </c>
    </row>
    <row r="365" spans="2:6" x14ac:dyDescent="0.2">
      <c r="B365" s="47"/>
      <c r="C365" s="48" t="str">
        <f t="shared" si="6"/>
        <v/>
      </c>
      <c r="D365" s="44"/>
      <c r="E365" s="42"/>
      <c r="F365" s="43" t="str">
        <f>IF(E365="", "", IF(AND(E365&gt;='PAINEL DE CONTROLE'!$C$5*(1-CONFIGURAÇÕES!$D$7), E365&lt;='PAINEL DE CONTROLE'!$C$5*(1+CONFIGURAÇÕES!$D$7)), "DENTRO", "FORA"))</f>
        <v/>
      </c>
    </row>
    <row r="366" spans="2:6" x14ac:dyDescent="0.2">
      <c r="B366" s="47"/>
      <c r="C366" s="48" t="str">
        <f t="shared" si="6"/>
        <v/>
      </c>
      <c r="D366" s="44"/>
      <c r="E366" s="42"/>
      <c r="F366" s="43" t="str">
        <f>IF(E366="", "", IF(AND(E366&gt;='PAINEL DE CONTROLE'!$C$5*(1-CONFIGURAÇÕES!$D$7), E366&lt;='PAINEL DE CONTROLE'!$C$5*(1+CONFIGURAÇÕES!$D$7)), "DENTRO", "FORA"))</f>
        <v/>
      </c>
    </row>
    <row r="367" spans="2:6" x14ac:dyDescent="0.2">
      <c r="B367" s="47"/>
      <c r="C367" s="48" t="str">
        <f t="shared" si="6"/>
        <v/>
      </c>
      <c r="D367" s="44"/>
      <c r="E367" s="42"/>
      <c r="F367" s="43" t="str">
        <f>IF(E367="", "", IF(AND(E367&gt;='PAINEL DE CONTROLE'!$C$5*(1-CONFIGURAÇÕES!$D$7), E367&lt;='PAINEL DE CONTROLE'!$C$5*(1+CONFIGURAÇÕES!$D$7)), "DENTRO", "FORA"))</f>
        <v/>
      </c>
    </row>
    <row r="368" spans="2:6" x14ac:dyDescent="0.2">
      <c r="B368" s="47"/>
      <c r="C368" s="48" t="str">
        <f t="shared" si="6"/>
        <v/>
      </c>
      <c r="D368" s="44"/>
      <c r="E368" s="42"/>
      <c r="F368" s="43" t="str">
        <f>IF(E368="", "", IF(AND(E368&gt;='PAINEL DE CONTROLE'!$C$5*(1-CONFIGURAÇÕES!$D$7), E368&lt;='PAINEL DE CONTROLE'!$C$5*(1+CONFIGURAÇÕES!$D$7)), "DENTRO", "FORA"))</f>
        <v/>
      </c>
    </row>
    <row r="369" spans="2:6" x14ac:dyDescent="0.2">
      <c r="B369" s="47"/>
      <c r="C369" s="48" t="str">
        <f t="shared" si="6"/>
        <v/>
      </c>
      <c r="D369" s="44"/>
      <c r="E369" s="42"/>
      <c r="F369" s="43" t="str">
        <f>IF(E369="", "", IF(AND(E369&gt;='PAINEL DE CONTROLE'!$C$5*(1-CONFIGURAÇÕES!$D$7), E369&lt;='PAINEL DE CONTROLE'!$C$5*(1+CONFIGURAÇÕES!$D$7)), "DENTRO", "FORA"))</f>
        <v/>
      </c>
    </row>
    <row r="370" spans="2:6" x14ac:dyDescent="0.2">
      <c r="B370" s="47"/>
      <c r="C370" s="48" t="str">
        <f t="shared" si="6"/>
        <v/>
      </c>
      <c r="D370" s="44"/>
      <c r="E370" s="42"/>
      <c r="F370" s="43" t="str">
        <f>IF(E370="", "", IF(AND(E370&gt;='PAINEL DE CONTROLE'!$C$5*(1-CONFIGURAÇÕES!$D$7), E370&lt;='PAINEL DE CONTROLE'!$C$5*(1+CONFIGURAÇÕES!$D$7)), "DENTRO", "FORA"))</f>
        <v/>
      </c>
    </row>
    <row r="371" spans="2:6" x14ac:dyDescent="0.2">
      <c r="B371" s="47"/>
      <c r="C371" s="48" t="str">
        <f t="shared" si="6"/>
        <v/>
      </c>
      <c r="D371" s="44"/>
      <c r="E371" s="42"/>
      <c r="F371" s="43" t="str">
        <f>IF(E371="", "", IF(AND(E371&gt;='PAINEL DE CONTROLE'!$C$5*(1-CONFIGURAÇÕES!$D$7), E371&lt;='PAINEL DE CONTROLE'!$C$5*(1+CONFIGURAÇÕES!$D$7)), "DENTRO", "FORA"))</f>
        <v/>
      </c>
    </row>
    <row r="372" spans="2:6" x14ac:dyDescent="0.2">
      <c r="B372" s="47"/>
      <c r="C372" s="48" t="str">
        <f t="shared" si="6"/>
        <v/>
      </c>
      <c r="D372" s="44"/>
      <c r="E372" s="42"/>
      <c r="F372" s="43" t="str">
        <f>IF(E372="", "", IF(AND(E372&gt;='PAINEL DE CONTROLE'!$C$5*(1-CONFIGURAÇÕES!$D$7), E372&lt;='PAINEL DE CONTROLE'!$C$5*(1+CONFIGURAÇÕES!$D$7)), "DENTRO", "FORA"))</f>
        <v/>
      </c>
    </row>
    <row r="373" spans="2:6" x14ac:dyDescent="0.2">
      <c r="B373" s="47"/>
      <c r="C373" s="48" t="str">
        <f t="shared" si="6"/>
        <v/>
      </c>
      <c r="D373" s="44"/>
      <c r="E373" s="42"/>
      <c r="F373" s="43" t="str">
        <f>IF(E373="", "", IF(AND(E373&gt;='PAINEL DE CONTROLE'!$C$5*(1-CONFIGURAÇÕES!$D$7), E373&lt;='PAINEL DE CONTROLE'!$C$5*(1+CONFIGURAÇÕES!$D$7)), "DENTRO", "FORA"))</f>
        <v/>
      </c>
    </row>
    <row r="374" spans="2:6" x14ac:dyDescent="0.2">
      <c r="B374" s="47"/>
      <c r="C374" s="48" t="str">
        <f t="shared" si="6"/>
        <v/>
      </c>
      <c r="D374" s="44"/>
      <c r="E374" s="42"/>
      <c r="F374" s="43" t="str">
        <f>IF(E374="", "", IF(AND(E374&gt;='PAINEL DE CONTROLE'!$C$5*(1-CONFIGURAÇÕES!$D$7), E374&lt;='PAINEL DE CONTROLE'!$C$5*(1+CONFIGURAÇÕES!$D$7)), "DENTRO", "FORA"))</f>
        <v/>
      </c>
    </row>
    <row r="375" spans="2:6" x14ac:dyDescent="0.2">
      <c r="B375" s="47"/>
      <c r="C375" s="48" t="str">
        <f t="shared" si="6"/>
        <v/>
      </c>
      <c r="D375" s="44"/>
      <c r="E375" s="42"/>
      <c r="F375" s="43" t="str">
        <f>IF(E375="", "", IF(AND(E375&gt;='PAINEL DE CONTROLE'!$C$5*(1-CONFIGURAÇÕES!$D$7), E375&lt;='PAINEL DE CONTROLE'!$C$5*(1+CONFIGURAÇÕES!$D$7)), "DENTRO", "FORA"))</f>
        <v/>
      </c>
    </row>
    <row r="376" spans="2:6" x14ac:dyDescent="0.2">
      <c r="B376" s="47"/>
      <c r="C376" s="48" t="str">
        <f t="shared" si="6"/>
        <v/>
      </c>
      <c r="D376" s="44"/>
      <c r="E376" s="42"/>
      <c r="F376" s="43" t="str">
        <f>IF(E376="", "", IF(AND(E376&gt;='PAINEL DE CONTROLE'!$C$5*(1-CONFIGURAÇÕES!$D$7), E376&lt;='PAINEL DE CONTROLE'!$C$5*(1+CONFIGURAÇÕES!$D$7)), "DENTRO", "FORA"))</f>
        <v/>
      </c>
    </row>
    <row r="377" spans="2:6" x14ac:dyDescent="0.2">
      <c r="B377" s="47"/>
      <c r="C377" s="48" t="str">
        <f t="shared" si="6"/>
        <v/>
      </c>
      <c r="D377" s="44"/>
      <c r="E377" s="42"/>
      <c r="F377" s="43" t="str">
        <f>IF(E377="", "", IF(AND(E377&gt;='PAINEL DE CONTROLE'!$C$5*(1-CONFIGURAÇÕES!$D$7), E377&lt;='PAINEL DE CONTROLE'!$C$5*(1+CONFIGURAÇÕES!$D$7)), "DENTRO", "FORA"))</f>
        <v/>
      </c>
    </row>
    <row r="378" spans="2:6" x14ac:dyDescent="0.2">
      <c r="B378" s="47"/>
      <c r="C378" s="48" t="str">
        <f t="shared" si="6"/>
        <v/>
      </c>
      <c r="D378" s="44"/>
      <c r="E378" s="42"/>
      <c r="F378" s="43" t="str">
        <f>IF(E378="", "", IF(AND(E378&gt;='PAINEL DE CONTROLE'!$C$5*(1-CONFIGURAÇÕES!$D$7), E378&lt;='PAINEL DE CONTROLE'!$C$5*(1+CONFIGURAÇÕES!$D$7)), "DENTRO", "FORA"))</f>
        <v/>
      </c>
    </row>
    <row r="379" spans="2:6" x14ac:dyDescent="0.2">
      <c r="B379" s="47"/>
      <c r="C379" s="48" t="str">
        <f t="shared" si="6"/>
        <v/>
      </c>
      <c r="D379" s="44"/>
      <c r="E379" s="42"/>
      <c r="F379" s="43" t="str">
        <f>IF(E379="", "", IF(AND(E379&gt;='PAINEL DE CONTROLE'!$C$5*(1-CONFIGURAÇÕES!$D$7), E379&lt;='PAINEL DE CONTROLE'!$C$5*(1+CONFIGURAÇÕES!$D$7)), "DENTRO", "FORA"))</f>
        <v/>
      </c>
    </row>
    <row r="380" spans="2:6" x14ac:dyDescent="0.2">
      <c r="B380" s="47"/>
      <c r="C380" s="48" t="str">
        <f t="shared" si="6"/>
        <v/>
      </c>
      <c r="D380" s="44"/>
      <c r="E380" s="42"/>
      <c r="F380" s="43" t="str">
        <f>IF(E380="", "", IF(AND(E380&gt;='PAINEL DE CONTROLE'!$C$5*(1-CONFIGURAÇÕES!$D$7), E380&lt;='PAINEL DE CONTROLE'!$C$5*(1+CONFIGURAÇÕES!$D$7)), "DENTRO", "FORA"))</f>
        <v/>
      </c>
    </row>
    <row r="381" spans="2:6" x14ac:dyDescent="0.2">
      <c r="B381" s="47"/>
      <c r="C381" s="48" t="str">
        <f t="shared" si="6"/>
        <v/>
      </c>
      <c r="D381" s="44"/>
      <c r="E381" s="42"/>
      <c r="F381" s="43" t="str">
        <f>IF(E381="", "", IF(AND(E381&gt;='PAINEL DE CONTROLE'!$C$5*(1-CONFIGURAÇÕES!$D$7), E381&lt;='PAINEL DE CONTROLE'!$C$5*(1+CONFIGURAÇÕES!$D$7)), "DENTRO", "FORA"))</f>
        <v/>
      </c>
    </row>
    <row r="382" spans="2:6" x14ac:dyDescent="0.2">
      <c r="B382" s="47"/>
      <c r="C382" s="48" t="str">
        <f t="shared" si="6"/>
        <v/>
      </c>
      <c r="D382" s="44"/>
      <c r="E382" s="42"/>
      <c r="F382" s="43" t="str">
        <f>IF(E382="", "", IF(AND(E382&gt;='PAINEL DE CONTROLE'!$C$5*(1-CONFIGURAÇÕES!$D$7), E382&lt;='PAINEL DE CONTROLE'!$C$5*(1+CONFIGURAÇÕES!$D$7)), "DENTRO", "FORA"))</f>
        <v/>
      </c>
    </row>
    <row r="383" spans="2:6" x14ac:dyDescent="0.2">
      <c r="B383" s="47"/>
      <c r="C383" s="48" t="str">
        <f t="shared" si="6"/>
        <v/>
      </c>
      <c r="D383" s="44"/>
      <c r="E383" s="42"/>
      <c r="F383" s="43" t="str">
        <f>IF(E383="", "", IF(AND(E383&gt;='PAINEL DE CONTROLE'!$C$5*(1-CONFIGURAÇÕES!$D$7), E383&lt;='PAINEL DE CONTROLE'!$C$5*(1+CONFIGURAÇÕES!$D$7)), "DENTRO", "FORA"))</f>
        <v/>
      </c>
    </row>
    <row r="384" spans="2:6" x14ac:dyDescent="0.2">
      <c r="B384" s="47"/>
      <c r="C384" s="48" t="str">
        <f t="shared" si="6"/>
        <v/>
      </c>
      <c r="D384" s="44"/>
      <c r="E384" s="42"/>
      <c r="F384" s="43" t="str">
        <f>IF(E384="", "", IF(AND(E384&gt;='PAINEL DE CONTROLE'!$C$5*(1-CONFIGURAÇÕES!$D$7), E384&lt;='PAINEL DE CONTROLE'!$C$5*(1+CONFIGURAÇÕES!$D$7)), "DENTRO", "FORA"))</f>
        <v/>
      </c>
    </row>
    <row r="385" spans="2:6" x14ac:dyDescent="0.2">
      <c r="B385" s="47"/>
      <c r="C385" s="48" t="str">
        <f t="shared" si="6"/>
        <v/>
      </c>
      <c r="D385" s="44"/>
      <c r="E385" s="42"/>
      <c r="F385" s="43" t="str">
        <f>IF(E385="", "", IF(AND(E385&gt;='PAINEL DE CONTROLE'!$C$5*(1-CONFIGURAÇÕES!$D$7), E385&lt;='PAINEL DE CONTROLE'!$C$5*(1+CONFIGURAÇÕES!$D$7)), "DENTRO", "FORA"))</f>
        <v/>
      </c>
    </row>
    <row r="386" spans="2:6" x14ac:dyDescent="0.2">
      <c r="B386" s="47"/>
      <c r="C386" s="48" t="str">
        <f t="shared" si="6"/>
        <v/>
      </c>
      <c r="D386" s="44"/>
      <c r="E386" s="42"/>
      <c r="F386" s="43" t="str">
        <f>IF(E386="", "", IF(AND(E386&gt;='PAINEL DE CONTROLE'!$C$5*(1-CONFIGURAÇÕES!$D$7), E386&lt;='PAINEL DE CONTROLE'!$C$5*(1+CONFIGURAÇÕES!$D$7)), "DENTRO", "FORA"))</f>
        <v/>
      </c>
    </row>
    <row r="387" spans="2:6" x14ac:dyDescent="0.2">
      <c r="B387" s="47"/>
      <c r="C387" s="48" t="str">
        <f t="shared" si="6"/>
        <v/>
      </c>
      <c r="D387" s="44"/>
      <c r="E387" s="42"/>
      <c r="F387" s="43" t="str">
        <f>IF(E387="", "", IF(AND(E387&gt;='PAINEL DE CONTROLE'!$C$5*(1-CONFIGURAÇÕES!$D$7), E387&lt;='PAINEL DE CONTROLE'!$C$5*(1+CONFIGURAÇÕES!$D$7)), "DENTRO", "FORA"))</f>
        <v/>
      </c>
    </row>
    <row r="388" spans="2:6" x14ac:dyDescent="0.2">
      <c r="B388" s="47"/>
      <c r="C388" s="48" t="str">
        <f t="shared" si="6"/>
        <v/>
      </c>
      <c r="D388" s="44"/>
      <c r="E388" s="42"/>
      <c r="F388" s="43" t="str">
        <f>IF(E388="", "", IF(AND(E388&gt;='PAINEL DE CONTROLE'!$C$5*(1-CONFIGURAÇÕES!$D$7), E388&lt;='PAINEL DE CONTROLE'!$C$5*(1+CONFIGURAÇÕES!$D$7)), "DENTRO", "FORA"))</f>
        <v/>
      </c>
    </row>
    <row r="389" spans="2:6" x14ac:dyDescent="0.2">
      <c r="B389" s="47"/>
      <c r="C389" s="48" t="str">
        <f t="shared" ref="C389" si="7">IF(B389="","",IF(AND(B389&gt;=$E$8,B389&lt;=$E$9),"DENTRO","FORA"))</f>
        <v/>
      </c>
      <c r="D389" s="44"/>
      <c r="E389" s="42"/>
      <c r="F389" s="43" t="str">
        <f>IF(E389="", "", IF(AND(E389&gt;='PAINEL DE CONTROLE'!$C$5*(1-CONFIGURAÇÕES!$D$7), E389&lt;='PAINEL DE CONTROLE'!$C$5*(1+CONFIGURAÇÕES!$D$7)), "DENTRO", "FORA"))</f>
        <v/>
      </c>
    </row>
    <row r="390" spans="2:6" x14ac:dyDescent="0.2">
      <c r="B390" s="44"/>
      <c r="C390" s="44"/>
      <c r="D390" s="44"/>
      <c r="E390" s="42"/>
      <c r="F390" s="43" t="str">
        <f>IF(E390="", "", IF(AND(E390&gt;='PAINEL DE CONTROLE'!$C$5*(1-CONFIGURAÇÕES!$D$7), E390&lt;='PAINEL DE CONTROLE'!$C$5*(1+CONFIGURAÇÕES!$D$7)), "DENTRO", "FORA"))</f>
        <v/>
      </c>
    </row>
    <row r="391" spans="2:6" x14ac:dyDescent="0.2">
      <c r="B391" s="44"/>
      <c r="C391" s="44"/>
      <c r="D391" s="44"/>
      <c r="E391" s="42"/>
      <c r="F391" s="43" t="str">
        <f>IF(E391="", "", IF(AND(E391&gt;='PAINEL DE CONTROLE'!$C$5*(1-CONFIGURAÇÕES!$D$7), E391&lt;='PAINEL DE CONTROLE'!$C$5*(1+CONFIGURAÇÕES!$D$7)), "DENTRO", "FORA"))</f>
        <v/>
      </c>
    </row>
    <row r="392" spans="2:6" x14ac:dyDescent="0.2">
      <c r="B392" s="44"/>
      <c r="C392" s="44"/>
      <c r="D392" s="44"/>
      <c r="E392" s="42"/>
      <c r="F392" s="43" t="str">
        <f>IF(E392="", "", IF(AND(E392&gt;='PAINEL DE CONTROLE'!$C$5*(1-CONFIGURAÇÕES!$D$7), E392&lt;='PAINEL DE CONTROLE'!$C$5*(1+CONFIGURAÇÕES!$D$7)), "DENTRO", "FORA"))</f>
        <v/>
      </c>
    </row>
    <row r="393" spans="2:6" x14ac:dyDescent="0.2">
      <c r="B393" s="44"/>
      <c r="C393" s="44"/>
      <c r="D393" s="44"/>
      <c r="E393" s="42"/>
      <c r="F393" s="43" t="str">
        <f>IF(E393="", "", IF(AND(E393&gt;='PAINEL DE CONTROLE'!$C$5*(1-CONFIGURAÇÕES!$D$7), E393&lt;='PAINEL DE CONTROLE'!$C$5*(1+CONFIGURAÇÕES!$D$7)), "DENTRO", "FORA"))</f>
        <v/>
      </c>
    </row>
    <row r="394" spans="2:6" x14ac:dyDescent="0.2">
      <c r="B394" s="44"/>
      <c r="C394" s="44"/>
      <c r="D394" s="44"/>
      <c r="E394" s="42"/>
      <c r="F394" s="43" t="str">
        <f>IF(E394="", "", IF(AND(E394&gt;='PAINEL DE CONTROLE'!$C$5*(1-CONFIGURAÇÕES!$D$7), E394&lt;='PAINEL DE CONTROLE'!$C$5*(1+CONFIGURAÇÕES!$D$7)), "DENTRO", "FORA"))</f>
        <v/>
      </c>
    </row>
    <row r="395" spans="2:6" x14ac:dyDescent="0.2">
      <c r="B395" s="44"/>
      <c r="C395" s="44"/>
      <c r="D395" s="44"/>
      <c r="E395" s="42"/>
      <c r="F395" s="43" t="str">
        <f>IF(E395="", "", IF(AND(E395&gt;='PAINEL DE CONTROLE'!$C$5*(1-CONFIGURAÇÕES!$D$7), E395&lt;='PAINEL DE CONTROLE'!$C$5*(1+CONFIGURAÇÕES!$D$7)), "DENTRO", "FORA"))</f>
        <v/>
      </c>
    </row>
    <row r="396" spans="2:6" x14ac:dyDescent="0.2">
      <c r="B396" s="44"/>
      <c r="C396" s="44"/>
      <c r="D396" s="44"/>
      <c r="E396" s="42"/>
      <c r="F396" s="43" t="str">
        <f>IF(E396="", "", IF(AND(E396&gt;='PAINEL DE CONTROLE'!$C$5*(1-CONFIGURAÇÕES!$D$7), E396&lt;='PAINEL DE CONTROLE'!$C$5*(1+CONFIGURAÇÕES!$D$7)), "DENTRO", "FORA"))</f>
        <v/>
      </c>
    </row>
    <row r="397" spans="2:6" x14ac:dyDescent="0.2">
      <c r="B397" s="44"/>
      <c r="C397" s="44"/>
      <c r="D397" s="44"/>
      <c r="E397" s="42"/>
      <c r="F397" s="43" t="str">
        <f>IF(E397="", "", IF(AND(E397&gt;='PAINEL DE CONTROLE'!$C$5*(1-CONFIGURAÇÕES!$D$7), E397&lt;='PAINEL DE CONTROLE'!$C$5*(1+CONFIGURAÇÕES!$D$7)), "DENTRO", "FORA"))</f>
        <v/>
      </c>
    </row>
    <row r="398" spans="2:6" x14ac:dyDescent="0.2">
      <c r="B398" s="44"/>
      <c r="C398" s="44"/>
      <c r="D398" s="44"/>
      <c r="E398" s="42"/>
      <c r="F398" s="43" t="str">
        <f>IF(E398="", "", IF(AND(E398&gt;='PAINEL DE CONTROLE'!$C$5*(1-CONFIGURAÇÕES!$D$7), E398&lt;='PAINEL DE CONTROLE'!$C$5*(1+CONFIGURAÇÕES!$D$7)), "DENTRO", "FORA"))</f>
        <v/>
      </c>
    </row>
    <row r="399" spans="2:6" x14ac:dyDescent="0.2">
      <c r="B399" s="44"/>
      <c r="C399" s="44"/>
      <c r="D399" s="44"/>
      <c r="E399" s="42"/>
      <c r="F399" s="43" t="str">
        <f>IF(E399="", "", IF(AND(E399&gt;='PAINEL DE CONTROLE'!$C$5*(1-CONFIGURAÇÕES!$D$7), E399&lt;='PAINEL DE CONTROLE'!$C$5*(1+CONFIGURAÇÕES!$D$7)), "DENTRO", "FORA"))</f>
        <v/>
      </c>
    </row>
    <row r="400" spans="2:6" x14ac:dyDescent="0.2">
      <c r="B400" s="44"/>
      <c r="C400" s="44"/>
      <c r="D400" s="44"/>
      <c r="E400" s="42"/>
      <c r="F400" s="43" t="str">
        <f>IF(E400="", "", IF(AND(E400&gt;='PAINEL DE CONTROLE'!$C$5*(1-CONFIGURAÇÕES!$D$7), E400&lt;='PAINEL DE CONTROLE'!$C$5*(1+CONFIGURAÇÕES!$D$7)), "DENTRO", "FORA"))</f>
        <v/>
      </c>
    </row>
    <row r="401" spans="2:6" x14ac:dyDescent="0.2">
      <c r="B401" s="44"/>
      <c r="C401" s="44"/>
      <c r="D401" s="44"/>
      <c r="E401" s="42"/>
      <c r="F401" s="43" t="str">
        <f>IF(E401="", "", IF(AND(E401&gt;='PAINEL DE CONTROLE'!$C$5*(1-CONFIGURAÇÕES!$D$7), E401&lt;='PAINEL DE CONTROLE'!$C$5*(1+CONFIGURAÇÕES!$D$7)), "DENTRO", "FORA"))</f>
        <v/>
      </c>
    </row>
    <row r="402" spans="2:6" x14ac:dyDescent="0.2">
      <c r="B402" s="44"/>
      <c r="C402" s="44"/>
      <c r="D402" s="44"/>
      <c r="E402" s="42"/>
      <c r="F402" s="43" t="str">
        <f>IF(E402="", "", IF(AND(E402&gt;='PAINEL DE CONTROLE'!$C$5*(1-CONFIGURAÇÕES!$D$7), E402&lt;='PAINEL DE CONTROLE'!$C$5*(1+CONFIGURAÇÕES!$D$7)), "DENTRO", "FORA"))</f>
        <v/>
      </c>
    </row>
    <row r="403" spans="2:6" x14ac:dyDescent="0.2">
      <c r="B403" s="44"/>
      <c r="C403" s="44"/>
      <c r="D403" s="44"/>
      <c r="E403" s="42"/>
      <c r="F403" s="43" t="str">
        <f>IF(E403="", "", IF(AND(E403&gt;='PAINEL DE CONTROLE'!$C$5*(1-CONFIGURAÇÕES!$D$7), E403&lt;='PAINEL DE CONTROLE'!$C$5*(1+CONFIGURAÇÕES!$D$7)), "DENTRO", "FORA"))</f>
        <v/>
      </c>
    </row>
    <row r="404" spans="2:6" x14ac:dyDescent="0.2">
      <c r="B404" s="44"/>
      <c r="C404" s="44"/>
      <c r="D404" s="44"/>
      <c r="E404" s="42"/>
      <c r="F404" s="43" t="str">
        <f>IF(E404="", "", IF(AND(E404&gt;='PAINEL DE CONTROLE'!$C$5*(1-CONFIGURAÇÕES!$D$7), E404&lt;='PAINEL DE CONTROLE'!$C$5*(1+CONFIGURAÇÕES!$D$7)), "DENTRO", "FORA"))</f>
        <v/>
      </c>
    </row>
    <row r="405" spans="2:6" x14ac:dyDescent="0.2">
      <c r="B405" s="44"/>
      <c r="C405" s="44"/>
      <c r="D405" s="44"/>
      <c r="E405" s="42"/>
      <c r="F405" s="43" t="str">
        <f>IF(E405="", "", IF(AND(E405&gt;='PAINEL DE CONTROLE'!$C$5*(1-CONFIGURAÇÕES!$D$7), E405&lt;='PAINEL DE CONTROLE'!$C$5*(1+CONFIGURAÇÕES!$D$7)), "DENTRO", "FORA"))</f>
        <v/>
      </c>
    </row>
    <row r="406" spans="2:6" x14ac:dyDescent="0.2">
      <c r="B406" s="44"/>
      <c r="C406" s="44"/>
      <c r="D406" s="44"/>
      <c r="E406" s="42"/>
      <c r="F406" s="43" t="str">
        <f>IF(E406="", "", IF(AND(E406&gt;='PAINEL DE CONTROLE'!$C$5*(1-CONFIGURAÇÕES!$D$7), E406&lt;='PAINEL DE CONTROLE'!$C$5*(1+CONFIGURAÇÕES!$D$7)), "DENTRO", "FORA"))</f>
        <v/>
      </c>
    </row>
    <row r="407" spans="2:6" x14ac:dyDescent="0.2">
      <c r="B407" s="44"/>
      <c r="C407" s="44"/>
      <c r="D407" s="44"/>
      <c r="E407" s="42"/>
      <c r="F407" s="43" t="str">
        <f>IF(E407="", "", IF(AND(E407&gt;='PAINEL DE CONTROLE'!$C$5*(1-CONFIGURAÇÕES!$D$7), E407&lt;='PAINEL DE CONTROLE'!$C$5*(1+CONFIGURAÇÕES!$D$7)), "DENTRO", "FORA"))</f>
        <v/>
      </c>
    </row>
    <row r="408" spans="2:6" x14ac:dyDescent="0.2">
      <c r="B408" s="44"/>
      <c r="C408" s="44"/>
      <c r="D408" s="44"/>
      <c r="E408" s="42"/>
      <c r="F408" s="43" t="str">
        <f>IF(E408="", "", IF(AND(E408&gt;='PAINEL DE CONTROLE'!$C$5*(1-CONFIGURAÇÕES!$D$7), E408&lt;='PAINEL DE CONTROLE'!$C$5*(1+CONFIGURAÇÕES!$D$7)), "DENTRO", "FORA"))</f>
        <v/>
      </c>
    </row>
    <row r="409" spans="2:6" x14ac:dyDescent="0.2">
      <c r="B409" s="44"/>
      <c r="C409" s="44"/>
      <c r="D409" s="44"/>
      <c r="E409" s="42"/>
      <c r="F409" s="43" t="str">
        <f>IF(E409="", "", IF(AND(E409&gt;='PAINEL DE CONTROLE'!$C$5*(1-CONFIGURAÇÕES!$D$7), E409&lt;='PAINEL DE CONTROLE'!$C$5*(1+CONFIGURAÇÕES!$D$7)), "DENTRO", "FORA"))</f>
        <v/>
      </c>
    </row>
    <row r="410" spans="2:6" x14ac:dyDescent="0.2">
      <c r="B410" s="44"/>
      <c r="C410" s="44"/>
      <c r="D410" s="44"/>
      <c r="E410" s="42"/>
      <c r="F410" s="43" t="str">
        <f>IF(E410="", "", IF(AND(E410&gt;='PAINEL DE CONTROLE'!$C$5*(1-CONFIGURAÇÕES!$D$7), E410&lt;='PAINEL DE CONTROLE'!$C$5*(1+CONFIGURAÇÕES!$D$7)), "DENTRO", "FORA"))</f>
        <v/>
      </c>
    </row>
    <row r="411" spans="2:6" x14ac:dyDescent="0.2">
      <c r="B411" s="44"/>
      <c r="C411" s="44"/>
      <c r="D411" s="44"/>
      <c r="E411" s="42"/>
      <c r="F411" s="43" t="str">
        <f>IF(E411="", "", IF(AND(E411&gt;='PAINEL DE CONTROLE'!$C$5*(1-CONFIGURAÇÕES!$D$7), E411&lt;='PAINEL DE CONTROLE'!$C$5*(1+CONFIGURAÇÕES!$D$7)), "DENTRO", "FORA"))</f>
        <v/>
      </c>
    </row>
    <row r="412" spans="2:6" x14ac:dyDescent="0.2">
      <c r="B412" s="44"/>
      <c r="C412" s="44"/>
      <c r="D412" s="44"/>
      <c r="E412" s="42"/>
      <c r="F412" s="43" t="str">
        <f>IF(E412="", "", IF(AND(E412&gt;='PAINEL DE CONTROLE'!$C$5*(1-CONFIGURAÇÕES!$D$7), E412&lt;='PAINEL DE CONTROLE'!$C$5*(1+CONFIGURAÇÕES!$D$7)), "DENTRO", "FORA"))</f>
        <v/>
      </c>
    </row>
    <row r="413" spans="2:6" x14ac:dyDescent="0.2">
      <c r="B413" s="44"/>
      <c r="C413" s="44"/>
      <c r="D413" s="44"/>
      <c r="E413" s="42"/>
      <c r="F413" s="43" t="str">
        <f>IF(E413="", "", IF(AND(E413&gt;='PAINEL DE CONTROLE'!$C$5*(1-CONFIGURAÇÕES!$D$7), E413&lt;='PAINEL DE CONTROLE'!$C$5*(1+CONFIGURAÇÕES!$D$7)), "DENTRO", "FORA"))</f>
        <v/>
      </c>
    </row>
    <row r="414" spans="2:6" x14ac:dyDescent="0.2">
      <c r="B414" s="44"/>
      <c r="C414" s="44"/>
      <c r="D414" s="44"/>
      <c r="E414" s="42"/>
      <c r="F414" s="43" t="str">
        <f>IF(E414="", "", IF(AND(E414&gt;='PAINEL DE CONTROLE'!$C$5*(1-CONFIGURAÇÕES!$D$7), E414&lt;='PAINEL DE CONTROLE'!$C$5*(1+CONFIGURAÇÕES!$D$7)), "DENTRO", "FORA"))</f>
        <v/>
      </c>
    </row>
    <row r="415" spans="2:6" x14ac:dyDescent="0.2">
      <c r="B415" s="44"/>
      <c r="C415" s="44"/>
      <c r="D415" s="44"/>
      <c r="E415" s="42"/>
      <c r="F415" s="43" t="str">
        <f>IF(E415="", "", IF(AND(E415&gt;='PAINEL DE CONTROLE'!$C$5*(1-CONFIGURAÇÕES!$D$7), E415&lt;='PAINEL DE CONTROLE'!$C$5*(1+CONFIGURAÇÕES!$D$7)), "DENTRO", "FORA"))</f>
        <v/>
      </c>
    </row>
    <row r="416" spans="2:6" x14ac:dyDescent="0.2">
      <c r="B416" s="44"/>
      <c r="C416" s="44"/>
      <c r="D416" s="44"/>
      <c r="E416" s="42"/>
      <c r="F416" s="43" t="str">
        <f>IF(E416="", "", IF(AND(E416&gt;='PAINEL DE CONTROLE'!$C$5*(1-CONFIGURAÇÕES!$D$7), E416&lt;='PAINEL DE CONTROLE'!$C$5*(1+CONFIGURAÇÕES!$D$7)), "DENTRO", "FORA"))</f>
        <v/>
      </c>
    </row>
    <row r="417" spans="2:6" x14ac:dyDescent="0.2">
      <c r="B417" s="44"/>
      <c r="C417" s="44"/>
      <c r="D417" s="44"/>
      <c r="E417" s="42"/>
      <c r="F417" s="43" t="str">
        <f>IF(E417="", "", IF(AND(E417&gt;='PAINEL DE CONTROLE'!$C$5*(1-CONFIGURAÇÕES!$D$7), E417&lt;='PAINEL DE CONTROLE'!$C$5*(1+CONFIGURAÇÕES!$D$7)), "DENTRO", "FORA"))</f>
        <v/>
      </c>
    </row>
    <row r="418" spans="2:6" x14ac:dyDescent="0.2">
      <c r="B418" s="44"/>
      <c r="C418" s="44"/>
      <c r="D418" s="44"/>
      <c r="E418" s="42"/>
      <c r="F418" s="43" t="str">
        <f>IF(E418="", "", IF(AND(E418&gt;='PAINEL DE CONTROLE'!$C$5*(1-CONFIGURAÇÕES!$D$7), E418&lt;='PAINEL DE CONTROLE'!$C$5*(1+CONFIGURAÇÕES!$D$7)), "DENTRO", "FORA"))</f>
        <v/>
      </c>
    </row>
    <row r="419" spans="2:6" x14ac:dyDescent="0.2">
      <c r="B419" s="44"/>
      <c r="C419" s="44"/>
      <c r="D419" s="44"/>
      <c r="E419" s="42"/>
      <c r="F419" s="43" t="str">
        <f>IF(E419="", "", IF(AND(E419&gt;='PAINEL DE CONTROLE'!$C$5*(1-CONFIGURAÇÕES!$D$7), E419&lt;='PAINEL DE CONTROLE'!$C$5*(1+CONFIGURAÇÕES!$D$7)), "DENTRO", "FORA"))</f>
        <v/>
      </c>
    </row>
    <row r="420" spans="2:6" x14ac:dyDescent="0.2">
      <c r="B420" s="44"/>
      <c r="C420" s="44"/>
      <c r="D420" s="44"/>
      <c r="E420" s="42"/>
      <c r="F420" s="43" t="str">
        <f>IF(E420="", "", IF(AND(E420&gt;='PAINEL DE CONTROLE'!$C$5*(1-CONFIGURAÇÕES!$D$7), E420&lt;='PAINEL DE CONTROLE'!$C$5*(1+CONFIGURAÇÕES!$D$7)), "DENTRO", "FORA"))</f>
        <v/>
      </c>
    </row>
    <row r="421" spans="2:6" x14ac:dyDescent="0.2">
      <c r="B421" s="44"/>
      <c r="C421" s="44"/>
      <c r="D421" s="44"/>
      <c r="E421" s="42"/>
      <c r="F421" s="43" t="str">
        <f>IF(E421="", "", IF(AND(E421&gt;='PAINEL DE CONTROLE'!$C$5*(1-CONFIGURAÇÕES!$D$7), E421&lt;='PAINEL DE CONTROLE'!$C$5*(1+CONFIGURAÇÕES!$D$7)), "DENTRO", "FORA"))</f>
        <v/>
      </c>
    </row>
    <row r="422" spans="2:6" x14ac:dyDescent="0.2">
      <c r="B422" s="44"/>
      <c r="C422" s="44"/>
      <c r="D422" s="44"/>
      <c r="E422" s="42"/>
      <c r="F422" s="43" t="str">
        <f>IF(E422="", "", IF(AND(E422&gt;='PAINEL DE CONTROLE'!$C$5*(1-CONFIGURAÇÕES!$D$7), E422&lt;='PAINEL DE CONTROLE'!$C$5*(1+CONFIGURAÇÕES!$D$7)), "DENTRO", "FORA"))</f>
        <v/>
      </c>
    </row>
    <row r="423" spans="2:6" x14ac:dyDescent="0.2">
      <c r="B423" s="44"/>
      <c r="C423" s="44"/>
      <c r="D423" s="44"/>
      <c r="E423" s="42"/>
      <c r="F423" s="43" t="str">
        <f>IF(E423="", "", IF(AND(E423&gt;='PAINEL DE CONTROLE'!$C$5*(1-CONFIGURAÇÕES!$D$7), E423&lt;='PAINEL DE CONTROLE'!$C$5*(1+CONFIGURAÇÕES!$D$7)), "DENTRO", "FORA"))</f>
        <v/>
      </c>
    </row>
    <row r="424" spans="2:6" x14ac:dyDescent="0.2">
      <c r="B424" s="44"/>
      <c r="C424" s="44"/>
      <c r="D424" s="44"/>
      <c r="E424" s="42"/>
      <c r="F424" s="43" t="str">
        <f>IF(E424="", "", IF(AND(E424&gt;='PAINEL DE CONTROLE'!$C$5*(1-CONFIGURAÇÕES!$D$7), E424&lt;='PAINEL DE CONTROLE'!$C$5*(1+CONFIGURAÇÕES!$D$7)), "DENTRO", "FORA"))</f>
        <v/>
      </c>
    </row>
    <row r="425" spans="2:6" x14ac:dyDescent="0.2">
      <c r="B425" s="44"/>
      <c r="C425" s="44"/>
      <c r="D425" s="44"/>
      <c r="E425" s="42"/>
      <c r="F425" s="43" t="str">
        <f>IF(E425="", "", IF(AND(E425&gt;='PAINEL DE CONTROLE'!$C$5*(1-CONFIGURAÇÕES!$D$7), E425&lt;='PAINEL DE CONTROLE'!$C$5*(1+CONFIGURAÇÕES!$D$7)), "DENTRO", "FORA"))</f>
        <v/>
      </c>
    </row>
    <row r="426" spans="2:6" x14ac:dyDescent="0.2">
      <c r="B426" s="44"/>
      <c r="C426" s="44"/>
      <c r="D426" s="44"/>
      <c r="E426" s="42"/>
      <c r="F426" s="43" t="str">
        <f>IF(E426="", "", IF(AND(E426&gt;='PAINEL DE CONTROLE'!$C$5*(1-CONFIGURAÇÕES!$D$7), E426&lt;='PAINEL DE CONTROLE'!$C$5*(1+CONFIGURAÇÕES!$D$7)), "DENTRO", "FORA"))</f>
        <v/>
      </c>
    </row>
    <row r="427" spans="2:6" x14ac:dyDescent="0.2">
      <c r="B427" s="44"/>
      <c r="C427" s="44"/>
      <c r="D427" s="44"/>
      <c r="E427" s="42"/>
      <c r="F427" s="43" t="str">
        <f>IF(E427="", "", IF(AND(E427&gt;='PAINEL DE CONTROLE'!$C$5*(1-CONFIGURAÇÕES!$D$7), E427&lt;='PAINEL DE CONTROLE'!$C$5*(1+CONFIGURAÇÕES!$D$7)), "DENTRO", "FORA"))</f>
        <v/>
      </c>
    </row>
    <row r="428" spans="2:6" x14ac:dyDescent="0.2">
      <c r="B428" s="44"/>
      <c r="C428" s="44"/>
      <c r="D428" s="44"/>
      <c r="E428" s="42"/>
      <c r="F428" s="43" t="str">
        <f>IF(E428="", "", IF(AND(E428&gt;='PAINEL DE CONTROLE'!$C$5*(1-CONFIGURAÇÕES!$D$7), E428&lt;='PAINEL DE CONTROLE'!$C$5*(1+CONFIGURAÇÕES!$D$7)), "DENTRO", "FORA"))</f>
        <v/>
      </c>
    </row>
    <row r="429" spans="2:6" x14ac:dyDescent="0.2">
      <c r="B429" s="44"/>
      <c r="C429" s="44"/>
      <c r="D429" s="44"/>
      <c r="E429" s="42"/>
      <c r="F429" s="43" t="str">
        <f>IF(E429="", "", IF(AND(E429&gt;='PAINEL DE CONTROLE'!$C$5*(1-CONFIGURAÇÕES!$D$7), E429&lt;='PAINEL DE CONTROLE'!$C$5*(1+CONFIGURAÇÕES!$D$7)), "DENTRO", "FORA"))</f>
        <v/>
      </c>
    </row>
    <row r="430" spans="2:6" x14ac:dyDescent="0.2">
      <c r="B430" s="44"/>
      <c r="C430" s="44"/>
      <c r="D430" s="44"/>
      <c r="E430" s="42"/>
      <c r="F430" s="43" t="str">
        <f>IF(E430="", "", IF(AND(E430&gt;='PAINEL DE CONTROLE'!$C$5*(1-CONFIGURAÇÕES!$D$7), E430&lt;='PAINEL DE CONTROLE'!$C$5*(1+CONFIGURAÇÕES!$D$7)), "DENTRO", "FORA"))</f>
        <v/>
      </c>
    </row>
    <row r="431" spans="2:6" x14ac:dyDescent="0.2">
      <c r="B431" s="44"/>
      <c r="C431" s="44"/>
      <c r="D431" s="44"/>
      <c r="E431" s="42"/>
      <c r="F431" s="43" t="str">
        <f>IF(E431="", "", IF(AND(E431&gt;='PAINEL DE CONTROLE'!$C$5*(1-CONFIGURAÇÕES!$D$7), E431&lt;='PAINEL DE CONTROLE'!$C$5*(1+CONFIGURAÇÕES!$D$7)), "DENTRO", "FORA"))</f>
        <v/>
      </c>
    </row>
    <row r="432" spans="2:6" x14ac:dyDescent="0.2">
      <c r="B432" s="44"/>
      <c r="C432" s="44"/>
      <c r="D432" s="44"/>
      <c r="E432" s="42"/>
      <c r="F432" s="43" t="str">
        <f>IF(E432="", "", IF(AND(E432&gt;='PAINEL DE CONTROLE'!$C$5*(1-CONFIGURAÇÕES!$D$7), E432&lt;='PAINEL DE CONTROLE'!$C$5*(1+CONFIGURAÇÕES!$D$7)), "DENTRO", "FORA"))</f>
        <v/>
      </c>
    </row>
    <row r="433" spans="2:6" x14ac:dyDescent="0.2">
      <c r="B433" s="44"/>
      <c r="C433" s="44"/>
      <c r="D433" s="44"/>
      <c r="E433" s="42"/>
      <c r="F433" s="43" t="str">
        <f>IF(E433="", "", IF(AND(E433&gt;='PAINEL DE CONTROLE'!$C$5*(1-CONFIGURAÇÕES!$D$7), E433&lt;='PAINEL DE CONTROLE'!$C$5*(1+CONFIGURAÇÕES!$D$7)), "DENTRO", "FORA"))</f>
        <v/>
      </c>
    </row>
    <row r="434" spans="2:6" x14ac:dyDescent="0.2">
      <c r="B434" s="44"/>
      <c r="C434" s="44"/>
      <c r="D434" s="44"/>
      <c r="E434" s="42"/>
      <c r="F434" s="43" t="str">
        <f>IF(E434="", "", IF(AND(E434&gt;='PAINEL DE CONTROLE'!$C$5*(1-CONFIGURAÇÕES!$D$7), E434&lt;='PAINEL DE CONTROLE'!$C$5*(1+CONFIGURAÇÕES!$D$7)), "DENTRO", "FORA"))</f>
        <v/>
      </c>
    </row>
    <row r="435" spans="2:6" x14ac:dyDescent="0.2">
      <c r="B435" s="44"/>
      <c r="C435" s="44"/>
      <c r="D435" s="44"/>
      <c r="E435" s="42"/>
      <c r="F435" s="43" t="str">
        <f>IF(E435="", "", IF(AND(E435&gt;='PAINEL DE CONTROLE'!$C$5*(1-CONFIGURAÇÕES!$D$7), E435&lt;='PAINEL DE CONTROLE'!$C$5*(1+CONFIGURAÇÕES!$D$7)), "DENTRO", "FORA"))</f>
        <v/>
      </c>
    </row>
    <row r="436" spans="2:6" x14ac:dyDescent="0.2">
      <c r="B436" s="44"/>
      <c r="C436" s="44"/>
      <c r="D436" s="44"/>
      <c r="E436" s="42"/>
      <c r="F436" s="43" t="str">
        <f>IF(E436="", "", IF(AND(E436&gt;='PAINEL DE CONTROLE'!$C$5*(1-CONFIGURAÇÕES!$D$7), E436&lt;='PAINEL DE CONTROLE'!$C$5*(1+CONFIGURAÇÕES!$D$7)), "DENTRO", "FORA"))</f>
        <v/>
      </c>
    </row>
    <row r="437" spans="2:6" x14ac:dyDescent="0.2">
      <c r="B437" s="44"/>
      <c r="C437" s="44"/>
      <c r="D437" s="44"/>
      <c r="E437" s="42"/>
      <c r="F437" s="43" t="str">
        <f>IF(E437="", "", IF(AND(E437&gt;='PAINEL DE CONTROLE'!$C$5*(1-CONFIGURAÇÕES!$D$7), E437&lt;='PAINEL DE CONTROLE'!$C$5*(1+CONFIGURAÇÕES!$D$7)), "DENTRO", "FORA"))</f>
        <v/>
      </c>
    </row>
    <row r="438" spans="2:6" x14ac:dyDescent="0.2">
      <c r="B438" s="44"/>
      <c r="C438" s="44"/>
      <c r="D438" s="44"/>
      <c r="E438" s="42"/>
      <c r="F438" s="43" t="str">
        <f>IF(E438="", "", IF(AND(E438&gt;='PAINEL DE CONTROLE'!$C$5*(1-CONFIGURAÇÕES!$D$7), E438&lt;='PAINEL DE CONTROLE'!$C$5*(1+CONFIGURAÇÕES!$D$7)), "DENTRO", "FORA"))</f>
        <v/>
      </c>
    </row>
    <row r="439" spans="2:6" x14ac:dyDescent="0.2">
      <c r="B439" s="44"/>
      <c r="C439" s="44"/>
      <c r="D439" s="44"/>
      <c r="E439" s="42"/>
      <c r="F439" s="43" t="str">
        <f>IF(E439="", "", IF(AND(E439&gt;='PAINEL DE CONTROLE'!$C$5*(1-CONFIGURAÇÕES!$D$7), E439&lt;='PAINEL DE CONTROLE'!$C$5*(1+CONFIGURAÇÕES!$D$7)), "DENTRO", "FORA"))</f>
        <v/>
      </c>
    </row>
    <row r="440" spans="2:6" x14ac:dyDescent="0.2">
      <c r="B440" s="44"/>
      <c r="C440" s="44"/>
      <c r="D440" s="44"/>
      <c r="E440" s="42"/>
      <c r="F440" s="43" t="str">
        <f>IF(E440="", "", IF(AND(E440&gt;='PAINEL DE CONTROLE'!$C$5*(1-CONFIGURAÇÕES!$D$7), E440&lt;='PAINEL DE CONTROLE'!$C$5*(1+CONFIGURAÇÕES!$D$7)), "DENTRO", "FORA"))</f>
        <v/>
      </c>
    </row>
    <row r="441" spans="2:6" x14ac:dyDescent="0.2">
      <c r="B441" s="44"/>
      <c r="C441" s="44"/>
      <c r="D441" s="44"/>
      <c r="E441" s="42"/>
      <c r="F441" s="43" t="str">
        <f>IF(E441="", "", IF(AND(E441&gt;='PAINEL DE CONTROLE'!$C$5*(1-CONFIGURAÇÕES!$D$7), E441&lt;='PAINEL DE CONTROLE'!$C$5*(1+CONFIGURAÇÕES!$D$7)), "DENTRO", "FORA"))</f>
        <v/>
      </c>
    </row>
    <row r="442" spans="2:6" x14ac:dyDescent="0.2">
      <c r="B442" s="44"/>
      <c r="C442" s="44"/>
      <c r="D442" s="44"/>
      <c r="E442" s="42"/>
      <c r="F442" s="43" t="str">
        <f>IF(E442="", "", IF(AND(E442&gt;='PAINEL DE CONTROLE'!$C$5*(1-CONFIGURAÇÕES!$D$7), E442&lt;='PAINEL DE CONTROLE'!$C$5*(1+CONFIGURAÇÕES!$D$7)), "DENTRO", "FORA"))</f>
        <v/>
      </c>
    </row>
    <row r="443" spans="2:6" x14ac:dyDescent="0.2">
      <c r="B443" s="44"/>
      <c r="C443" s="44"/>
      <c r="D443" s="44"/>
      <c r="E443" s="42"/>
      <c r="F443" s="43" t="str">
        <f>IF(E443="", "", IF(AND(E443&gt;='PAINEL DE CONTROLE'!$C$5*(1-CONFIGURAÇÕES!$D$7), E443&lt;='PAINEL DE CONTROLE'!$C$5*(1+CONFIGURAÇÕES!$D$7)), "DENTRO", "FORA"))</f>
        <v/>
      </c>
    </row>
    <row r="444" spans="2:6" x14ac:dyDescent="0.2">
      <c r="B444" s="44"/>
      <c r="C444" s="44"/>
      <c r="D444" s="44"/>
      <c r="E444" s="42"/>
      <c r="F444" s="43" t="str">
        <f>IF(E444="", "", IF(AND(E444&gt;='PAINEL DE CONTROLE'!$C$5*(1-CONFIGURAÇÕES!$D$7), E444&lt;='PAINEL DE CONTROLE'!$C$5*(1+CONFIGURAÇÕES!$D$7)), "DENTRO", "FORA"))</f>
        <v/>
      </c>
    </row>
    <row r="445" spans="2:6" x14ac:dyDescent="0.2">
      <c r="B445" s="44"/>
      <c r="C445" s="44"/>
      <c r="D445" s="44"/>
      <c r="E445" s="42"/>
      <c r="F445" s="43" t="str">
        <f>IF(E445="", "", IF(AND(E445&gt;='PAINEL DE CONTROLE'!$C$5*(1-CONFIGURAÇÕES!$D$7), E445&lt;='PAINEL DE CONTROLE'!$C$5*(1+CONFIGURAÇÕES!$D$7)), "DENTRO", "FORA"))</f>
        <v/>
      </c>
    </row>
    <row r="446" spans="2:6" x14ac:dyDescent="0.2">
      <c r="B446" s="44"/>
      <c r="C446" s="44"/>
      <c r="D446" s="44"/>
      <c r="E446" s="42"/>
      <c r="F446" s="43" t="str">
        <f>IF(E446="", "", IF(AND(E446&gt;='PAINEL DE CONTROLE'!$C$5*(1-CONFIGURAÇÕES!$D$7), E446&lt;='PAINEL DE CONTROLE'!$C$5*(1+CONFIGURAÇÕES!$D$7)), "DENTRO", "FORA"))</f>
        <v/>
      </c>
    </row>
    <row r="447" spans="2:6" x14ac:dyDescent="0.2">
      <c r="B447" s="44"/>
      <c r="C447" s="44"/>
      <c r="D447" s="44"/>
      <c r="E447" s="42"/>
      <c r="F447" s="43" t="str">
        <f>IF(E447="", "", IF(AND(E447&gt;='PAINEL DE CONTROLE'!$C$5*(1-CONFIGURAÇÕES!$D$7), E447&lt;='PAINEL DE CONTROLE'!$C$5*(1+CONFIGURAÇÕES!$D$7)), "DENTRO", "FORA"))</f>
        <v/>
      </c>
    </row>
    <row r="448" spans="2:6" x14ac:dyDescent="0.2">
      <c r="B448" s="44"/>
      <c r="C448" s="44"/>
      <c r="D448" s="44"/>
      <c r="E448" s="42"/>
      <c r="F448" s="43" t="str">
        <f>IF(E448="", "", IF(AND(E448&gt;='PAINEL DE CONTROLE'!$C$5*(1-CONFIGURAÇÕES!$D$7), E448&lt;='PAINEL DE CONTROLE'!$C$5*(1+CONFIGURAÇÕES!$D$7)), "DENTRO", "FORA"))</f>
        <v/>
      </c>
    </row>
    <row r="449" spans="2:6" x14ac:dyDescent="0.2">
      <c r="B449" s="44"/>
      <c r="C449" s="44"/>
      <c r="D449" s="44"/>
      <c r="E449" s="42"/>
      <c r="F449" s="43" t="str">
        <f>IF(E449="", "", IF(AND(E449&gt;='PAINEL DE CONTROLE'!$C$5*(1-CONFIGURAÇÕES!$D$7), E449&lt;='PAINEL DE CONTROLE'!$C$5*(1+CONFIGURAÇÕES!$D$7)), "DENTRO", "FORA"))</f>
        <v/>
      </c>
    </row>
    <row r="450" spans="2:6" x14ac:dyDescent="0.2">
      <c r="B450" s="44"/>
      <c r="C450" s="44"/>
      <c r="D450" s="44"/>
      <c r="E450" s="42"/>
      <c r="F450" s="43" t="str">
        <f>IF(E450="", "", IF(AND(E450&gt;='PAINEL DE CONTROLE'!$C$5*(1-CONFIGURAÇÕES!$D$7), E450&lt;='PAINEL DE CONTROLE'!$C$5*(1+CONFIGURAÇÕES!$D$7)), "DENTRO", "FORA"))</f>
        <v/>
      </c>
    </row>
    <row r="451" spans="2:6" x14ac:dyDescent="0.2">
      <c r="B451" s="44"/>
      <c r="C451" s="44"/>
      <c r="D451" s="44"/>
      <c r="E451" s="42"/>
      <c r="F451" s="43" t="str">
        <f>IF(E451="", "", IF(AND(E451&gt;='PAINEL DE CONTROLE'!$C$5*(1-CONFIGURAÇÕES!$D$7), E451&lt;='PAINEL DE CONTROLE'!$C$5*(1+CONFIGURAÇÕES!$D$7)), "DENTRO", "FORA"))</f>
        <v/>
      </c>
    </row>
    <row r="452" spans="2:6" x14ac:dyDescent="0.2">
      <c r="B452" s="44"/>
      <c r="C452" s="44"/>
      <c r="D452" s="44"/>
      <c r="E452" s="42"/>
      <c r="F452" s="43" t="str">
        <f>IF(E452="", "", IF(AND(E452&gt;='PAINEL DE CONTROLE'!$C$5*(1-CONFIGURAÇÕES!$D$7), E452&lt;='PAINEL DE CONTROLE'!$C$5*(1+CONFIGURAÇÕES!$D$7)), "DENTRO", "FORA"))</f>
        <v/>
      </c>
    </row>
    <row r="453" spans="2:6" x14ac:dyDescent="0.2">
      <c r="B453" s="44"/>
      <c r="C453" s="44"/>
      <c r="D453" s="44"/>
      <c r="E453" s="42"/>
      <c r="F453" s="43" t="str">
        <f>IF(E453="", "", IF(AND(E453&gt;='PAINEL DE CONTROLE'!$C$5*(1-CONFIGURAÇÕES!$D$7), E453&lt;='PAINEL DE CONTROLE'!$C$5*(1+CONFIGURAÇÕES!$D$7)), "DENTRO", "FORA"))</f>
        <v/>
      </c>
    </row>
    <row r="454" spans="2:6" x14ac:dyDescent="0.2">
      <c r="B454" s="44"/>
      <c r="C454" s="44"/>
      <c r="D454" s="44"/>
      <c r="E454" s="42"/>
      <c r="F454" s="43" t="str">
        <f>IF(E454="", "", IF(AND(E454&gt;='PAINEL DE CONTROLE'!$C$5*(1-CONFIGURAÇÕES!$D$7), E454&lt;='PAINEL DE CONTROLE'!$C$5*(1+CONFIGURAÇÕES!$D$7)), "DENTRO", "FORA"))</f>
        <v/>
      </c>
    </row>
    <row r="455" spans="2:6" x14ac:dyDescent="0.2">
      <c r="B455" s="44"/>
      <c r="C455" s="44"/>
      <c r="D455" s="44"/>
      <c r="E455" s="42"/>
      <c r="F455" s="43" t="str">
        <f>IF(E455="", "", IF(AND(E455&gt;='PAINEL DE CONTROLE'!$C$5*(1-CONFIGURAÇÕES!$D$7), E455&lt;='PAINEL DE CONTROLE'!$C$5*(1+CONFIGURAÇÕES!$D$7)), "DENTRO", "FORA"))</f>
        <v/>
      </c>
    </row>
    <row r="456" spans="2:6" x14ac:dyDescent="0.2">
      <c r="B456" s="44"/>
      <c r="C456" s="44"/>
      <c r="D456" s="44"/>
      <c r="E456" s="42"/>
      <c r="F456" s="43" t="str">
        <f>IF(E456="", "", IF(AND(E456&gt;='PAINEL DE CONTROLE'!$C$5*(1-CONFIGURAÇÕES!$D$7), E456&lt;='PAINEL DE CONTROLE'!$C$5*(1+CONFIGURAÇÕES!$D$7)), "DENTRO", "FORA"))</f>
        <v/>
      </c>
    </row>
    <row r="457" spans="2:6" x14ac:dyDescent="0.2">
      <c r="B457" s="44"/>
      <c r="C457" s="44"/>
      <c r="D457" s="44"/>
      <c r="E457" s="42"/>
      <c r="F457" s="43" t="str">
        <f>IF(E457="", "", IF(AND(E457&gt;='PAINEL DE CONTROLE'!$C$5*(1-CONFIGURAÇÕES!$D$7), E457&lt;='PAINEL DE CONTROLE'!$C$5*(1+CONFIGURAÇÕES!$D$7)), "DENTRO", "FORA"))</f>
        <v/>
      </c>
    </row>
    <row r="458" spans="2:6" x14ac:dyDescent="0.2">
      <c r="B458" s="44"/>
      <c r="C458" s="44"/>
      <c r="D458" s="44"/>
      <c r="E458" s="42"/>
      <c r="F458" s="43" t="str">
        <f>IF(E458="", "", IF(AND(E458&gt;='PAINEL DE CONTROLE'!$C$5*(1-CONFIGURAÇÕES!$D$7), E458&lt;='PAINEL DE CONTROLE'!$C$5*(1+CONFIGURAÇÕES!$D$7)), "DENTRO", "FORA"))</f>
        <v/>
      </c>
    </row>
    <row r="459" spans="2:6" x14ac:dyDescent="0.2">
      <c r="B459" s="44"/>
      <c r="C459" s="44"/>
      <c r="D459" s="44"/>
      <c r="E459" s="42"/>
      <c r="F459" s="43" t="str">
        <f>IF(E459="", "", IF(AND(E459&gt;='PAINEL DE CONTROLE'!$C$5*(1-CONFIGURAÇÕES!$D$7), E459&lt;='PAINEL DE CONTROLE'!$C$5*(1+CONFIGURAÇÕES!$D$7)), "DENTRO", "FORA"))</f>
        <v/>
      </c>
    </row>
    <row r="460" spans="2:6" x14ac:dyDescent="0.2">
      <c r="B460" s="44"/>
      <c r="C460" s="44"/>
      <c r="D460" s="44"/>
      <c r="E460" s="42"/>
      <c r="F460" s="43" t="str">
        <f>IF(E460="", "", IF(AND(E460&gt;='PAINEL DE CONTROLE'!$C$5*(1-CONFIGURAÇÕES!$D$7), E460&lt;='PAINEL DE CONTROLE'!$C$5*(1+CONFIGURAÇÕES!$D$7)), "DENTRO", "FORA"))</f>
        <v/>
      </c>
    </row>
    <row r="461" spans="2:6" x14ac:dyDescent="0.2">
      <c r="B461" s="44"/>
      <c r="C461" s="44"/>
      <c r="D461" s="44"/>
      <c r="E461" s="42"/>
      <c r="F461" s="43" t="str">
        <f>IF(E461="", "", IF(AND(E461&gt;='PAINEL DE CONTROLE'!$C$5*(1-CONFIGURAÇÕES!$D$7), E461&lt;='PAINEL DE CONTROLE'!$C$5*(1+CONFIGURAÇÕES!$D$7)), "DENTRO", "FORA"))</f>
        <v/>
      </c>
    </row>
    <row r="462" spans="2:6" x14ac:dyDescent="0.2">
      <c r="B462" s="44"/>
      <c r="C462" s="44"/>
      <c r="D462" s="44"/>
      <c r="E462" s="42"/>
      <c r="F462" s="43" t="str">
        <f>IF(E462="", "", IF(AND(E462&gt;='PAINEL DE CONTROLE'!$C$5*(1-CONFIGURAÇÕES!$D$7), E462&lt;='PAINEL DE CONTROLE'!$C$5*(1+CONFIGURAÇÕES!$D$7)), "DENTRO", "FORA"))</f>
        <v/>
      </c>
    </row>
    <row r="463" spans="2:6" x14ac:dyDescent="0.2">
      <c r="B463" s="44"/>
      <c r="C463" s="44"/>
      <c r="D463" s="44"/>
      <c r="E463" s="42"/>
      <c r="F463" s="43" t="str">
        <f>IF(E463="", "", IF(AND(E463&gt;='PAINEL DE CONTROLE'!$C$5*(1-CONFIGURAÇÕES!$D$7), E463&lt;='PAINEL DE CONTROLE'!$C$5*(1+CONFIGURAÇÕES!$D$7)), "DENTRO", "FORA"))</f>
        <v/>
      </c>
    </row>
    <row r="464" spans="2:6" x14ac:dyDescent="0.2">
      <c r="B464" s="44"/>
      <c r="C464" s="44"/>
      <c r="D464" s="44"/>
      <c r="E464" s="42"/>
      <c r="F464" s="43" t="str">
        <f>IF(E464="", "", IF(AND(E464&gt;='PAINEL DE CONTROLE'!$C$5*(1-CONFIGURAÇÕES!$D$7), E464&lt;='PAINEL DE CONTROLE'!$C$5*(1+CONFIGURAÇÕES!$D$7)), "DENTRO", "FORA"))</f>
        <v/>
      </c>
    </row>
    <row r="465" spans="2:6" x14ac:dyDescent="0.2">
      <c r="B465" s="44"/>
      <c r="C465" s="44"/>
      <c r="D465" s="44"/>
      <c r="E465" s="42"/>
      <c r="F465" s="43" t="str">
        <f>IF(E465="", "", IF(AND(E465&gt;='PAINEL DE CONTROLE'!$C$5*(1-CONFIGURAÇÕES!$D$7), E465&lt;='PAINEL DE CONTROLE'!$C$5*(1+CONFIGURAÇÕES!$D$7)), "DENTRO", "FORA"))</f>
        <v/>
      </c>
    </row>
    <row r="466" spans="2:6" x14ac:dyDescent="0.2">
      <c r="B466" s="44"/>
      <c r="C466" s="44"/>
      <c r="D466" s="44"/>
      <c r="E466" s="42"/>
      <c r="F466" s="43" t="str">
        <f>IF(E466="", "", IF(AND(E466&gt;='PAINEL DE CONTROLE'!$C$5*(1-CONFIGURAÇÕES!$D$7), E466&lt;='PAINEL DE CONTROLE'!$C$5*(1+CONFIGURAÇÕES!$D$7)), "DENTRO", "FORA"))</f>
        <v/>
      </c>
    </row>
    <row r="467" spans="2:6" x14ac:dyDescent="0.2">
      <c r="B467" s="44"/>
      <c r="C467" s="44"/>
      <c r="D467" s="44"/>
      <c r="E467" s="42"/>
      <c r="F467" s="43" t="str">
        <f>IF(E467="", "", IF(AND(E467&gt;='PAINEL DE CONTROLE'!$C$5*(1-CONFIGURAÇÕES!$D$7), E467&lt;='PAINEL DE CONTROLE'!$C$5*(1+CONFIGURAÇÕES!$D$7)), "DENTRO", "FORA"))</f>
        <v/>
      </c>
    </row>
    <row r="468" spans="2:6" x14ac:dyDescent="0.2">
      <c r="B468" s="44"/>
      <c r="C468" s="44"/>
      <c r="D468" s="44"/>
      <c r="E468" s="42"/>
      <c r="F468" s="43" t="str">
        <f>IF(E468="", "", IF(AND(E468&gt;='PAINEL DE CONTROLE'!$C$5*(1-CONFIGURAÇÕES!$D$7), E468&lt;='PAINEL DE CONTROLE'!$C$5*(1+CONFIGURAÇÕES!$D$7)), "DENTRO", "FORA"))</f>
        <v/>
      </c>
    </row>
    <row r="469" spans="2:6" x14ac:dyDescent="0.2">
      <c r="B469" s="44"/>
      <c r="C469" s="44"/>
      <c r="D469" s="44"/>
      <c r="E469" s="42"/>
      <c r="F469" s="43" t="str">
        <f>IF(E469="", "", IF(AND(E469&gt;='PAINEL DE CONTROLE'!$C$5*(1-CONFIGURAÇÕES!$D$7), E469&lt;='PAINEL DE CONTROLE'!$C$5*(1+CONFIGURAÇÕES!$D$7)), "DENTRO", "FORA"))</f>
        <v/>
      </c>
    </row>
    <row r="470" spans="2:6" x14ac:dyDescent="0.2">
      <c r="B470" s="44"/>
      <c r="C470" s="44"/>
      <c r="D470" s="44"/>
      <c r="E470" s="42"/>
      <c r="F470" s="43" t="str">
        <f>IF(E470="", "", IF(AND(E470&gt;='PAINEL DE CONTROLE'!$C$5*(1-CONFIGURAÇÕES!$D$7), E470&lt;='PAINEL DE CONTROLE'!$C$5*(1+CONFIGURAÇÕES!$D$7)), "DENTRO", "FORA"))</f>
        <v/>
      </c>
    </row>
    <row r="471" spans="2:6" x14ac:dyDescent="0.2">
      <c r="B471" s="44"/>
      <c r="C471" s="44"/>
      <c r="D471" s="44"/>
      <c r="E471" s="42"/>
      <c r="F471" s="43" t="str">
        <f>IF(E471="", "", IF(AND(E471&gt;='PAINEL DE CONTROLE'!$C$5*(1-CONFIGURAÇÕES!$D$7), E471&lt;='PAINEL DE CONTROLE'!$C$5*(1+CONFIGURAÇÕES!$D$7)), "DENTRO", "FORA"))</f>
        <v/>
      </c>
    </row>
    <row r="472" spans="2:6" x14ac:dyDescent="0.2">
      <c r="B472" s="44"/>
      <c r="C472" s="44"/>
      <c r="D472" s="44"/>
      <c r="E472" s="42"/>
      <c r="F472" s="43" t="str">
        <f>IF(E472="", "", IF(AND(E472&gt;='PAINEL DE CONTROLE'!$C$5*(1-CONFIGURAÇÕES!$D$7), E472&lt;='PAINEL DE CONTROLE'!$C$5*(1+CONFIGURAÇÕES!$D$7)), "DENTRO", "FORA"))</f>
        <v/>
      </c>
    </row>
    <row r="473" spans="2:6" x14ac:dyDescent="0.2">
      <c r="B473" s="44"/>
      <c r="C473" s="44"/>
      <c r="D473" s="44"/>
      <c r="E473" s="42"/>
      <c r="F473" s="43" t="str">
        <f>IF(E473="", "", IF(AND(E473&gt;='PAINEL DE CONTROLE'!$C$5*(1-CONFIGURAÇÕES!$D$7), E473&lt;='PAINEL DE CONTROLE'!$C$5*(1+CONFIGURAÇÕES!$D$7)), "DENTRO", "FORA"))</f>
        <v/>
      </c>
    </row>
    <row r="474" spans="2:6" x14ac:dyDescent="0.2">
      <c r="B474" s="44"/>
      <c r="C474" s="44"/>
      <c r="D474" s="44"/>
      <c r="E474" s="42"/>
      <c r="F474" s="43" t="str">
        <f>IF(E474="", "", IF(AND(E474&gt;='PAINEL DE CONTROLE'!$C$5*(1-CONFIGURAÇÕES!$D$7), E474&lt;='PAINEL DE CONTROLE'!$C$5*(1+CONFIGURAÇÕES!$D$7)), "DENTRO", "FORA"))</f>
        <v/>
      </c>
    </row>
    <row r="475" spans="2:6" x14ac:dyDescent="0.2">
      <c r="B475" s="44"/>
      <c r="C475" s="44"/>
      <c r="D475" s="44"/>
      <c r="E475" s="42"/>
      <c r="F475" s="43" t="str">
        <f>IF(E475="", "", IF(AND(E475&gt;='PAINEL DE CONTROLE'!$C$5*(1-CONFIGURAÇÕES!$D$7), E475&lt;='PAINEL DE CONTROLE'!$C$5*(1+CONFIGURAÇÕES!$D$7)), "DENTRO", "FORA"))</f>
        <v/>
      </c>
    </row>
    <row r="476" spans="2:6" x14ac:dyDescent="0.2">
      <c r="B476" s="44"/>
      <c r="C476" s="44"/>
      <c r="D476" s="44"/>
      <c r="E476" s="42"/>
      <c r="F476" s="43" t="str">
        <f>IF(E476="", "", IF(AND(E476&gt;='PAINEL DE CONTROLE'!$C$5*(1-CONFIGURAÇÕES!$D$7), E476&lt;='PAINEL DE CONTROLE'!$C$5*(1+CONFIGURAÇÕES!$D$7)), "DENTRO", "FORA"))</f>
        <v/>
      </c>
    </row>
    <row r="477" spans="2:6" x14ac:dyDescent="0.2">
      <c r="B477" s="44"/>
      <c r="C477" s="44"/>
      <c r="D477" s="44"/>
      <c r="E477" s="42"/>
      <c r="F477" s="43" t="str">
        <f>IF(E477="", "", IF(AND(E477&gt;='PAINEL DE CONTROLE'!$C$5*(1-CONFIGURAÇÕES!$D$7), E477&lt;='PAINEL DE CONTROLE'!$C$5*(1+CONFIGURAÇÕES!$D$7)), "DENTRO", "FORA"))</f>
        <v/>
      </c>
    </row>
    <row r="478" spans="2:6" x14ac:dyDescent="0.2">
      <c r="B478" s="44"/>
      <c r="C478" s="44"/>
      <c r="D478" s="44"/>
      <c r="E478" s="42"/>
      <c r="F478" s="43" t="str">
        <f>IF(E478="", "", IF(AND(E478&gt;='PAINEL DE CONTROLE'!$C$5*(1-CONFIGURAÇÕES!$D$7), E478&lt;='PAINEL DE CONTROLE'!$C$5*(1+CONFIGURAÇÕES!$D$7)), "DENTRO", "FORA"))</f>
        <v/>
      </c>
    </row>
    <row r="479" spans="2:6" x14ac:dyDescent="0.2">
      <c r="B479" s="44"/>
      <c r="C479" s="44"/>
      <c r="D479" s="44"/>
      <c r="E479" s="42"/>
      <c r="F479" s="43" t="str">
        <f>IF(E479="", "", IF(AND(E479&gt;='PAINEL DE CONTROLE'!$C$5*(1-CONFIGURAÇÕES!$D$7), E479&lt;='PAINEL DE CONTROLE'!$C$5*(1+CONFIGURAÇÕES!$D$7)), "DENTRO", "FORA"))</f>
        <v/>
      </c>
    </row>
    <row r="480" spans="2:6" x14ac:dyDescent="0.2">
      <c r="B480" s="44"/>
      <c r="C480" s="44"/>
      <c r="D480" s="44"/>
      <c r="E480" s="42"/>
      <c r="F480" s="43" t="str">
        <f>IF(E480="", "", IF(AND(E480&gt;='PAINEL DE CONTROLE'!$C$5*(1-CONFIGURAÇÕES!$D$7), E480&lt;='PAINEL DE CONTROLE'!$C$5*(1+CONFIGURAÇÕES!$D$7)), "DENTRO", "FORA"))</f>
        <v/>
      </c>
    </row>
    <row r="481" spans="2:6" x14ac:dyDescent="0.2">
      <c r="B481" s="44"/>
      <c r="C481" s="44"/>
      <c r="D481" s="44"/>
      <c r="E481" s="42"/>
      <c r="F481" s="43" t="str">
        <f>IF(E481="", "", IF(AND(E481&gt;='PAINEL DE CONTROLE'!$C$5*(1-CONFIGURAÇÕES!$D$7), E481&lt;='PAINEL DE CONTROLE'!$C$5*(1+CONFIGURAÇÕES!$D$7)), "DENTRO", "FORA"))</f>
        <v/>
      </c>
    </row>
    <row r="482" spans="2:6" x14ac:dyDescent="0.2">
      <c r="B482" s="44"/>
      <c r="C482" s="44"/>
      <c r="D482" s="44"/>
      <c r="E482" s="42"/>
      <c r="F482" s="43" t="str">
        <f>IF(E482="", "", IF(AND(E482&gt;='PAINEL DE CONTROLE'!$C$5*(1-CONFIGURAÇÕES!$D$7), E482&lt;='PAINEL DE CONTROLE'!$C$5*(1+CONFIGURAÇÕES!$D$7)), "DENTRO", "FORA"))</f>
        <v/>
      </c>
    </row>
    <row r="483" spans="2:6" x14ac:dyDescent="0.2">
      <c r="B483" s="44"/>
      <c r="C483" s="44"/>
      <c r="D483" s="44"/>
      <c r="E483" s="42"/>
      <c r="F483" s="43" t="str">
        <f>IF(E483="", "", IF(AND(E483&gt;='PAINEL DE CONTROLE'!$C$5*(1-CONFIGURAÇÕES!$D$7), E483&lt;='PAINEL DE CONTROLE'!$C$5*(1+CONFIGURAÇÕES!$D$7)), "DENTRO", "FORA"))</f>
        <v/>
      </c>
    </row>
    <row r="484" spans="2:6" x14ac:dyDescent="0.2">
      <c r="B484" s="44"/>
      <c r="C484" s="44"/>
      <c r="D484" s="44"/>
      <c r="E484" s="42"/>
      <c r="F484" s="43" t="str">
        <f>IF(E484="", "", IF(AND(E484&gt;='PAINEL DE CONTROLE'!$C$5*(1-CONFIGURAÇÕES!$D$7), E484&lt;='PAINEL DE CONTROLE'!$C$5*(1+CONFIGURAÇÕES!$D$7)), "DENTRO", "FORA"))</f>
        <v/>
      </c>
    </row>
    <row r="485" spans="2:6" x14ac:dyDescent="0.2">
      <c r="B485" s="44"/>
      <c r="C485" s="44"/>
      <c r="D485" s="44"/>
      <c r="E485" s="42"/>
      <c r="F485" s="43" t="str">
        <f>IF(E485="", "", IF(AND(E485&gt;='PAINEL DE CONTROLE'!$C$5*(1-CONFIGURAÇÕES!$D$7), E485&lt;='PAINEL DE CONTROLE'!$C$5*(1+CONFIGURAÇÕES!$D$7)), "DENTRO", "FORA"))</f>
        <v/>
      </c>
    </row>
    <row r="486" spans="2:6" x14ac:dyDescent="0.2">
      <c r="B486" s="44"/>
      <c r="C486" s="44"/>
      <c r="D486" s="44"/>
      <c r="E486" s="42"/>
      <c r="F486" s="43" t="str">
        <f>IF(E486="", "", IF(AND(E486&gt;='PAINEL DE CONTROLE'!$C$5*(1-CONFIGURAÇÕES!$D$7), E486&lt;='PAINEL DE CONTROLE'!$C$5*(1+CONFIGURAÇÕES!$D$7)), "DENTRO", "FORA"))</f>
        <v/>
      </c>
    </row>
    <row r="487" spans="2:6" x14ac:dyDescent="0.2">
      <c r="B487" s="44"/>
      <c r="C487" s="44"/>
      <c r="D487" s="44"/>
      <c r="E487" s="42"/>
      <c r="F487" s="43" t="str">
        <f>IF(E487="", "", IF(AND(E487&gt;='PAINEL DE CONTROLE'!$C$5*(1-CONFIGURAÇÕES!$D$7), E487&lt;='PAINEL DE CONTROLE'!$C$5*(1+CONFIGURAÇÕES!$D$7)), "DENTRO", "FORA"))</f>
        <v/>
      </c>
    </row>
    <row r="488" spans="2:6" x14ac:dyDescent="0.2">
      <c r="B488" s="44"/>
      <c r="C488" s="44"/>
      <c r="D488" s="44"/>
      <c r="E488" s="42"/>
      <c r="F488" s="43" t="str">
        <f>IF(E488="", "", IF(AND(E488&gt;='PAINEL DE CONTROLE'!$C$5*(1-CONFIGURAÇÕES!$D$7), E488&lt;='PAINEL DE CONTROLE'!$C$5*(1+CONFIGURAÇÕES!$D$7)), "DENTRO", "FORA"))</f>
        <v/>
      </c>
    </row>
    <row r="489" spans="2:6" x14ac:dyDescent="0.2">
      <c r="B489" s="44"/>
      <c r="C489" s="44"/>
      <c r="D489" s="44"/>
      <c r="E489" s="42"/>
      <c r="F489" s="43" t="str">
        <f>IF(E489="", "", IF(AND(E489&gt;='PAINEL DE CONTROLE'!$C$5*(1-CONFIGURAÇÕES!$D$7), E489&lt;='PAINEL DE CONTROLE'!$C$5*(1+CONFIGURAÇÕES!$D$7)), "DENTRO", "FORA"))</f>
        <v/>
      </c>
    </row>
    <row r="490" spans="2:6" x14ac:dyDescent="0.2">
      <c r="B490" s="44"/>
      <c r="C490" s="44"/>
      <c r="D490" s="44"/>
      <c r="E490" s="42"/>
      <c r="F490" s="43" t="str">
        <f>IF(E490="", "", IF(AND(E490&gt;='PAINEL DE CONTROLE'!$C$5*(1-CONFIGURAÇÕES!$D$7), E490&lt;='PAINEL DE CONTROLE'!$C$5*(1+CONFIGURAÇÕES!$D$7)), "DENTRO", "FORA"))</f>
        <v/>
      </c>
    </row>
    <row r="491" spans="2:6" x14ac:dyDescent="0.2">
      <c r="B491" s="44"/>
      <c r="C491" s="44"/>
      <c r="D491" s="44"/>
      <c r="E491" s="42"/>
      <c r="F491" s="43" t="str">
        <f>IF(E491="", "", IF(AND(E491&gt;='PAINEL DE CONTROLE'!$C$5*(1-CONFIGURAÇÕES!$D$7), E491&lt;='PAINEL DE CONTROLE'!$C$5*(1+CONFIGURAÇÕES!$D$7)), "DENTRO", "FORA"))</f>
        <v/>
      </c>
    </row>
    <row r="492" spans="2:6" x14ac:dyDescent="0.2">
      <c r="B492" s="44"/>
      <c r="C492" s="44"/>
      <c r="D492" s="44"/>
      <c r="E492" s="42"/>
      <c r="F492" s="43" t="str">
        <f>IF(E492="", "", IF(AND(E492&gt;='PAINEL DE CONTROLE'!$C$5*(1-CONFIGURAÇÕES!$D$7), E492&lt;='PAINEL DE CONTROLE'!$C$5*(1+CONFIGURAÇÕES!$D$7)), "DENTRO", "FORA"))</f>
        <v/>
      </c>
    </row>
    <row r="493" spans="2:6" x14ac:dyDescent="0.2">
      <c r="B493" s="44"/>
      <c r="C493" s="44"/>
      <c r="D493" s="44"/>
      <c r="E493" s="42"/>
      <c r="F493" s="43" t="str">
        <f>IF(E493="", "", IF(AND(E493&gt;='PAINEL DE CONTROLE'!$C$5*(1-CONFIGURAÇÕES!$D$7), E493&lt;='PAINEL DE CONTROLE'!$C$5*(1+CONFIGURAÇÕES!$D$7)), "DENTRO", "FORA"))</f>
        <v/>
      </c>
    </row>
    <row r="494" spans="2:6" x14ac:dyDescent="0.2">
      <c r="B494" s="44"/>
      <c r="C494" s="44"/>
      <c r="D494" s="44"/>
      <c r="E494" s="42"/>
      <c r="F494" s="43" t="str">
        <f>IF(E494="", "", IF(AND(E494&gt;='PAINEL DE CONTROLE'!$C$5*(1-CONFIGURAÇÕES!$D$7), E494&lt;='PAINEL DE CONTROLE'!$C$5*(1+CONFIGURAÇÕES!$D$7)), "DENTRO", "FORA"))</f>
        <v/>
      </c>
    </row>
    <row r="495" spans="2:6" x14ac:dyDescent="0.2">
      <c r="B495" s="44"/>
      <c r="C495" s="44"/>
      <c r="D495" s="44"/>
      <c r="E495" s="42"/>
      <c r="F495" s="43" t="str">
        <f>IF(E495="", "", IF(AND(E495&gt;='PAINEL DE CONTROLE'!$C$5*(1-CONFIGURAÇÕES!$D$7), E495&lt;='PAINEL DE CONTROLE'!$C$5*(1+CONFIGURAÇÕES!$D$7)), "DENTRO", "FORA"))</f>
        <v/>
      </c>
    </row>
    <row r="496" spans="2:6" x14ac:dyDescent="0.2">
      <c r="B496" s="44"/>
      <c r="C496" s="44"/>
      <c r="D496" s="44"/>
      <c r="E496" s="42"/>
      <c r="F496" s="43" t="str">
        <f>IF(E496="", "", IF(AND(E496&gt;='PAINEL DE CONTROLE'!$C$5*(1-CONFIGURAÇÕES!$D$7), E496&lt;='PAINEL DE CONTROLE'!$C$5*(1+CONFIGURAÇÕES!$D$7)), "DENTRO", "FORA"))</f>
        <v/>
      </c>
    </row>
    <row r="497" spans="2:6" x14ac:dyDescent="0.2">
      <c r="B497" s="44"/>
      <c r="C497" s="44"/>
      <c r="D497" s="44"/>
      <c r="E497" s="42"/>
      <c r="F497" s="43" t="str">
        <f>IF(E497="", "", IF(AND(E497&gt;='PAINEL DE CONTROLE'!$C$5*(1-CONFIGURAÇÕES!$D$7), E497&lt;='PAINEL DE CONTROLE'!$C$5*(1+CONFIGURAÇÕES!$D$7)), "DENTRO", "FORA"))</f>
        <v/>
      </c>
    </row>
    <row r="498" spans="2:6" x14ac:dyDescent="0.2">
      <c r="B498" s="44"/>
      <c r="C498" s="44"/>
      <c r="D498" s="44"/>
      <c r="E498" s="42"/>
      <c r="F498" s="43" t="str">
        <f>IF(E498="", "", IF(AND(E498&gt;='PAINEL DE CONTROLE'!$C$5*(1-CONFIGURAÇÕES!$D$7), E498&lt;='PAINEL DE CONTROLE'!$C$5*(1+CONFIGURAÇÕES!$D$7)), "DENTRO", "FORA"))</f>
        <v/>
      </c>
    </row>
    <row r="499" spans="2:6" x14ac:dyDescent="0.2">
      <c r="B499" s="44"/>
      <c r="C499" s="44"/>
      <c r="D499" s="44"/>
      <c r="E499" s="42"/>
      <c r="F499" s="43" t="str">
        <f>IF(E499="", "", IF(AND(E499&gt;='PAINEL DE CONTROLE'!$C$5*(1-CONFIGURAÇÕES!$D$7), E499&lt;='PAINEL DE CONTROLE'!$C$5*(1+CONFIGURAÇÕES!$D$7)), "DENTRO", "FORA"))</f>
        <v/>
      </c>
    </row>
    <row r="500" spans="2:6" x14ac:dyDescent="0.2">
      <c r="B500" s="44"/>
      <c r="C500" s="44"/>
      <c r="D500" s="44"/>
      <c r="E500" s="42"/>
      <c r="F500" s="43" t="str">
        <f>IF(E500="", "", IF(AND(E500&gt;='PAINEL DE CONTROLE'!$C$5*(1-CONFIGURAÇÕES!$D$7), E500&lt;='PAINEL DE CONTROLE'!$C$5*(1+CONFIGURAÇÕES!$D$7)), "DENTRO", "FORA"))</f>
        <v/>
      </c>
    </row>
    <row r="501" spans="2:6" x14ac:dyDescent="0.2">
      <c r="B501" s="44"/>
      <c r="C501" s="44"/>
      <c r="D501" s="44"/>
      <c r="E501" s="42"/>
      <c r="F501" s="43" t="str">
        <f>IF(E501="", "", IF(AND(E501&gt;='PAINEL DE CONTROLE'!$C$5*(1-CONFIGURAÇÕES!$D$7), E501&lt;='PAINEL DE CONTROLE'!$C$5*(1+CONFIGURAÇÕES!$D$7)), "DENTRO", "FORA"))</f>
        <v/>
      </c>
    </row>
    <row r="502" spans="2:6" x14ac:dyDescent="0.2">
      <c r="B502" s="44"/>
      <c r="C502" s="44"/>
      <c r="D502" s="44"/>
      <c r="E502" s="42"/>
      <c r="F502" s="43" t="str">
        <f>IF(E502="", "", IF(AND(E502&gt;='PAINEL DE CONTROLE'!$C$5*(1-CONFIGURAÇÕES!$D$7), E502&lt;='PAINEL DE CONTROLE'!$C$5*(1+CONFIGURAÇÕES!$D$7)), "DENTRO", "FORA"))</f>
        <v/>
      </c>
    </row>
    <row r="503" spans="2:6" x14ac:dyDescent="0.2">
      <c r="B503" s="44"/>
      <c r="C503" s="44"/>
      <c r="D503" s="44"/>
      <c r="E503" s="42"/>
      <c r="F503" s="43" t="str">
        <f>IF(E503="", "", IF(AND(E503&gt;='PAINEL DE CONTROLE'!$C$5*(1-CONFIGURAÇÕES!$D$7), E503&lt;='PAINEL DE CONTROLE'!$C$5*(1+CONFIGURAÇÕES!$D$7)), "DENTRO", "FORA"))</f>
        <v/>
      </c>
    </row>
    <row r="504" spans="2:6" x14ac:dyDescent="0.2">
      <c r="B504" s="44"/>
      <c r="C504" s="44"/>
      <c r="D504" s="44"/>
      <c r="E504" s="42"/>
      <c r="F504" s="43" t="str">
        <f>IF(E504="", "", IF(AND(E504&gt;='PAINEL DE CONTROLE'!$C$5*(1-CONFIGURAÇÕES!$D$7), E504&lt;='PAINEL DE CONTROLE'!$C$5*(1+CONFIGURAÇÕES!$D$7)), "DENTRO", "FORA"))</f>
        <v/>
      </c>
    </row>
    <row r="505" spans="2:6" x14ac:dyDescent="0.2">
      <c r="B505" s="44"/>
      <c r="C505" s="44"/>
      <c r="D505" s="44"/>
      <c r="E505" s="42"/>
      <c r="F505" s="43" t="str">
        <f>IF(E505="", "", IF(AND(E505&gt;='PAINEL DE CONTROLE'!$C$5*(1-CONFIGURAÇÕES!$D$7), E505&lt;='PAINEL DE CONTROLE'!$C$5*(1+CONFIGURAÇÕES!$D$7)), "DENTRO", "FORA"))</f>
        <v/>
      </c>
    </row>
    <row r="506" spans="2:6" x14ac:dyDescent="0.2">
      <c r="B506" s="44"/>
      <c r="C506" s="44"/>
      <c r="D506" s="44"/>
      <c r="E506" s="42"/>
      <c r="F506" s="43" t="str">
        <f>IF(E506="", "", IF(AND(E506&gt;='PAINEL DE CONTROLE'!$C$5*(1-CONFIGURAÇÕES!$D$7), E506&lt;='PAINEL DE CONTROLE'!$C$5*(1+CONFIGURAÇÕES!$D$7)), "DENTRO", "FORA"))</f>
        <v/>
      </c>
    </row>
    <row r="507" spans="2:6" x14ac:dyDescent="0.2">
      <c r="B507" s="44"/>
      <c r="C507" s="44"/>
      <c r="D507" s="44"/>
      <c r="E507" s="42"/>
      <c r="F507" s="43" t="str">
        <f>IF(E507="", "", IF(AND(E507&gt;='PAINEL DE CONTROLE'!$C$5*(1-CONFIGURAÇÕES!$D$7), E507&lt;='PAINEL DE CONTROLE'!$C$5*(1+CONFIGURAÇÕES!$D$7)), "DENTRO", "FORA"))</f>
        <v/>
      </c>
    </row>
    <row r="508" spans="2:6" x14ac:dyDescent="0.2">
      <c r="B508" s="44"/>
      <c r="C508" s="44"/>
      <c r="D508" s="44"/>
      <c r="E508" s="42"/>
      <c r="F508" s="43" t="str">
        <f>IF(E508="", "", IF(AND(E508&gt;='PAINEL DE CONTROLE'!$C$5*(1-CONFIGURAÇÕES!$D$7), E508&lt;='PAINEL DE CONTROLE'!$C$5*(1+CONFIGURAÇÕES!$D$7)), "DENTRO", "FORA"))</f>
        <v/>
      </c>
    </row>
    <row r="509" spans="2:6" x14ac:dyDescent="0.2">
      <c r="B509" s="44"/>
      <c r="C509" s="44"/>
      <c r="D509" s="44"/>
      <c r="E509" s="42"/>
      <c r="F509" s="43" t="str">
        <f>IF(E509="", "", IF(AND(E509&gt;='PAINEL DE CONTROLE'!$C$5*(1-CONFIGURAÇÕES!$D$7), E509&lt;='PAINEL DE CONTROLE'!$C$5*(1+CONFIGURAÇÕES!$D$7)), "DENTRO", "FORA"))</f>
        <v/>
      </c>
    </row>
    <row r="510" spans="2:6" x14ac:dyDescent="0.2">
      <c r="B510" s="44"/>
      <c r="C510" s="44"/>
      <c r="D510" s="44"/>
      <c r="E510" s="42"/>
      <c r="F510" s="43" t="str">
        <f>IF(E510="", "", IF(AND(E510&gt;='PAINEL DE CONTROLE'!$C$5*(1-CONFIGURAÇÕES!$D$7), E510&lt;='PAINEL DE CONTROLE'!$C$5*(1+CONFIGURAÇÕES!$D$7)), "DENTRO", "FORA"))</f>
        <v/>
      </c>
    </row>
    <row r="511" spans="2:6" x14ac:dyDescent="0.2">
      <c r="B511" s="44"/>
      <c r="C511" s="44"/>
      <c r="D511" s="44"/>
      <c r="E511" s="42"/>
      <c r="F511" s="43" t="str">
        <f>IF(E511="", "", IF(AND(E511&gt;='PAINEL DE CONTROLE'!$C$5*(1-CONFIGURAÇÕES!$D$7), E511&lt;='PAINEL DE CONTROLE'!$C$5*(1+CONFIGURAÇÕES!$D$7)), "DENTRO", "FORA"))</f>
        <v/>
      </c>
    </row>
    <row r="512" spans="2:6" x14ac:dyDescent="0.2">
      <c r="B512" s="44"/>
      <c r="C512" s="44"/>
      <c r="D512" s="44"/>
      <c r="E512" s="42"/>
      <c r="F512" s="43" t="str">
        <f>IF(E512="", "", IF(AND(E512&gt;='PAINEL DE CONTROLE'!$C$5*(1-CONFIGURAÇÕES!$D$7), E512&lt;='PAINEL DE CONTROLE'!$C$5*(1+CONFIGURAÇÕES!$D$7)), "DENTRO", "FORA"))</f>
        <v/>
      </c>
    </row>
    <row r="513" spans="2:6" x14ac:dyDescent="0.2">
      <c r="B513" s="44"/>
      <c r="C513" s="44"/>
      <c r="D513" s="44"/>
      <c r="E513" s="42"/>
      <c r="F513" s="43" t="str">
        <f>IF(E513="", "", IF(AND(E513&gt;='PAINEL DE CONTROLE'!$C$5*(1-CONFIGURAÇÕES!$D$7), E513&lt;='PAINEL DE CONTROLE'!$C$5*(1+CONFIGURAÇÕES!$D$7)), "DENTRO", "FORA"))</f>
        <v/>
      </c>
    </row>
    <row r="514" spans="2:6" x14ac:dyDescent="0.2">
      <c r="B514" s="44"/>
      <c r="C514" s="44"/>
      <c r="D514" s="44"/>
      <c r="E514" s="42"/>
      <c r="F514" s="43" t="str">
        <f>IF(E514="", "", IF(AND(E514&gt;='PAINEL DE CONTROLE'!$C$5*(1-CONFIGURAÇÕES!$D$7), E514&lt;='PAINEL DE CONTROLE'!$C$5*(1+CONFIGURAÇÕES!$D$7)), "DENTRO", "FORA"))</f>
        <v/>
      </c>
    </row>
    <row r="515" spans="2:6" x14ac:dyDescent="0.2">
      <c r="B515" s="44"/>
      <c r="C515" s="44"/>
      <c r="D515" s="44"/>
      <c r="E515" s="42"/>
      <c r="F515" s="43" t="str">
        <f>IF(E515="", "", IF(AND(E515&gt;='PAINEL DE CONTROLE'!$C$5*(1-CONFIGURAÇÕES!$D$7), E515&lt;='PAINEL DE CONTROLE'!$C$5*(1+CONFIGURAÇÕES!$D$7)), "DENTRO", "FORA"))</f>
        <v/>
      </c>
    </row>
    <row r="516" spans="2:6" x14ac:dyDescent="0.2">
      <c r="B516" s="44"/>
      <c r="C516" s="44"/>
      <c r="D516" s="44"/>
      <c r="E516" s="42"/>
      <c r="F516" s="43" t="str">
        <f>IF(E516="", "", IF(AND(E516&gt;='PAINEL DE CONTROLE'!$C$5*(1-CONFIGURAÇÕES!$D$7), E516&lt;='PAINEL DE CONTROLE'!$C$5*(1+CONFIGURAÇÕES!$D$7)), "DENTRO", "FORA"))</f>
        <v/>
      </c>
    </row>
    <row r="517" spans="2:6" x14ac:dyDescent="0.2">
      <c r="B517" s="44"/>
      <c r="C517" s="44"/>
      <c r="D517" s="44"/>
      <c r="E517" s="42"/>
      <c r="F517" s="43" t="str">
        <f>IF(E517="", "", IF(AND(E517&gt;='PAINEL DE CONTROLE'!$C$5*(1-CONFIGURAÇÕES!$D$7), E517&lt;='PAINEL DE CONTROLE'!$C$5*(1+CONFIGURAÇÕES!$D$7)), "DENTRO", "FORA"))</f>
        <v/>
      </c>
    </row>
    <row r="518" spans="2:6" x14ac:dyDescent="0.2">
      <c r="B518" s="44"/>
      <c r="C518" s="44"/>
      <c r="D518" s="44"/>
      <c r="E518" s="42"/>
      <c r="F518" s="43" t="str">
        <f>IF(E518="", "", IF(AND(E518&gt;='PAINEL DE CONTROLE'!$C$5*(1-CONFIGURAÇÕES!$D$7), E518&lt;='PAINEL DE CONTROLE'!$C$5*(1+CONFIGURAÇÕES!$D$7)), "DENTRO", "FORA"))</f>
        <v/>
      </c>
    </row>
    <row r="519" spans="2:6" x14ac:dyDescent="0.2">
      <c r="B519" s="44"/>
      <c r="C519" s="44"/>
      <c r="D519" s="44"/>
      <c r="E519" s="42"/>
      <c r="F519" s="43" t="str">
        <f>IF(E519="", "", IF(AND(E519&gt;='PAINEL DE CONTROLE'!$C$5*(1-CONFIGURAÇÕES!$D$7), E519&lt;='PAINEL DE CONTROLE'!$C$5*(1+CONFIGURAÇÕES!$D$7)), "DENTRO", "FORA"))</f>
        <v/>
      </c>
    </row>
    <row r="520" spans="2:6" x14ac:dyDescent="0.2">
      <c r="B520" s="44"/>
      <c r="C520" s="44"/>
      <c r="D520" s="44"/>
      <c r="E520" s="42"/>
      <c r="F520" s="43" t="str">
        <f>IF(E520="", "", IF(AND(E520&gt;='PAINEL DE CONTROLE'!$C$5*(1-CONFIGURAÇÕES!$D$7), E520&lt;='PAINEL DE CONTROLE'!$C$5*(1+CONFIGURAÇÕES!$D$7)), "DENTRO", "FORA"))</f>
        <v/>
      </c>
    </row>
    <row r="521" spans="2:6" x14ac:dyDescent="0.2">
      <c r="B521" s="44"/>
      <c r="C521" s="44"/>
      <c r="D521" s="44"/>
      <c r="E521" s="42"/>
      <c r="F521" s="43" t="str">
        <f>IF(E521="", "", IF(AND(E521&gt;='PAINEL DE CONTROLE'!$C$5*(1-CONFIGURAÇÕES!$D$7), E521&lt;='PAINEL DE CONTROLE'!$C$5*(1+CONFIGURAÇÕES!$D$7)), "DENTRO", "FORA"))</f>
        <v/>
      </c>
    </row>
    <row r="522" spans="2:6" x14ac:dyDescent="0.2">
      <c r="B522" s="44"/>
      <c r="C522" s="44"/>
      <c r="D522" s="44"/>
      <c r="E522" s="42"/>
      <c r="F522" s="43" t="str">
        <f>IF(E522="", "", IF(AND(E522&gt;='PAINEL DE CONTROLE'!$C$5*(1-CONFIGURAÇÕES!$D$7), E522&lt;='PAINEL DE CONTROLE'!$C$5*(1+CONFIGURAÇÕES!$D$7)), "DENTRO", "FORA"))</f>
        <v/>
      </c>
    </row>
    <row r="523" spans="2:6" x14ac:dyDescent="0.2">
      <c r="B523" s="44"/>
      <c r="C523" s="44"/>
      <c r="D523" s="44"/>
      <c r="E523" s="42"/>
      <c r="F523" s="43" t="str">
        <f>IF(E523="", "", IF(AND(E523&gt;='PAINEL DE CONTROLE'!$C$5*(1-CONFIGURAÇÕES!$D$7), E523&lt;='PAINEL DE CONTROLE'!$C$5*(1+CONFIGURAÇÕES!$D$7)), "DENTRO", "FORA"))</f>
        <v/>
      </c>
    </row>
    <row r="524" spans="2:6" x14ac:dyDescent="0.2">
      <c r="B524" s="44"/>
      <c r="C524" s="44"/>
      <c r="D524" s="44"/>
      <c r="E524" s="42"/>
      <c r="F524" s="43" t="str">
        <f>IF(E524="", "", IF(AND(E524&gt;='PAINEL DE CONTROLE'!$C$5*(1-CONFIGURAÇÕES!$D$7), E524&lt;='PAINEL DE CONTROLE'!$C$5*(1+CONFIGURAÇÕES!$D$7)), "DENTRO", "FORA"))</f>
        <v/>
      </c>
    </row>
    <row r="525" spans="2:6" x14ac:dyDescent="0.2">
      <c r="B525" s="44"/>
      <c r="C525" s="44"/>
      <c r="D525" s="44"/>
      <c r="E525" s="42"/>
      <c r="F525" s="43" t="str">
        <f>IF(E525="", "", IF(AND(E525&gt;='PAINEL DE CONTROLE'!$C$5*(1-CONFIGURAÇÕES!$D$7), E525&lt;='PAINEL DE CONTROLE'!$C$5*(1+CONFIGURAÇÕES!$D$7)), "DENTRO", "FORA"))</f>
        <v/>
      </c>
    </row>
    <row r="526" spans="2:6" x14ac:dyDescent="0.2">
      <c r="B526" s="44"/>
      <c r="C526" s="44"/>
      <c r="D526" s="44"/>
      <c r="E526" s="42"/>
      <c r="F526" s="43" t="str">
        <f>IF(E526="", "", IF(AND(E526&gt;='PAINEL DE CONTROLE'!$C$5*(1-CONFIGURAÇÕES!$D$7), E526&lt;='PAINEL DE CONTROLE'!$C$5*(1+CONFIGURAÇÕES!$D$7)), "DENTRO", "FORA"))</f>
        <v/>
      </c>
    </row>
    <row r="527" spans="2:6" x14ac:dyDescent="0.2">
      <c r="B527" s="44"/>
      <c r="C527" s="44"/>
      <c r="D527" s="44"/>
      <c r="E527" s="42"/>
      <c r="F527" s="43" t="str">
        <f>IF(E527="", "", IF(AND(E527&gt;='PAINEL DE CONTROLE'!$C$5*(1-CONFIGURAÇÕES!$D$7), E527&lt;='PAINEL DE CONTROLE'!$C$5*(1+CONFIGURAÇÕES!$D$7)), "DENTRO", "FORA"))</f>
        <v/>
      </c>
    </row>
    <row r="528" spans="2:6" x14ac:dyDescent="0.2">
      <c r="B528" s="44"/>
      <c r="C528" s="44"/>
      <c r="D528" s="44"/>
      <c r="E528" s="42"/>
      <c r="F528" s="43" t="str">
        <f>IF(E528="", "", IF(AND(E528&gt;='PAINEL DE CONTROLE'!$C$5*(1-CONFIGURAÇÕES!$D$7), E528&lt;='PAINEL DE CONTROLE'!$C$5*(1+CONFIGURAÇÕES!$D$7)), "DENTRO", "FORA"))</f>
        <v/>
      </c>
    </row>
    <row r="529" spans="2:6" x14ac:dyDescent="0.2">
      <c r="B529" s="44"/>
      <c r="C529" s="44"/>
      <c r="D529" s="44"/>
      <c r="E529" s="42"/>
      <c r="F529" s="43" t="str">
        <f>IF(E529="", "", IF(AND(E529&gt;='PAINEL DE CONTROLE'!$C$5*(1-CONFIGURAÇÕES!$D$7), E529&lt;='PAINEL DE CONTROLE'!$C$5*(1+CONFIGURAÇÕES!$D$7)), "DENTRO", "FORA"))</f>
        <v/>
      </c>
    </row>
    <row r="530" spans="2:6" x14ac:dyDescent="0.2">
      <c r="B530" s="44"/>
      <c r="C530" s="44"/>
      <c r="D530" s="44"/>
      <c r="E530" s="42"/>
      <c r="F530" s="43" t="str">
        <f>IF(E530="", "", IF(AND(E530&gt;='PAINEL DE CONTROLE'!$C$5*(1-CONFIGURAÇÕES!$D$7), E530&lt;='PAINEL DE CONTROLE'!$C$5*(1+CONFIGURAÇÕES!$D$7)), "DENTRO", "FORA"))</f>
        <v/>
      </c>
    </row>
    <row r="531" spans="2:6" x14ac:dyDescent="0.2">
      <c r="B531" s="44"/>
      <c r="C531" s="44"/>
      <c r="D531" s="44"/>
      <c r="E531" s="42"/>
      <c r="F531" s="43" t="str">
        <f>IF(E531="", "", IF(AND(E531&gt;='PAINEL DE CONTROLE'!$C$5*(1-CONFIGURAÇÕES!$D$7), E531&lt;='PAINEL DE CONTROLE'!$C$5*(1+CONFIGURAÇÕES!$D$7)), "DENTRO", "FORA"))</f>
        <v/>
      </c>
    </row>
    <row r="532" spans="2:6" x14ac:dyDescent="0.2">
      <c r="B532" s="44"/>
      <c r="C532" s="44"/>
      <c r="D532" s="44"/>
      <c r="E532" s="42"/>
      <c r="F532" s="43" t="str">
        <f>IF(E532="", "", IF(AND(E532&gt;='PAINEL DE CONTROLE'!$C$5*(1-CONFIGURAÇÕES!$D$7), E532&lt;='PAINEL DE CONTROLE'!$C$5*(1+CONFIGURAÇÕES!$D$7)), "DENTRO", "FORA"))</f>
        <v/>
      </c>
    </row>
    <row r="533" spans="2:6" x14ac:dyDescent="0.2">
      <c r="B533" s="44"/>
      <c r="C533" s="44"/>
      <c r="D533" s="44"/>
      <c r="E533" s="42"/>
      <c r="F533" s="43" t="str">
        <f>IF(E533="", "", IF(AND(E533&gt;='PAINEL DE CONTROLE'!$C$5*(1-CONFIGURAÇÕES!$D$7), E533&lt;='PAINEL DE CONTROLE'!$C$5*(1+CONFIGURAÇÕES!$D$7)), "DENTRO", "FORA"))</f>
        <v/>
      </c>
    </row>
    <row r="534" spans="2:6" x14ac:dyDescent="0.2">
      <c r="B534" s="44"/>
      <c r="C534" s="44"/>
      <c r="D534" s="44"/>
      <c r="E534" s="42"/>
      <c r="F534" s="43" t="str">
        <f>IF(E534="", "", IF(AND(E534&gt;='PAINEL DE CONTROLE'!$C$5*(1-CONFIGURAÇÕES!$D$7), E534&lt;='PAINEL DE CONTROLE'!$C$5*(1+CONFIGURAÇÕES!$D$7)), "DENTRO", "FORA"))</f>
        <v/>
      </c>
    </row>
    <row r="535" spans="2:6" x14ac:dyDescent="0.2">
      <c r="B535" s="44"/>
      <c r="C535" s="44"/>
      <c r="D535" s="44"/>
      <c r="E535" s="42"/>
      <c r="F535" s="43" t="str">
        <f>IF(E535="", "", IF(AND(E535&gt;='PAINEL DE CONTROLE'!$C$5*(1-CONFIGURAÇÕES!$D$7), E535&lt;='PAINEL DE CONTROLE'!$C$5*(1+CONFIGURAÇÕES!$D$7)), "DENTRO", "FORA"))</f>
        <v/>
      </c>
    </row>
    <row r="536" spans="2:6" x14ac:dyDescent="0.2">
      <c r="B536" s="44"/>
      <c r="C536" s="44"/>
      <c r="D536" s="44"/>
      <c r="E536" s="42"/>
      <c r="F536" s="43" t="str">
        <f>IF(E536="", "", IF(AND(E536&gt;='PAINEL DE CONTROLE'!$C$5*(1-CONFIGURAÇÕES!$D$7), E536&lt;='PAINEL DE CONTROLE'!$C$5*(1+CONFIGURAÇÕES!$D$7)), "DENTRO", "FORA"))</f>
        <v/>
      </c>
    </row>
    <row r="537" spans="2:6" x14ac:dyDescent="0.2">
      <c r="B537" s="44"/>
      <c r="C537" s="44"/>
      <c r="D537" s="44"/>
      <c r="E537" s="42"/>
      <c r="F537" s="43" t="str">
        <f>IF(E537="", "", IF(AND(E537&gt;='PAINEL DE CONTROLE'!$C$5*(1-CONFIGURAÇÕES!$D$7), E537&lt;='PAINEL DE CONTROLE'!$C$5*(1+CONFIGURAÇÕES!$D$7)), "DENTRO", "FORA"))</f>
        <v/>
      </c>
    </row>
    <row r="538" spans="2:6" x14ac:dyDescent="0.2">
      <c r="B538" s="44"/>
      <c r="C538" s="44"/>
      <c r="D538" s="44"/>
      <c r="E538" s="42"/>
      <c r="F538" s="43" t="str">
        <f>IF(E538="", "", IF(AND(E538&gt;='PAINEL DE CONTROLE'!$C$5*(1-CONFIGURAÇÕES!$D$7), E538&lt;='PAINEL DE CONTROLE'!$C$5*(1+CONFIGURAÇÕES!$D$7)), "DENTRO", "FORA"))</f>
        <v/>
      </c>
    </row>
    <row r="539" spans="2:6" x14ac:dyDescent="0.2">
      <c r="B539" s="44"/>
      <c r="C539" s="44"/>
      <c r="D539" s="44"/>
      <c r="E539" s="42"/>
      <c r="F539" s="43" t="str">
        <f>IF(E539="", "", IF(AND(E539&gt;='PAINEL DE CONTROLE'!$C$5*(1-CONFIGURAÇÕES!$D$7), E539&lt;='PAINEL DE CONTROLE'!$C$5*(1+CONFIGURAÇÕES!$D$7)), "DENTRO", "FORA"))</f>
        <v/>
      </c>
    </row>
    <row r="540" spans="2:6" x14ac:dyDescent="0.2">
      <c r="B540" s="44"/>
      <c r="C540" s="44"/>
      <c r="D540" s="44"/>
      <c r="E540" s="42"/>
      <c r="F540" s="43" t="str">
        <f>IF(E540="", "", IF(AND(E540&gt;='PAINEL DE CONTROLE'!$C$5*(1-CONFIGURAÇÕES!$D$7), E540&lt;='PAINEL DE CONTROLE'!$C$5*(1+CONFIGURAÇÕES!$D$7)), "DENTRO", "FORA"))</f>
        <v/>
      </c>
    </row>
    <row r="541" spans="2:6" x14ac:dyDescent="0.2">
      <c r="B541" s="44"/>
      <c r="C541" s="44"/>
      <c r="D541" s="44"/>
      <c r="E541" s="42"/>
      <c r="F541" s="43" t="str">
        <f>IF(E541="", "", IF(AND(E541&gt;='PAINEL DE CONTROLE'!$C$5*(1-CONFIGURAÇÕES!$D$7), E541&lt;='PAINEL DE CONTROLE'!$C$5*(1+CONFIGURAÇÕES!$D$7)), "DENTRO", "FORA"))</f>
        <v/>
      </c>
    </row>
    <row r="542" spans="2:6" x14ac:dyDescent="0.2">
      <c r="B542" s="44"/>
      <c r="C542" s="44"/>
      <c r="D542" s="44"/>
      <c r="E542" s="42"/>
      <c r="F542" s="43" t="str">
        <f>IF(E542="", "", IF(AND(E542&gt;='PAINEL DE CONTROLE'!$C$5*(1-CONFIGURAÇÕES!$D$7), E542&lt;='PAINEL DE CONTROLE'!$C$5*(1+CONFIGURAÇÕES!$D$7)), "DENTRO", "FORA"))</f>
        <v/>
      </c>
    </row>
    <row r="543" spans="2:6" x14ac:dyDescent="0.2">
      <c r="B543" s="44"/>
      <c r="C543" s="44"/>
      <c r="D543" s="44"/>
      <c r="E543" s="42"/>
      <c r="F543" s="43" t="str">
        <f>IF(E543="", "", IF(AND(E543&gt;='PAINEL DE CONTROLE'!$C$5*(1-CONFIGURAÇÕES!$D$7), E543&lt;='PAINEL DE CONTROLE'!$C$5*(1+CONFIGURAÇÕES!$D$7)), "DENTRO", "FORA"))</f>
        <v/>
      </c>
    </row>
    <row r="544" spans="2:6" x14ac:dyDescent="0.2">
      <c r="B544" s="44"/>
      <c r="C544" s="44"/>
      <c r="D544" s="44"/>
      <c r="E544" s="42"/>
      <c r="F544" s="43" t="str">
        <f>IF(E544="", "", IF(AND(E544&gt;='PAINEL DE CONTROLE'!$C$5*(1-CONFIGURAÇÕES!$D$7), E544&lt;='PAINEL DE CONTROLE'!$C$5*(1+CONFIGURAÇÕES!$D$7)), "DENTRO", "FORA"))</f>
        <v/>
      </c>
    </row>
    <row r="545" spans="2:6" x14ac:dyDescent="0.2">
      <c r="B545" s="44"/>
      <c r="C545" s="44"/>
      <c r="D545" s="44"/>
      <c r="E545" s="42"/>
      <c r="F545" s="43" t="str">
        <f>IF(E545="", "", IF(AND(E545&gt;='PAINEL DE CONTROLE'!$C$5*(1-CONFIGURAÇÕES!$D$7), E545&lt;='PAINEL DE CONTROLE'!$C$5*(1+CONFIGURAÇÕES!$D$7)), "DENTRO", "FORA"))</f>
        <v/>
      </c>
    </row>
    <row r="546" spans="2:6" x14ac:dyDescent="0.2">
      <c r="B546" s="44"/>
      <c r="C546" s="44"/>
      <c r="D546" s="44"/>
      <c r="E546" s="42"/>
      <c r="F546" s="43" t="str">
        <f>IF(E546="", "", IF(AND(E546&gt;='PAINEL DE CONTROLE'!$C$5*(1-CONFIGURAÇÕES!$D$7), E546&lt;='PAINEL DE CONTROLE'!$C$5*(1+CONFIGURAÇÕES!$D$7)), "DENTRO", "FORA"))</f>
        <v/>
      </c>
    </row>
    <row r="547" spans="2:6" x14ac:dyDescent="0.2">
      <c r="B547" s="44"/>
      <c r="C547" s="44"/>
      <c r="D547" s="44"/>
      <c r="E547" s="42"/>
      <c r="F547" s="43" t="str">
        <f>IF(E547="", "", IF(AND(E547&gt;='PAINEL DE CONTROLE'!$C$5*(1-CONFIGURAÇÕES!$D$7), E547&lt;='PAINEL DE CONTROLE'!$C$5*(1+CONFIGURAÇÕES!$D$7)), "DENTRO", "FORA"))</f>
        <v/>
      </c>
    </row>
    <row r="548" spans="2:6" x14ac:dyDescent="0.2">
      <c r="B548" s="44"/>
      <c r="C548" s="44"/>
      <c r="D548" s="44"/>
      <c r="E548" s="42"/>
      <c r="F548" s="43" t="str">
        <f>IF(E548="", "", IF(AND(E548&gt;='PAINEL DE CONTROLE'!$C$5*(1-CONFIGURAÇÕES!$D$7), E548&lt;='PAINEL DE CONTROLE'!$C$5*(1+CONFIGURAÇÕES!$D$7)), "DENTRO", "FORA"))</f>
        <v/>
      </c>
    </row>
    <row r="549" spans="2:6" x14ac:dyDescent="0.2">
      <c r="B549" s="44"/>
      <c r="C549" s="44"/>
      <c r="D549" s="44"/>
      <c r="E549" s="42"/>
      <c r="F549" s="43" t="str">
        <f>IF(E549="", "", IF(AND(E549&gt;='PAINEL DE CONTROLE'!$C$5*(1-CONFIGURAÇÕES!$D$7), E549&lt;='PAINEL DE CONTROLE'!$C$5*(1+CONFIGURAÇÕES!$D$7)), "DENTRO", "FORA"))</f>
        <v/>
      </c>
    </row>
    <row r="550" spans="2:6" x14ac:dyDescent="0.2">
      <c r="B550" s="44"/>
      <c r="C550" s="44"/>
      <c r="D550" s="44"/>
      <c r="E550" s="42"/>
      <c r="F550" s="43" t="str">
        <f>IF(E550="", "", IF(AND(E550&gt;='PAINEL DE CONTROLE'!$C$5*(1-CONFIGURAÇÕES!$D$7), E550&lt;='PAINEL DE CONTROLE'!$C$5*(1+CONFIGURAÇÕES!$D$7)), "DENTRO", "FORA"))</f>
        <v/>
      </c>
    </row>
    <row r="551" spans="2:6" x14ac:dyDescent="0.2">
      <c r="B551" s="44"/>
      <c r="C551" s="44"/>
      <c r="D551" s="44"/>
      <c r="E551" s="42"/>
      <c r="F551" s="43" t="str">
        <f>IF(E551="", "", IF(AND(E551&gt;='PAINEL DE CONTROLE'!$C$5*(1-CONFIGURAÇÕES!$D$7), E551&lt;='PAINEL DE CONTROLE'!$C$5*(1+CONFIGURAÇÕES!$D$7)), "DENTRO", "FORA"))</f>
        <v/>
      </c>
    </row>
    <row r="552" spans="2:6" x14ac:dyDescent="0.2">
      <c r="B552" s="44"/>
      <c r="C552" s="44"/>
      <c r="D552" s="44"/>
      <c r="E552" s="42"/>
      <c r="F552" s="43" t="str">
        <f>IF(E552="", "", IF(AND(E552&gt;='PAINEL DE CONTROLE'!$C$5*(1-CONFIGURAÇÕES!$D$7), E552&lt;='PAINEL DE CONTROLE'!$C$5*(1+CONFIGURAÇÕES!$D$7)), "DENTRO", "FORA"))</f>
        <v/>
      </c>
    </row>
    <row r="553" spans="2:6" x14ac:dyDescent="0.2">
      <c r="B553" s="44"/>
      <c r="C553" s="44"/>
      <c r="D553" s="44"/>
      <c r="E553" s="42"/>
      <c r="F553" s="43" t="str">
        <f>IF(E553="", "", IF(AND(E553&gt;='PAINEL DE CONTROLE'!$C$5*(1-CONFIGURAÇÕES!$D$7), E553&lt;='PAINEL DE CONTROLE'!$C$5*(1+CONFIGURAÇÕES!$D$7)), "DENTRO", "FORA"))</f>
        <v/>
      </c>
    </row>
    <row r="554" spans="2:6" x14ac:dyDescent="0.2">
      <c r="B554" s="44"/>
      <c r="C554" s="44"/>
      <c r="D554" s="44"/>
      <c r="E554" s="42"/>
      <c r="F554" s="43" t="str">
        <f>IF(E554="", "", IF(AND(E554&gt;='PAINEL DE CONTROLE'!$C$5*(1-CONFIGURAÇÕES!$D$7), E554&lt;='PAINEL DE CONTROLE'!$C$5*(1+CONFIGURAÇÕES!$D$7)), "DENTRO", "FORA"))</f>
        <v/>
      </c>
    </row>
    <row r="555" spans="2:6" x14ac:dyDescent="0.2">
      <c r="B555" s="44"/>
      <c r="C555" s="44"/>
      <c r="D555" s="44"/>
      <c r="E555" s="42"/>
      <c r="F555" s="43" t="str">
        <f>IF(E555="", "", IF(AND(E555&gt;='PAINEL DE CONTROLE'!$C$5*(1-CONFIGURAÇÕES!$D$7), E555&lt;='PAINEL DE CONTROLE'!$C$5*(1+CONFIGURAÇÕES!$D$7)), "DENTRO", "FORA"))</f>
        <v/>
      </c>
    </row>
    <row r="556" spans="2:6" x14ac:dyDescent="0.2">
      <c r="B556" s="44"/>
      <c r="C556" s="44"/>
      <c r="D556" s="44"/>
      <c r="E556" s="42"/>
      <c r="F556" s="43" t="str">
        <f>IF(E556="", "", IF(AND(E556&gt;='PAINEL DE CONTROLE'!$C$5*(1-CONFIGURAÇÕES!$D$7), E556&lt;='PAINEL DE CONTROLE'!$C$5*(1+CONFIGURAÇÕES!$D$7)), "DENTRO", "FORA"))</f>
        <v/>
      </c>
    </row>
    <row r="557" spans="2:6" x14ac:dyDescent="0.2">
      <c r="B557" s="44"/>
      <c r="C557" s="44"/>
      <c r="D557" s="44"/>
      <c r="E557" s="42"/>
      <c r="F557" s="43" t="str">
        <f>IF(E557="", "", IF(AND(E557&gt;='PAINEL DE CONTROLE'!$C$5*(1-CONFIGURAÇÕES!$D$7), E557&lt;='PAINEL DE CONTROLE'!$C$5*(1+CONFIGURAÇÕES!$D$7)), "DENTRO", "FORA"))</f>
        <v/>
      </c>
    </row>
    <row r="558" spans="2:6" x14ac:dyDescent="0.2">
      <c r="B558" s="44"/>
      <c r="C558" s="44"/>
      <c r="D558" s="44"/>
      <c r="E558" s="42"/>
      <c r="F558" s="43" t="str">
        <f>IF(E558="", "", IF(AND(E558&gt;='PAINEL DE CONTROLE'!$C$5*(1-CONFIGURAÇÕES!$D$7), E558&lt;='PAINEL DE CONTROLE'!$C$5*(1+CONFIGURAÇÕES!$D$7)), "DENTRO", "FORA"))</f>
        <v/>
      </c>
    </row>
    <row r="559" spans="2:6" x14ac:dyDescent="0.2">
      <c r="B559" s="44"/>
      <c r="C559" s="44"/>
      <c r="D559" s="44"/>
      <c r="E559" s="42"/>
      <c r="F559" s="43" t="str">
        <f>IF(E559="", "", IF(AND(E559&gt;='PAINEL DE CONTROLE'!$C$5*(1-CONFIGURAÇÕES!$D$7), E559&lt;='PAINEL DE CONTROLE'!$C$5*(1+CONFIGURAÇÕES!$D$7)), "DENTRO", "FORA"))</f>
        <v/>
      </c>
    </row>
    <row r="560" spans="2:6" x14ac:dyDescent="0.2">
      <c r="B560" s="44"/>
      <c r="C560" s="44"/>
      <c r="D560" s="44"/>
      <c r="E560" s="42"/>
      <c r="F560" s="43" t="str">
        <f>IF(E560="", "", IF(AND(E560&gt;='PAINEL DE CONTROLE'!$C$5*(1-CONFIGURAÇÕES!$D$7), E560&lt;='PAINEL DE CONTROLE'!$C$5*(1+CONFIGURAÇÕES!$D$7)), "DENTRO", "FORA"))</f>
        <v/>
      </c>
    </row>
    <row r="561" spans="2:6" x14ac:dyDescent="0.2">
      <c r="B561" s="44"/>
      <c r="C561" s="44"/>
      <c r="D561" s="44"/>
      <c r="E561" s="42"/>
      <c r="F561" s="43" t="str">
        <f>IF(E561="", "", IF(AND(E561&gt;='PAINEL DE CONTROLE'!$C$5*(1-CONFIGURAÇÕES!$D$7), E561&lt;='PAINEL DE CONTROLE'!$C$5*(1+CONFIGURAÇÕES!$D$7)), "DENTRO", "FORA"))</f>
        <v/>
      </c>
    </row>
    <row r="562" spans="2:6" x14ac:dyDescent="0.2">
      <c r="B562" s="44"/>
      <c r="C562" s="44"/>
      <c r="D562" s="44"/>
      <c r="E562" s="42"/>
      <c r="F562" s="43" t="str">
        <f>IF(E562="", "", IF(AND(E562&gt;='PAINEL DE CONTROLE'!$C$5*(1-CONFIGURAÇÕES!$D$7), E562&lt;='PAINEL DE CONTROLE'!$C$5*(1+CONFIGURAÇÕES!$D$7)), "DENTRO", "FORA"))</f>
        <v/>
      </c>
    </row>
    <row r="563" spans="2:6" x14ac:dyDescent="0.2">
      <c r="B563" s="44"/>
      <c r="C563" s="44"/>
      <c r="D563" s="44"/>
      <c r="E563" s="42"/>
      <c r="F563" s="43" t="str">
        <f>IF(E563="", "", IF(AND(E563&gt;='PAINEL DE CONTROLE'!$C$5*(1-CONFIGURAÇÕES!$D$7), E563&lt;='PAINEL DE CONTROLE'!$C$5*(1+CONFIGURAÇÕES!$D$7)), "DENTRO", "FORA"))</f>
        <v/>
      </c>
    </row>
    <row r="564" spans="2:6" x14ac:dyDescent="0.2">
      <c r="B564" s="44"/>
      <c r="C564" s="44"/>
      <c r="D564" s="44"/>
      <c r="E564" s="42"/>
      <c r="F564" s="43" t="str">
        <f>IF(E564="", "", IF(AND(E564&gt;='PAINEL DE CONTROLE'!$C$5*(1-CONFIGURAÇÕES!$D$7), E564&lt;='PAINEL DE CONTROLE'!$C$5*(1+CONFIGURAÇÕES!$D$7)), "DENTRO", "FORA"))</f>
        <v/>
      </c>
    </row>
    <row r="565" spans="2:6" x14ac:dyDescent="0.2">
      <c r="B565" s="44"/>
      <c r="C565" s="44"/>
      <c r="D565" s="44"/>
      <c r="E565" s="42"/>
      <c r="F565" s="43" t="str">
        <f>IF(E565="", "", IF(AND(E565&gt;='PAINEL DE CONTROLE'!$C$5*(1-CONFIGURAÇÕES!$D$7), E565&lt;='PAINEL DE CONTROLE'!$C$5*(1+CONFIGURAÇÕES!$D$7)), "DENTRO", "FORA"))</f>
        <v/>
      </c>
    </row>
    <row r="566" spans="2:6" x14ac:dyDescent="0.2">
      <c r="B566" s="44"/>
      <c r="C566" s="44"/>
      <c r="D566" s="44"/>
      <c r="E566" s="42"/>
      <c r="F566" s="43" t="str">
        <f>IF(E566="", "", IF(AND(E566&gt;='PAINEL DE CONTROLE'!$C$5*(1-CONFIGURAÇÕES!$D$7), E566&lt;='PAINEL DE CONTROLE'!$C$5*(1+CONFIGURAÇÕES!$D$7)), "DENTRO", "FORA"))</f>
        <v/>
      </c>
    </row>
    <row r="567" spans="2:6" x14ac:dyDescent="0.2">
      <c r="B567" s="44"/>
      <c r="C567" s="44"/>
      <c r="D567" s="44"/>
      <c r="E567" s="42"/>
      <c r="F567" s="43" t="str">
        <f>IF(E567="", "", IF(AND(E567&gt;='PAINEL DE CONTROLE'!$C$5*(1-CONFIGURAÇÕES!$D$7), E567&lt;='PAINEL DE CONTROLE'!$C$5*(1+CONFIGURAÇÕES!$D$7)), "DENTRO", "FORA"))</f>
        <v/>
      </c>
    </row>
    <row r="568" spans="2:6" x14ac:dyDescent="0.2">
      <c r="B568" s="44"/>
      <c r="C568" s="44"/>
      <c r="D568" s="44"/>
      <c r="E568" s="42"/>
      <c r="F568" s="43" t="str">
        <f>IF(E568="", "", IF(AND(E568&gt;='PAINEL DE CONTROLE'!$C$5*(1-CONFIGURAÇÕES!$D$7), E568&lt;='PAINEL DE CONTROLE'!$C$5*(1+CONFIGURAÇÕES!$D$7)), "DENTRO", "FORA"))</f>
        <v/>
      </c>
    </row>
    <row r="569" spans="2:6" x14ac:dyDescent="0.2">
      <c r="B569" s="44"/>
      <c r="C569" s="44"/>
      <c r="D569" s="44"/>
      <c r="E569" s="42"/>
      <c r="F569" s="43" t="str">
        <f>IF(E569="", "", IF(AND(E569&gt;='PAINEL DE CONTROLE'!$C$5*(1-CONFIGURAÇÕES!$D$7), E569&lt;='PAINEL DE CONTROLE'!$C$5*(1+CONFIGURAÇÕES!$D$7)), "DENTRO", "FORA"))</f>
        <v/>
      </c>
    </row>
    <row r="570" spans="2:6" x14ac:dyDescent="0.2">
      <c r="B570" s="44"/>
      <c r="C570" s="44"/>
      <c r="D570" s="44"/>
      <c r="E570" s="42"/>
      <c r="F570" s="43" t="str">
        <f>IF(E570="", "", IF(AND(E570&gt;='PAINEL DE CONTROLE'!$C$5*(1-CONFIGURAÇÕES!$D$7), E570&lt;='PAINEL DE CONTROLE'!$C$5*(1+CONFIGURAÇÕES!$D$7)), "DENTRO", "FORA"))</f>
        <v/>
      </c>
    </row>
    <row r="571" spans="2:6" x14ac:dyDescent="0.2">
      <c r="B571" s="44"/>
      <c r="C571" s="44"/>
      <c r="D571" s="44"/>
      <c r="E571" s="42"/>
      <c r="F571" s="43" t="str">
        <f>IF(E571="", "", IF(AND(E571&gt;='PAINEL DE CONTROLE'!$C$5*(1-CONFIGURAÇÕES!$D$7), E571&lt;='PAINEL DE CONTROLE'!$C$5*(1+CONFIGURAÇÕES!$D$7)), "DENTRO", "FORA"))</f>
        <v/>
      </c>
    </row>
    <row r="572" spans="2:6" x14ac:dyDescent="0.2">
      <c r="B572" s="44"/>
      <c r="C572" s="44"/>
      <c r="D572" s="44"/>
      <c r="E572" s="42"/>
      <c r="F572" s="43" t="str">
        <f>IF(E572="", "", IF(AND(E572&gt;='PAINEL DE CONTROLE'!$C$5*(1-CONFIGURAÇÕES!$D$7), E572&lt;='PAINEL DE CONTROLE'!$C$5*(1+CONFIGURAÇÕES!$D$7)), "DENTRO", "FORA"))</f>
        <v/>
      </c>
    </row>
    <row r="573" spans="2:6" x14ac:dyDescent="0.2">
      <c r="B573" s="44"/>
      <c r="C573" s="44"/>
      <c r="D573" s="44"/>
      <c r="E573" s="42"/>
      <c r="F573" s="43" t="str">
        <f>IF(E573="", "", IF(AND(E573&gt;='PAINEL DE CONTROLE'!$C$5*(1-CONFIGURAÇÕES!$D$7), E573&lt;='PAINEL DE CONTROLE'!$C$5*(1+CONFIGURAÇÕES!$D$7)), "DENTRO", "FORA"))</f>
        <v/>
      </c>
    </row>
    <row r="574" spans="2:6" x14ac:dyDescent="0.2">
      <c r="B574" s="44"/>
      <c r="C574" s="44"/>
      <c r="D574" s="44"/>
      <c r="E574" s="42"/>
      <c r="F574" s="43" t="str">
        <f>IF(E574="", "", IF(AND(E574&gt;='PAINEL DE CONTROLE'!$C$5*(1-CONFIGURAÇÕES!$D$7), E574&lt;='PAINEL DE CONTROLE'!$C$5*(1+CONFIGURAÇÕES!$D$7)), "DENTRO", "FORA"))</f>
        <v/>
      </c>
    </row>
    <row r="575" spans="2:6" x14ac:dyDescent="0.2">
      <c r="B575" s="44"/>
      <c r="C575" s="44"/>
      <c r="D575" s="44"/>
      <c r="E575" s="42"/>
      <c r="F575" s="43" t="str">
        <f>IF(E575="", "", IF(AND(E575&gt;='PAINEL DE CONTROLE'!$C$5*(1-CONFIGURAÇÕES!$D$7), E575&lt;='PAINEL DE CONTROLE'!$C$5*(1+CONFIGURAÇÕES!$D$7)), "DENTRO", "FORA"))</f>
        <v/>
      </c>
    </row>
    <row r="576" spans="2:6" x14ac:dyDescent="0.2">
      <c r="B576" s="44"/>
      <c r="C576" s="44"/>
      <c r="D576" s="44"/>
      <c r="E576" s="42"/>
      <c r="F576" s="43" t="str">
        <f>IF(E576="", "", IF(AND(E576&gt;='PAINEL DE CONTROLE'!$C$5*(1-CONFIGURAÇÕES!$D$7), E576&lt;='PAINEL DE CONTROLE'!$C$5*(1+CONFIGURAÇÕES!$D$7)), "DENTRO", "FORA"))</f>
        <v/>
      </c>
    </row>
    <row r="577" spans="2:6" x14ac:dyDescent="0.2">
      <c r="B577" s="44"/>
      <c r="C577" s="44"/>
      <c r="D577" s="44"/>
      <c r="E577" s="42"/>
      <c r="F577" s="43" t="str">
        <f>IF(E577="", "", IF(AND(E577&gt;='PAINEL DE CONTROLE'!$C$5*(1-CONFIGURAÇÕES!$D$7), E577&lt;='PAINEL DE CONTROLE'!$C$5*(1+CONFIGURAÇÕES!$D$7)), "DENTRO", "FORA"))</f>
        <v/>
      </c>
    </row>
    <row r="578" spans="2:6" x14ac:dyDescent="0.2">
      <c r="B578" s="44"/>
      <c r="C578" s="44"/>
      <c r="D578" s="44"/>
      <c r="E578" s="42"/>
      <c r="F578" s="43" t="str">
        <f>IF(E578="", "", IF(AND(E578&gt;='PAINEL DE CONTROLE'!$C$5*(1-CONFIGURAÇÕES!$D$7), E578&lt;='PAINEL DE CONTROLE'!$C$5*(1+CONFIGURAÇÕES!$D$7)), "DENTRO", "FORA"))</f>
        <v/>
      </c>
    </row>
    <row r="579" spans="2:6" x14ac:dyDescent="0.2">
      <c r="B579" s="44"/>
      <c r="C579" s="44"/>
      <c r="D579" s="44"/>
      <c r="E579" s="42"/>
      <c r="F579" s="43" t="str">
        <f>IF(E579="", "", IF(AND(E579&gt;='PAINEL DE CONTROLE'!$C$5*(1-CONFIGURAÇÕES!$D$7), E579&lt;='PAINEL DE CONTROLE'!$C$5*(1+CONFIGURAÇÕES!$D$7)), "DENTRO", "FORA"))</f>
        <v/>
      </c>
    </row>
    <row r="580" spans="2:6" x14ac:dyDescent="0.2">
      <c r="B580" s="44"/>
      <c r="C580" s="44"/>
      <c r="D580" s="44"/>
      <c r="E580" s="42"/>
      <c r="F580" s="43" t="str">
        <f>IF(E580="", "", IF(AND(E580&gt;='PAINEL DE CONTROLE'!$C$5*(1-CONFIGURAÇÕES!$D$7), E580&lt;='PAINEL DE CONTROLE'!$C$5*(1+CONFIGURAÇÕES!$D$7)), "DENTRO", "FORA"))</f>
        <v/>
      </c>
    </row>
    <row r="581" spans="2:6" x14ac:dyDescent="0.2">
      <c r="B581" s="44"/>
      <c r="C581" s="44"/>
      <c r="D581" s="44"/>
      <c r="E581" s="42"/>
      <c r="F581" s="43" t="str">
        <f>IF(E581="", "", IF(AND(E581&gt;='PAINEL DE CONTROLE'!$C$5*(1-CONFIGURAÇÕES!$D$7), E581&lt;='PAINEL DE CONTROLE'!$C$5*(1+CONFIGURAÇÕES!$D$7)), "DENTRO", "FORA"))</f>
        <v/>
      </c>
    </row>
    <row r="582" spans="2:6" x14ac:dyDescent="0.2">
      <c r="B582" s="44"/>
      <c r="C582" s="44"/>
      <c r="D582" s="44"/>
      <c r="E582" s="42"/>
      <c r="F582" s="43" t="str">
        <f>IF(E582="", "", IF(AND(E582&gt;='PAINEL DE CONTROLE'!$C$5*(1-CONFIGURAÇÕES!$D$7), E582&lt;='PAINEL DE CONTROLE'!$C$5*(1+CONFIGURAÇÕES!$D$7)), "DENTRO", "FORA"))</f>
        <v/>
      </c>
    </row>
    <row r="583" spans="2:6" x14ac:dyDescent="0.2">
      <c r="B583" s="44"/>
      <c r="C583" s="44"/>
      <c r="D583" s="44"/>
      <c r="E583" s="42"/>
      <c r="F583" s="43" t="str">
        <f>IF(E583="", "", IF(AND(E583&gt;='PAINEL DE CONTROLE'!$C$5*(1-CONFIGURAÇÕES!$D$7), E583&lt;='PAINEL DE CONTROLE'!$C$5*(1+CONFIGURAÇÕES!$D$7)), "DENTRO", "FORA"))</f>
        <v/>
      </c>
    </row>
    <row r="584" spans="2:6" x14ac:dyDescent="0.2">
      <c r="B584" s="44"/>
      <c r="C584" s="44"/>
      <c r="D584" s="44"/>
      <c r="E584" s="42"/>
      <c r="F584" s="43" t="str">
        <f>IF(E584="", "", IF(AND(E584&gt;='PAINEL DE CONTROLE'!$C$5*(1-CONFIGURAÇÕES!$D$7), E584&lt;='PAINEL DE CONTROLE'!$C$5*(1+CONFIGURAÇÕES!$D$7)), "DENTRO", "FORA"))</f>
        <v/>
      </c>
    </row>
    <row r="585" spans="2:6" x14ac:dyDescent="0.2">
      <c r="B585" s="44"/>
      <c r="C585" s="44"/>
      <c r="D585" s="44"/>
      <c r="E585" s="42"/>
      <c r="F585" s="43" t="str">
        <f>IF(E585="", "", IF(AND(E585&gt;='PAINEL DE CONTROLE'!$C$5*(1-CONFIGURAÇÕES!$D$7), E585&lt;='PAINEL DE CONTROLE'!$C$5*(1+CONFIGURAÇÕES!$D$7)), "DENTRO", "FORA"))</f>
        <v/>
      </c>
    </row>
    <row r="586" spans="2:6" x14ac:dyDescent="0.2">
      <c r="B586" s="44"/>
      <c r="C586" s="44"/>
      <c r="D586" s="44"/>
      <c r="E586" s="42"/>
      <c r="F586" s="43" t="str">
        <f>IF(E586="", "", IF(AND(E586&gt;='PAINEL DE CONTROLE'!$C$5*(1-CONFIGURAÇÕES!$D$7), E586&lt;='PAINEL DE CONTROLE'!$C$5*(1+CONFIGURAÇÕES!$D$7)), "DENTRO", "FORA"))</f>
        <v/>
      </c>
    </row>
    <row r="587" spans="2:6" x14ac:dyDescent="0.2">
      <c r="B587" s="44"/>
      <c r="C587" s="44"/>
      <c r="D587" s="44"/>
      <c r="E587" s="42"/>
      <c r="F587" s="43" t="str">
        <f>IF(E587="", "", IF(AND(E587&gt;='PAINEL DE CONTROLE'!$C$5*(1-CONFIGURAÇÕES!$D$7), E587&lt;='PAINEL DE CONTROLE'!$C$5*(1+CONFIGURAÇÕES!$D$7)), "DENTRO", "FORA"))</f>
        <v/>
      </c>
    </row>
    <row r="588" spans="2:6" x14ac:dyDescent="0.2">
      <c r="B588" s="44"/>
      <c r="C588" s="44"/>
      <c r="D588" s="44"/>
      <c r="E588" s="42"/>
      <c r="F588" s="43" t="str">
        <f>IF(E588="", "", IF(AND(E588&gt;='PAINEL DE CONTROLE'!$C$5*(1-CONFIGURAÇÕES!$D$7), E588&lt;='PAINEL DE CONTROLE'!$C$5*(1+CONFIGURAÇÕES!$D$7)), "DENTRO", "FORA"))</f>
        <v/>
      </c>
    </row>
    <row r="589" spans="2:6" x14ac:dyDescent="0.2">
      <c r="B589" s="44"/>
      <c r="C589" s="44"/>
      <c r="D589" s="44"/>
      <c r="E589" s="42"/>
      <c r="F589" s="43" t="str">
        <f>IF(E589="", "", IF(AND(E589&gt;='PAINEL DE CONTROLE'!$C$5*(1-CONFIGURAÇÕES!$D$7), E589&lt;='PAINEL DE CONTROLE'!$C$5*(1+CONFIGURAÇÕES!$D$7)), "DENTRO", "FORA"))</f>
        <v/>
      </c>
    </row>
    <row r="590" spans="2:6" x14ac:dyDescent="0.2">
      <c r="B590" s="44"/>
      <c r="C590" s="44"/>
      <c r="D590" s="44"/>
      <c r="E590" s="42"/>
      <c r="F590" s="43" t="str">
        <f>IF(E590="", "", IF(AND(E590&gt;='PAINEL DE CONTROLE'!$C$5*(1-CONFIGURAÇÕES!$D$7), E590&lt;='PAINEL DE CONTROLE'!$C$5*(1+CONFIGURAÇÕES!$D$7)), "DENTRO", "FORA"))</f>
        <v/>
      </c>
    </row>
    <row r="591" spans="2:6" x14ac:dyDescent="0.2">
      <c r="B591" s="44"/>
      <c r="C591" s="44"/>
      <c r="D591" s="44"/>
      <c r="E591" s="42"/>
      <c r="F591" s="43" t="str">
        <f>IF(E591="", "", IF(AND(E591&gt;='PAINEL DE CONTROLE'!$C$5*(1-CONFIGURAÇÕES!$D$7), E591&lt;='PAINEL DE CONTROLE'!$C$5*(1+CONFIGURAÇÕES!$D$7)), "DENTRO", "FORA"))</f>
        <v/>
      </c>
    </row>
    <row r="592" spans="2:6" x14ac:dyDescent="0.2">
      <c r="B592" s="44"/>
      <c r="C592" s="44"/>
      <c r="D592" s="44"/>
      <c r="E592" s="42"/>
      <c r="F592" s="43" t="str">
        <f>IF(E592="", "", IF(AND(E592&gt;='PAINEL DE CONTROLE'!$C$5*(1-CONFIGURAÇÕES!$D$7), E592&lt;='PAINEL DE CONTROLE'!$C$5*(1+CONFIGURAÇÕES!$D$7)), "DENTRO", "FORA"))</f>
        <v/>
      </c>
    </row>
    <row r="593" spans="2:6" x14ac:dyDescent="0.2">
      <c r="B593" s="44"/>
      <c r="C593" s="44"/>
      <c r="D593" s="44"/>
      <c r="E593" s="42"/>
      <c r="F593" s="43" t="str">
        <f>IF(E593="", "", IF(AND(E593&gt;='PAINEL DE CONTROLE'!$C$5*(1-CONFIGURAÇÕES!$D$7), E593&lt;='PAINEL DE CONTROLE'!$C$5*(1+CONFIGURAÇÕES!$D$7)), "DENTRO", "FORA"))</f>
        <v/>
      </c>
    </row>
    <row r="594" spans="2:6" x14ac:dyDescent="0.2">
      <c r="B594" s="44"/>
      <c r="C594" s="44"/>
      <c r="D594" s="44"/>
      <c r="E594" s="42"/>
      <c r="F594" s="43" t="str">
        <f>IF(E594="", "", IF(AND(E594&gt;='PAINEL DE CONTROLE'!$C$5*(1-CONFIGURAÇÕES!$D$7), E594&lt;='PAINEL DE CONTROLE'!$C$5*(1+CONFIGURAÇÕES!$D$7)), "DENTRO", "FORA"))</f>
        <v/>
      </c>
    </row>
    <row r="595" spans="2:6" x14ac:dyDescent="0.2">
      <c r="B595" s="44"/>
      <c r="C595" s="44"/>
      <c r="D595" s="44"/>
      <c r="E595" s="42"/>
      <c r="F595" s="43" t="str">
        <f>IF(E595="", "", IF(AND(E595&gt;='PAINEL DE CONTROLE'!$C$5*(1-CONFIGURAÇÕES!$D$7), E595&lt;='PAINEL DE CONTROLE'!$C$5*(1+CONFIGURAÇÕES!$D$7)), "DENTRO", "FORA"))</f>
        <v/>
      </c>
    </row>
    <row r="596" spans="2:6" x14ac:dyDescent="0.2">
      <c r="B596" s="44"/>
      <c r="C596" s="44"/>
      <c r="D596" s="44"/>
      <c r="E596" s="42"/>
      <c r="F596" s="43" t="str">
        <f>IF(E596="", "", IF(AND(E596&gt;='PAINEL DE CONTROLE'!$C$5*(1-CONFIGURAÇÕES!$D$7), E596&lt;='PAINEL DE CONTROLE'!$C$5*(1+CONFIGURAÇÕES!$D$7)), "DENTRO", "FORA"))</f>
        <v/>
      </c>
    </row>
    <row r="597" spans="2:6" x14ac:dyDescent="0.2">
      <c r="B597" s="44"/>
      <c r="C597" s="44"/>
      <c r="D597" s="44"/>
      <c r="E597" s="42"/>
      <c r="F597" s="43" t="str">
        <f>IF(E597="", "", IF(AND(E597&gt;='PAINEL DE CONTROLE'!$C$5*(1-CONFIGURAÇÕES!$D$7), E597&lt;='PAINEL DE CONTROLE'!$C$5*(1+CONFIGURAÇÕES!$D$7)), "DENTRO", "FORA"))</f>
        <v/>
      </c>
    </row>
    <row r="598" spans="2:6" x14ac:dyDescent="0.2">
      <c r="B598" s="44"/>
      <c r="C598" s="44"/>
      <c r="D598" s="44"/>
      <c r="E598" s="42"/>
      <c r="F598" s="43" t="str">
        <f>IF(E598="", "", IF(AND(E598&gt;='PAINEL DE CONTROLE'!$C$5*(1-CONFIGURAÇÕES!$D$7), E598&lt;='PAINEL DE CONTROLE'!$C$5*(1+CONFIGURAÇÕES!$D$7)), "DENTRO", "FORA"))</f>
        <v/>
      </c>
    </row>
    <row r="599" spans="2:6" x14ac:dyDescent="0.2">
      <c r="B599" s="44"/>
      <c r="C599" s="44"/>
      <c r="D599" s="44"/>
      <c r="E599" s="42"/>
      <c r="F599" s="43" t="str">
        <f>IF(E599="", "", IF(AND(E599&gt;='PAINEL DE CONTROLE'!$C$5*(1-CONFIGURAÇÕES!$D$7), E599&lt;='PAINEL DE CONTROLE'!$C$5*(1+CONFIGURAÇÕES!$D$7)), "DENTRO", "FORA"))</f>
        <v/>
      </c>
    </row>
    <row r="600" spans="2:6" x14ac:dyDescent="0.2">
      <c r="B600" s="44"/>
      <c r="C600" s="44"/>
      <c r="D600" s="44"/>
      <c r="E600" s="42"/>
      <c r="F600" s="43" t="str">
        <f>IF(E600="", "", IF(AND(E600&gt;='PAINEL DE CONTROLE'!$C$5*(1-CONFIGURAÇÕES!$D$7), E600&lt;='PAINEL DE CONTROLE'!$C$5*(1+CONFIGURAÇÕES!$D$7)), "DENTRO", "FORA"))</f>
        <v/>
      </c>
    </row>
    <row r="601" spans="2:6" x14ac:dyDescent="0.2">
      <c r="B601" s="44"/>
      <c r="C601" s="44"/>
      <c r="D601" s="44"/>
      <c r="E601" s="42"/>
      <c r="F601" s="43" t="str">
        <f>IF(E601="", "", IF(AND(E601&gt;='PAINEL DE CONTROLE'!$C$5*(1-CONFIGURAÇÕES!$D$7), E601&lt;='PAINEL DE CONTROLE'!$C$5*(1+CONFIGURAÇÕES!$D$7)), "DENTRO", "FORA"))</f>
        <v/>
      </c>
    </row>
    <row r="602" spans="2:6" x14ac:dyDescent="0.2">
      <c r="B602" s="44"/>
      <c r="C602" s="44"/>
      <c r="D602" s="44"/>
      <c r="E602" s="42"/>
      <c r="F602" s="43" t="str">
        <f>IF(E602="", "", IF(AND(E602&gt;='PAINEL DE CONTROLE'!$C$5*(1-CONFIGURAÇÕES!$D$7), E602&lt;='PAINEL DE CONTROLE'!$C$5*(1+CONFIGURAÇÕES!$D$7)), "DENTRO", "FORA"))</f>
        <v/>
      </c>
    </row>
    <row r="603" spans="2:6" x14ac:dyDescent="0.2">
      <c r="B603" s="44"/>
      <c r="C603" s="44"/>
      <c r="D603" s="44"/>
      <c r="E603" s="42"/>
      <c r="F603" s="43" t="str">
        <f>IF(E603="", "", IF(AND(E603&gt;='PAINEL DE CONTROLE'!$C$5*(1-CONFIGURAÇÕES!$D$7), E603&lt;='PAINEL DE CONTROLE'!$C$5*(1+CONFIGURAÇÕES!$D$7)), "DENTRO", "FORA"))</f>
        <v/>
      </c>
    </row>
    <row r="604" spans="2:6" x14ac:dyDescent="0.2">
      <c r="B604" s="44"/>
      <c r="C604" s="44"/>
      <c r="D604" s="44"/>
      <c r="E604" s="42"/>
      <c r="F604" s="43" t="str">
        <f>IF(E604="", "", IF(AND(E604&gt;='PAINEL DE CONTROLE'!$C$5*(1-CONFIGURAÇÕES!$D$7), E604&lt;='PAINEL DE CONTROLE'!$C$5*(1+CONFIGURAÇÕES!$D$7)), "DENTRO", "FORA"))</f>
        <v/>
      </c>
    </row>
    <row r="605" spans="2:6" x14ac:dyDescent="0.2">
      <c r="B605" s="44"/>
      <c r="C605" s="44"/>
      <c r="D605" s="44"/>
      <c r="E605" s="42"/>
      <c r="F605" s="43" t="str">
        <f>IF(E605="", "", IF(AND(E605&gt;='PAINEL DE CONTROLE'!$C$5*(1-CONFIGURAÇÕES!$D$7), E605&lt;='PAINEL DE CONTROLE'!$C$5*(1+CONFIGURAÇÕES!$D$7)), "DENTRO", "FORA"))</f>
        <v/>
      </c>
    </row>
    <row r="606" spans="2:6" x14ac:dyDescent="0.2">
      <c r="B606" s="44"/>
      <c r="C606" s="44"/>
      <c r="D606" s="44"/>
      <c r="E606" s="42"/>
      <c r="F606" s="43" t="str">
        <f>IF(E606="", "", IF(AND(E606&gt;='PAINEL DE CONTROLE'!$C$5*(1-CONFIGURAÇÕES!$D$7), E606&lt;='PAINEL DE CONTROLE'!$C$5*(1+CONFIGURAÇÕES!$D$7)), "DENTRO", "FORA"))</f>
        <v/>
      </c>
    </row>
    <row r="607" spans="2:6" x14ac:dyDescent="0.2">
      <c r="B607" s="44"/>
      <c r="C607" s="44"/>
      <c r="D607" s="44"/>
      <c r="E607" s="42"/>
      <c r="F607" s="43" t="str">
        <f>IF(E607="", "", IF(AND(E607&gt;='PAINEL DE CONTROLE'!$C$5*(1-CONFIGURAÇÕES!$D$7), E607&lt;='PAINEL DE CONTROLE'!$C$5*(1+CONFIGURAÇÕES!$D$7)), "DENTRO", "FORA"))</f>
        <v/>
      </c>
    </row>
    <row r="608" spans="2:6" x14ac:dyDescent="0.2">
      <c r="B608" s="44"/>
      <c r="C608" s="44"/>
      <c r="D608" s="44"/>
      <c r="E608" s="42"/>
      <c r="F608" s="43" t="str">
        <f>IF(E608="", "", IF(AND(E608&gt;='PAINEL DE CONTROLE'!$C$5*(1-CONFIGURAÇÕES!$D$7), E608&lt;='PAINEL DE CONTROLE'!$C$5*(1+CONFIGURAÇÕES!$D$7)), "DENTRO", "FORA"))</f>
        <v/>
      </c>
    </row>
    <row r="609" spans="2:6" x14ac:dyDescent="0.2">
      <c r="B609" s="44"/>
      <c r="C609" s="44"/>
      <c r="D609" s="44"/>
      <c r="E609" s="42"/>
      <c r="F609" s="43" t="str">
        <f>IF(E609="", "", IF(AND(E609&gt;='PAINEL DE CONTROLE'!$C$5*(1-CONFIGURAÇÕES!$D$7), E609&lt;='PAINEL DE CONTROLE'!$C$5*(1+CONFIGURAÇÕES!$D$7)), "DENTRO", "FORA"))</f>
        <v/>
      </c>
    </row>
    <row r="610" spans="2:6" x14ac:dyDescent="0.2">
      <c r="B610" s="44"/>
      <c r="C610" s="44"/>
      <c r="D610" s="44"/>
      <c r="E610" s="42"/>
      <c r="F610" s="43" t="str">
        <f>IF(E610="", "", IF(AND(E610&gt;='PAINEL DE CONTROLE'!$C$5*(1-CONFIGURAÇÕES!$D$7), E610&lt;='PAINEL DE CONTROLE'!$C$5*(1+CONFIGURAÇÕES!$D$7)), "DENTRO", "FORA"))</f>
        <v/>
      </c>
    </row>
    <row r="611" spans="2:6" x14ac:dyDescent="0.2">
      <c r="B611" s="44"/>
      <c r="C611" s="44"/>
      <c r="D611" s="44"/>
      <c r="E611" s="42"/>
      <c r="F611" s="43" t="str">
        <f>IF(E611="", "", IF(AND(E611&gt;='PAINEL DE CONTROLE'!$C$5*(1-CONFIGURAÇÕES!$D$7), E611&lt;='PAINEL DE CONTROLE'!$C$5*(1+CONFIGURAÇÕES!$D$7)), "DENTRO", "FORA"))</f>
        <v/>
      </c>
    </row>
    <row r="612" spans="2:6" x14ac:dyDescent="0.2">
      <c r="B612" s="44"/>
      <c r="C612" s="44"/>
      <c r="D612" s="44"/>
      <c r="E612" s="42"/>
      <c r="F612" s="43" t="str">
        <f>IF(E612="", "", IF(AND(E612&gt;='PAINEL DE CONTROLE'!$C$5*(1-CONFIGURAÇÕES!$D$7), E612&lt;='PAINEL DE CONTROLE'!$C$5*(1+CONFIGURAÇÕES!$D$7)), "DENTRO", "FORA"))</f>
        <v/>
      </c>
    </row>
    <row r="613" spans="2:6" x14ac:dyDescent="0.2">
      <c r="B613" s="44"/>
      <c r="C613" s="44"/>
      <c r="D613" s="44"/>
      <c r="E613" s="42"/>
      <c r="F613" s="43" t="str">
        <f>IF(E613="", "", IF(AND(E613&gt;='PAINEL DE CONTROLE'!$C$5*(1-CONFIGURAÇÕES!$D$7), E613&lt;='PAINEL DE CONTROLE'!$C$5*(1+CONFIGURAÇÕES!$D$7)), "DENTRO", "FORA"))</f>
        <v/>
      </c>
    </row>
    <row r="614" spans="2:6" x14ac:dyDescent="0.2">
      <c r="B614" s="44"/>
      <c r="C614" s="44"/>
      <c r="D614" s="44"/>
      <c r="E614" s="42"/>
      <c r="F614" s="43" t="str">
        <f>IF(E614="", "", IF(AND(E614&gt;='PAINEL DE CONTROLE'!$C$5*(1-CONFIGURAÇÕES!$D$7), E614&lt;='PAINEL DE CONTROLE'!$C$5*(1+CONFIGURAÇÕES!$D$7)), "DENTRO", "FORA"))</f>
        <v/>
      </c>
    </row>
    <row r="615" spans="2:6" x14ac:dyDescent="0.2">
      <c r="B615" s="44"/>
      <c r="C615" s="44"/>
      <c r="D615" s="44"/>
      <c r="E615" s="42"/>
      <c r="F615" s="43" t="str">
        <f>IF(E615="", "", IF(AND(E615&gt;='PAINEL DE CONTROLE'!$C$5*(1-CONFIGURAÇÕES!$D$7), E615&lt;='PAINEL DE CONTROLE'!$C$5*(1+CONFIGURAÇÕES!$D$7)), "DENTRO", "FORA"))</f>
        <v/>
      </c>
    </row>
    <row r="616" spans="2:6" x14ac:dyDescent="0.2">
      <c r="B616" s="44"/>
      <c r="C616" s="44"/>
      <c r="D616" s="44"/>
      <c r="E616" s="42"/>
      <c r="F616" s="43" t="str">
        <f>IF(E616="", "", IF(AND(E616&gt;='PAINEL DE CONTROLE'!$C$5*(1-CONFIGURAÇÕES!$D$7), E616&lt;='PAINEL DE CONTROLE'!$C$5*(1+CONFIGURAÇÕES!$D$7)), "DENTRO", "FORA"))</f>
        <v/>
      </c>
    </row>
    <row r="617" spans="2:6" x14ac:dyDescent="0.2">
      <c r="B617" s="44"/>
      <c r="C617" s="44"/>
      <c r="D617" s="44"/>
      <c r="E617" s="42"/>
      <c r="F617" s="43" t="str">
        <f>IF(E617="", "", IF(AND(E617&gt;='PAINEL DE CONTROLE'!$C$5*(1-CONFIGURAÇÕES!$D$7), E617&lt;='PAINEL DE CONTROLE'!$C$5*(1+CONFIGURAÇÕES!$D$7)), "DENTRO", "FORA"))</f>
        <v/>
      </c>
    </row>
    <row r="618" spans="2:6" x14ac:dyDescent="0.2">
      <c r="B618" s="44"/>
      <c r="C618" s="44"/>
      <c r="D618" s="44"/>
      <c r="E618" s="42"/>
      <c r="F618" s="43" t="str">
        <f>IF(E618="", "", IF(AND(E618&gt;='PAINEL DE CONTROLE'!$C$5*(1-CONFIGURAÇÕES!$D$7), E618&lt;='PAINEL DE CONTROLE'!$C$5*(1+CONFIGURAÇÕES!$D$7)), "DENTRO", "FORA"))</f>
        <v/>
      </c>
    </row>
    <row r="619" spans="2:6" x14ac:dyDescent="0.2">
      <c r="B619" s="44"/>
      <c r="C619" s="44"/>
      <c r="D619" s="44"/>
      <c r="E619" s="42"/>
      <c r="F619" s="43" t="str">
        <f>IF(E619="", "", IF(AND(E619&gt;='PAINEL DE CONTROLE'!$C$5*(1-CONFIGURAÇÕES!$D$7), E619&lt;='PAINEL DE CONTROLE'!$C$5*(1+CONFIGURAÇÕES!$D$7)), "DENTRO", "FORA"))</f>
        <v/>
      </c>
    </row>
    <row r="620" spans="2:6" x14ac:dyDescent="0.2">
      <c r="B620" s="44"/>
      <c r="C620" s="44"/>
      <c r="D620" s="44"/>
      <c r="E620" s="42"/>
      <c r="F620" s="43" t="str">
        <f>IF(E620="", "", IF(AND(E620&gt;='PAINEL DE CONTROLE'!$C$5*(1-CONFIGURAÇÕES!$D$7), E620&lt;='PAINEL DE CONTROLE'!$C$5*(1+CONFIGURAÇÕES!$D$7)), "DENTRO", "FORA"))</f>
        <v/>
      </c>
    </row>
    <row r="621" spans="2:6" x14ac:dyDescent="0.2">
      <c r="B621" s="44"/>
      <c r="C621" s="44"/>
      <c r="D621" s="44"/>
      <c r="E621" s="42"/>
      <c r="F621" s="43" t="str">
        <f>IF(E621="", "", IF(AND(E621&gt;='PAINEL DE CONTROLE'!$C$5*(1-CONFIGURAÇÕES!$D$7), E621&lt;='PAINEL DE CONTROLE'!$C$5*(1+CONFIGURAÇÕES!$D$7)), "DENTRO", "FORA"))</f>
        <v/>
      </c>
    </row>
    <row r="622" spans="2:6" x14ac:dyDescent="0.2">
      <c r="B622" s="44"/>
      <c r="C622" s="44"/>
      <c r="D622" s="44"/>
      <c r="E622" s="42"/>
      <c r="F622" s="43" t="str">
        <f>IF(E622="", "", IF(AND(E622&gt;='PAINEL DE CONTROLE'!$C$5*(1-CONFIGURAÇÕES!$D$7), E622&lt;='PAINEL DE CONTROLE'!$C$5*(1+CONFIGURAÇÕES!$D$7)), "DENTRO", "FORA"))</f>
        <v/>
      </c>
    </row>
    <row r="623" spans="2:6" x14ac:dyDescent="0.2">
      <c r="B623" s="44"/>
      <c r="C623" s="44"/>
      <c r="D623" s="44"/>
      <c r="E623" s="42"/>
      <c r="F623" s="43" t="str">
        <f>IF(E623="", "", IF(AND(E623&gt;='PAINEL DE CONTROLE'!$C$5*(1-CONFIGURAÇÕES!$D$7), E623&lt;='PAINEL DE CONTROLE'!$C$5*(1+CONFIGURAÇÕES!$D$7)), "DENTRO", "FORA"))</f>
        <v/>
      </c>
    </row>
    <row r="624" spans="2:6" x14ac:dyDescent="0.2">
      <c r="B624" s="44"/>
      <c r="C624" s="44"/>
      <c r="D624" s="44"/>
      <c r="E624" s="42"/>
      <c r="F624" s="43" t="str">
        <f>IF(E624="", "", IF(AND(E624&gt;='PAINEL DE CONTROLE'!$C$5*(1-CONFIGURAÇÕES!$D$7), E624&lt;='PAINEL DE CONTROLE'!$C$5*(1+CONFIGURAÇÕES!$D$7)), "DENTRO", "FORA"))</f>
        <v/>
      </c>
    </row>
    <row r="625" spans="2:6" x14ac:dyDescent="0.2">
      <c r="B625" s="44"/>
      <c r="C625" s="44"/>
      <c r="D625" s="44"/>
      <c r="E625" s="42"/>
      <c r="F625" s="43" t="str">
        <f>IF(E625="", "", IF(AND(E625&gt;='PAINEL DE CONTROLE'!$C$5*(1-CONFIGURAÇÕES!$D$7), E625&lt;='PAINEL DE CONTROLE'!$C$5*(1+CONFIGURAÇÕES!$D$7)), "DENTRO", "FORA"))</f>
        <v/>
      </c>
    </row>
    <row r="626" spans="2:6" x14ac:dyDescent="0.2">
      <c r="B626" s="44"/>
      <c r="C626" s="44"/>
      <c r="D626" s="44"/>
      <c r="E626" s="42"/>
      <c r="F626" s="43" t="str">
        <f>IF(E626="", "", IF(AND(E626&gt;='PAINEL DE CONTROLE'!$C$5*(1-CONFIGURAÇÕES!$D$7), E626&lt;='PAINEL DE CONTROLE'!$C$5*(1+CONFIGURAÇÕES!$D$7)), "DENTRO", "FORA"))</f>
        <v/>
      </c>
    </row>
    <row r="627" spans="2:6" x14ac:dyDescent="0.2">
      <c r="B627" s="44"/>
      <c r="C627" s="44"/>
      <c r="D627" s="44"/>
      <c r="E627" s="42"/>
      <c r="F627" s="43" t="str">
        <f>IF(E627="", "", IF(AND(E627&gt;='PAINEL DE CONTROLE'!$C$5*(1-CONFIGURAÇÕES!$D$7), E627&lt;='PAINEL DE CONTROLE'!$C$5*(1+CONFIGURAÇÕES!$D$7)), "DENTRO", "FORA"))</f>
        <v/>
      </c>
    </row>
    <row r="628" spans="2:6" x14ac:dyDescent="0.2">
      <c r="B628" s="44"/>
      <c r="C628" s="44"/>
      <c r="D628" s="44"/>
      <c r="E628" s="42"/>
      <c r="F628" s="43" t="str">
        <f>IF(E628="", "", IF(AND(E628&gt;='PAINEL DE CONTROLE'!$C$5*(1-CONFIGURAÇÕES!$D$7), E628&lt;='PAINEL DE CONTROLE'!$C$5*(1+CONFIGURAÇÕES!$D$7)), "DENTRO", "FORA"))</f>
        <v/>
      </c>
    </row>
    <row r="629" spans="2:6" x14ac:dyDescent="0.2">
      <c r="B629" s="44"/>
      <c r="C629" s="44"/>
      <c r="D629" s="44"/>
      <c r="E629" s="42"/>
      <c r="F629" s="43" t="str">
        <f>IF(E629="", "", IF(AND(E629&gt;='PAINEL DE CONTROLE'!$C$5*(1-CONFIGURAÇÕES!$D$7), E629&lt;='PAINEL DE CONTROLE'!$C$5*(1+CONFIGURAÇÕES!$D$7)), "DENTRO", "FORA"))</f>
        <v/>
      </c>
    </row>
    <row r="630" spans="2:6" x14ac:dyDescent="0.2">
      <c r="B630" s="44"/>
      <c r="C630" s="44"/>
      <c r="D630" s="44"/>
      <c r="E630" s="42"/>
      <c r="F630" s="43" t="str">
        <f>IF(E630="", "", IF(AND(E630&gt;='PAINEL DE CONTROLE'!$C$5*(1-CONFIGURAÇÕES!$D$7), E630&lt;='PAINEL DE CONTROLE'!$C$5*(1+CONFIGURAÇÕES!$D$7)), "DENTRO", "FORA"))</f>
        <v/>
      </c>
    </row>
    <row r="631" spans="2:6" x14ac:dyDescent="0.2">
      <c r="B631" s="44"/>
      <c r="C631" s="44"/>
      <c r="D631" s="44"/>
      <c r="E631" s="42"/>
      <c r="F631" s="43" t="str">
        <f>IF(E631="", "", IF(AND(E631&gt;='PAINEL DE CONTROLE'!$C$5*(1-CONFIGURAÇÕES!$D$7), E631&lt;='PAINEL DE CONTROLE'!$C$5*(1+CONFIGURAÇÕES!$D$7)), "DENTRO", "FORA"))</f>
        <v/>
      </c>
    </row>
    <row r="632" spans="2:6" x14ac:dyDescent="0.2">
      <c r="B632" s="44"/>
      <c r="C632" s="44"/>
      <c r="D632" s="44"/>
      <c r="E632" s="42"/>
      <c r="F632" s="43" t="str">
        <f>IF(E632="", "", IF(AND(E632&gt;='PAINEL DE CONTROLE'!$C$5*(1-CONFIGURAÇÕES!$D$7), E632&lt;='PAINEL DE CONTROLE'!$C$5*(1+CONFIGURAÇÕES!$D$7)), "DENTRO", "FORA"))</f>
        <v/>
      </c>
    </row>
    <row r="633" spans="2:6" x14ac:dyDescent="0.2">
      <c r="B633" s="44"/>
      <c r="C633" s="44"/>
      <c r="D633" s="44"/>
      <c r="E633" s="42"/>
      <c r="F633" s="43" t="str">
        <f>IF(E633="", "", IF(AND(E633&gt;='PAINEL DE CONTROLE'!$C$5*(1-CONFIGURAÇÕES!$D$7), E633&lt;='PAINEL DE CONTROLE'!$C$5*(1+CONFIGURAÇÕES!$D$7)), "DENTRO", "FORA"))</f>
        <v/>
      </c>
    </row>
    <row r="634" spans="2:6" x14ac:dyDescent="0.2">
      <c r="B634" s="44"/>
      <c r="C634" s="44"/>
      <c r="D634" s="44"/>
      <c r="E634" s="42"/>
      <c r="F634" s="43" t="str">
        <f>IF(E634="", "", IF(AND(E634&gt;='PAINEL DE CONTROLE'!$C$5*(1-CONFIGURAÇÕES!$D$7), E634&lt;='PAINEL DE CONTROLE'!$C$5*(1+CONFIGURAÇÕES!$D$7)), "DENTRO", "FORA"))</f>
        <v/>
      </c>
    </row>
    <row r="635" spans="2:6" x14ac:dyDescent="0.2">
      <c r="B635" s="44"/>
      <c r="C635" s="44"/>
      <c r="D635" s="44"/>
      <c r="E635" s="42"/>
      <c r="F635" s="43" t="str">
        <f>IF(E635="", "", IF(AND(E635&gt;='PAINEL DE CONTROLE'!$C$5*(1-CONFIGURAÇÕES!$D$7), E635&lt;='PAINEL DE CONTROLE'!$C$5*(1+CONFIGURAÇÕES!$D$7)), "DENTRO", "FORA"))</f>
        <v/>
      </c>
    </row>
    <row r="636" spans="2:6" x14ac:dyDescent="0.2">
      <c r="B636" s="44"/>
      <c r="C636" s="44"/>
      <c r="D636" s="44"/>
      <c r="E636" s="42"/>
      <c r="F636" s="43" t="str">
        <f>IF(E636="", "", IF(AND(E636&gt;='PAINEL DE CONTROLE'!$C$5*(1-CONFIGURAÇÕES!$D$7), E636&lt;='PAINEL DE CONTROLE'!$C$5*(1+CONFIGURAÇÕES!$D$7)), "DENTRO", "FORA"))</f>
        <v/>
      </c>
    </row>
    <row r="637" spans="2:6" x14ac:dyDescent="0.2">
      <c r="B637" s="44"/>
      <c r="C637" s="44"/>
      <c r="D637" s="44"/>
      <c r="E637" s="42"/>
      <c r="F637" s="43" t="str">
        <f>IF(E637="", "", IF(AND(E637&gt;='PAINEL DE CONTROLE'!$C$5*(1-CONFIGURAÇÕES!$D$7), E637&lt;='PAINEL DE CONTROLE'!$C$5*(1+CONFIGURAÇÕES!$D$7)), "DENTRO", "FORA"))</f>
        <v/>
      </c>
    </row>
    <row r="638" spans="2:6" x14ac:dyDescent="0.2">
      <c r="B638" s="44"/>
      <c r="C638" s="44"/>
      <c r="D638" s="44"/>
      <c r="E638" s="42"/>
      <c r="F638" s="43" t="str">
        <f>IF(E638="", "", IF(AND(E638&gt;='PAINEL DE CONTROLE'!$C$5*(1-CONFIGURAÇÕES!$D$7), E638&lt;='PAINEL DE CONTROLE'!$C$5*(1+CONFIGURAÇÕES!$D$7)), "DENTRO", "FORA"))</f>
        <v/>
      </c>
    </row>
    <row r="639" spans="2:6" x14ac:dyDescent="0.2">
      <c r="B639" s="44"/>
      <c r="C639" s="44"/>
      <c r="D639" s="44"/>
      <c r="E639" s="42"/>
      <c r="F639" s="43" t="str">
        <f>IF(E639="", "", IF(AND(E639&gt;='PAINEL DE CONTROLE'!$C$5*(1-CONFIGURAÇÕES!$D$7), E639&lt;='PAINEL DE CONTROLE'!$C$5*(1+CONFIGURAÇÕES!$D$7)), "DENTRO", "FORA"))</f>
        <v/>
      </c>
    </row>
    <row r="640" spans="2:6" x14ac:dyDescent="0.2">
      <c r="B640" s="44"/>
      <c r="C640" s="44"/>
      <c r="D640" s="44"/>
      <c r="E640" s="42"/>
      <c r="F640" s="43" t="str">
        <f>IF(E640="", "", IF(AND(E640&gt;='PAINEL DE CONTROLE'!$C$5*(1-CONFIGURAÇÕES!$D$7), E640&lt;='PAINEL DE CONTROLE'!$C$5*(1+CONFIGURAÇÕES!$D$7)), "DENTRO", "FORA"))</f>
        <v/>
      </c>
    </row>
    <row r="641" spans="2:6" x14ac:dyDescent="0.2">
      <c r="B641" s="44"/>
      <c r="C641" s="44"/>
      <c r="D641" s="44"/>
      <c r="E641" s="42"/>
      <c r="F641" s="43" t="str">
        <f>IF(E641="", "", IF(AND(E641&gt;='PAINEL DE CONTROLE'!$C$5*(1-CONFIGURAÇÕES!$D$7), E641&lt;='PAINEL DE CONTROLE'!$C$5*(1+CONFIGURAÇÕES!$D$7)), "DENTRO", "FORA"))</f>
        <v/>
      </c>
    </row>
    <row r="642" spans="2:6" x14ac:dyDescent="0.2">
      <c r="B642" s="44"/>
      <c r="C642" s="44"/>
      <c r="D642" s="44"/>
      <c r="E642" s="42"/>
      <c r="F642" s="43" t="str">
        <f>IF(E642="", "", IF(AND(E642&gt;='PAINEL DE CONTROLE'!$C$5*(1-CONFIGURAÇÕES!$D$7), E642&lt;='PAINEL DE CONTROLE'!$C$5*(1+CONFIGURAÇÕES!$D$7)), "DENTRO", "FORA"))</f>
        <v/>
      </c>
    </row>
    <row r="643" spans="2:6" x14ac:dyDescent="0.2">
      <c r="B643" s="44"/>
      <c r="C643" s="44"/>
      <c r="D643" s="44"/>
      <c r="E643" s="42"/>
      <c r="F643" s="43" t="str">
        <f>IF(E643="", "", IF(AND(E643&gt;='PAINEL DE CONTROLE'!$C$5*(1-CONFIGURAÇÕES!$D$7), E643&lt;='PAINEL DE CONTROLE'!$C$5*(1+CONFIGURAÇÕES!$D$7)), "DENTRO", "FORA"))</f>
        <v/>
      </c>
    </row>
    <row r="644" spans="2:6" x14ac:dyDescent="0.2">
      <c r="B644" s="44"/>
      <c r="C644" s="44"/>
      <c r="D644" s="44"/>
      <c r="E644" s="42"/>
      <c r="F644" s="43" t="str">
        <f>IF(E644="", "", IF(AND(E644&gt;='PAINEL DE CONTROLE'!$C$5*(1-CONFIGURAÇÕES!$D$7), E644&lt;='PAINEL DE CONTROLE'!$C$5*(1+CONFIGURAÇÕES!$D$7)), "DENTRO", "FORA"))</f>
        <v/>
      </c>
    </row>
    <row r="645" spans="2:6" x14ac:dyDescent="0.2">
      <c r="B645" s="44"/>
      <c r="C645" s="44"/>
      <c r="D645" s="44"/>
      <c r="E645" s="42"/>
      <c r="F645" s="43" t="str">
        <f>IF(E645="", "", IF(AND(E645&gt;='PAINEL DE CONTROLE'!$C$5*(1-CONFIGURAÇÕES!$D$7), E645&lt;='PAINEL DE CONTROLE'!$C$5*(1+CONFIGURAÇÕES!$D$7)), "DENTRO", "FORA"))</f>
        <v/>
      </c>
    </row>
    <row r="646" spans="2:6" x14ac:dyDescent="0.2">
      <c r="B646" s="44"/>
      <c r="C646" s="44"/>
      <c r="D646" s="44"/>
      <c r="E646" s="42"/>
      <c r="F646" s="43" t="str">
        <f>IF(E646="", "", IF(AND(E646&gt;='PAINEL DE CONTROLE'!$C$5*(1-CONFIGURAÇÕES!$D$7), E646&lt;='PAINEL DE CONTROLE'!$C$5*(1+CONFIGURAÇÕES!$D$7)), "DENTRO", "FORA"))</f>
        <v/>
      </c>
    </row>
    <row r="647" spans="2:6" x14ac:dyDescent="0.2">
      <c r="B647" s="44"/>
      <c r="C647" s="44"/>
      <c r="D647" s="44"/>
      <c r="E647" s="42"/>
      <c r="F647" s="43" t="str">
        <f>IF(E647="", "", IF(AND(E647&gt;='PAINEL DE CONTROLE'!$C$5*(1-CONFIGURAÇÕES!$D$7), E647&lt;='PAINEL DE CONTROLE'!$C$5*(1+CONFIGURAÇÕES!$D$7)), "DENTRO", "FORA"))</f>
        <v/>
      </c>
    </row>
    <row r="648" spans="2:6" x14ac:dyDescent="0.2">
      <c r="B648" s="44"/>
      <c r="C648" s="44"/>
      <c r="D648" s="44"/>
      <c r="E648" s="42"/>
      <c r="F648" s="43" t="str">
        <f>IF(E648="", "", IF(AND(E648&gt;='PAINEL DE CONTROLE'!$C$5*(1-CONFIGURAÇÕES!$D$7), E648&lt;='PAINEL DE CONTROLE'!$C$5*(1+CONFIGURAÇÕES!$D$7)), "DENTRO", "FORA"))</f>
        <v/>
      </c>
    </row>
    <row r="649" spans="2:6" x14ac:dyDescent="0.2">
      <c r="B649" s="44"/>
      <c r="C649" s="44"/>
      <c r="D649" s="44"/>
      <c r="E649" s="42"/>
      <c r="F649" s="43" t="str">
        <f>IF(E649="", "", IF(AND(E649&gt;='PAINEL DE CONTROLE'!$C$5*(1-CONFIGURAÇÕES!$D$7), E649&lt;='PAINEL DE CONTROLE'!$C$5*(1+CONFIGURAÇÕES!$D$7)), "DENTRO", "FORA"))</f>
        <v/>
      </c>
    </row>
    <row r="650" spans="2:6" x14ac:dyDescent="0.2">
      <c r="B650" s="44"/>
      <c r="C650" s="44"/>
      <c r="D650" s="44"/>
      <c r="E650" s="42"/>
      <c r="F650" s="43" t="str">
        <f>IF(E650="", "", IF(AND(E650&gt;='PAINEL DE CONTROLE'!$C$5*(1-CONFIGURAÇÕES!$D$7), E650&lt;='PAINEL DE CONTROLE'!$C$5*(1+CONFIGURAÇÕES!$D$7)), "DENTRO", "FORA"))</f>
        <v/>
      </c>
    </row>
    <row r="651" spans="2:6" x14ac:dyDescent="0.2">
      <c r="B651" s="44"/>
      <c r="C651" s="44"/>
      <c r="D651" s="44"/>
      <c r="E651" s="42"/>
      <c r="F651" s="43" t="str">
        <f>IF(E651="", "", IF(AND(E651&gt;='PAINEL DE CONTROLE'!$C$5*(1-CONFIGURAÇÕES!$D$7), E651&lt;='PAINEL DE CONTROLE'!$C$5*(1+CONFIGURAÇÕES!$D$7)), "DENTRO", "FORA"))</f>
        <v/>
      </c>
    </row>
    <row r="652" spans="2:6" x14ac:dyDescent="0.2">
      <c r="B652" s="44"/>
      <c r="C652" s="44"/>
      <c r="D652" s="44"/>
      <c r="E652" s="42"/>
      <c r="F652" s="43" t="str">
        <f>IF(E652="", "", IF(AND(E652&gt;='PAINEL DE CONTROLE'!$C$5*(1-CONFIGURAÇÕES!$D$7), E652&lt;='PAINEL DE CONTROLE'!$C$5*(1+CONFIGURAÇÕES!$D$7)), "DENTRO", "FORA"))</f>
        <v/>
      </c>
    </row>
    <row r="653" spans="2:6" x14ac:dyDescent="0.2">
      <c r="B653" s="44"/>
      <c r="C653" s="44"/>
      <c r="D653" s="44"/>
      <c r="E653" s="42"/>
      <c r="F653" s="43" t="str">
        <f>IF(E653="", "", IF(AND(E653&gt;='PAINEL DE CONTROLE'!$C$5*(1-CONFIGURAÇÕES!$D$7), E653&lt;='PAINEL DE CONTROLE'!$C$5*(1+CONFIGURAÇÕES!$D$7)), "DENTRO", "FORA"))</f>
        <v/>
      </c>
    </row>
    <row r="654" spans="2:6" x14ac:dyDescent="0.2">
      <c r="B654" s="44"/>
      <c r="C654" s="44"/>
      <c r="D654" s="44"/>
      <c r="E654" s="42"/>
      <c r="F654" s="43" t="str">
        <f>IF(E654="", "", IF(AND(E654&gt;='PAINEL DE CONTROLE'!$C$5*(1-CONFIGURAÇÕES!$D$7), E654&lt;='PAINEL DE CONTROLE'!$C$5*(1+CONFIGURAÇÕES!$D$7)), "DENTRO", "FORA"))</f>
        <v/>
      </c>
    </row>
    <row r="655" spans="2:6" x14ac:dyDescent="0.2">
      <c r="B655" s="44"/>
      <c r="C655" s="44"/>
      <c r="D655" s="44"/>
      <c r="E655" s="42"/>
      <c r="F655" s="43" t="str">
        <f>IF(E655="", "", IF(AND(E655&gt;='PAINEL DE CONTROLE'!$C$5*(1-CONFIGURAÇÕES!$D$7), E655&lt;='PAINEL DE CONTROLE'!$C$5*(1+CONFIGURAÇÕES!$D$7)), "DENTRO", "FORA"))</f>
        <v/>
      </c>
    </row>
    <row r="656" spans="2:6" x14ac:dyDescent="0.2">
      <c r="B656" s="44"/>
      <c r="C656" s="44"/>
      <c r="D656" s="44"/>
      <c r="E656" s="42"/>
      <c r="F656" s="43" t="str">
        <f>IF(E656="", "", IF(AND(E656&gt;='PAINEL DE CONTROLE'!$C$5*(1-CONFIGURAÇÕES!$D$7), E656&lt;='PAINEL DE CONTROLE'!$C$5*(1+CONFIGURAÇÕES!$D$7)), "DENTRO", "FORA"))</f>
        <v/>
      </c>
    </row>
    <row r="657" spans="2:6" x14ac:dyDescent="0.2">
      <c r="B657" s="44"/>
      <c r="C657" s="44"/>
      <c r="D657" s="44"/>
      <c r="E657" s="42"/>
      <c r="F657" s="43" t="str">
        <f>IF(E657="", "", IF(AND(E657&gt;='PAINEL DE CONTROLE'!$C$5*(1-CONFIGURAÇÕES!$D$7), E657&lt;='PAINEL DE CONTROLE'!$C$5*(1+CONFIGURAÇÕES!$D$7)), "DENTRO", "FORA"))</f>
        <v/>
      </c>
    </row>
    <row r="658" spans="2:6" x14ac:dyDescent="0.2">
      <c r="B658" s="44"/>
      <c r="C658" s="44"/>
      <c r="D658" s="44"/>
      <c r="E658" s="42"/>
      <c r="F658" s="43" t="str">
        <f>IF(E658="", "", IF(AND(E658&gt;='PAINEL DE CONTROLE'!$C$5*(1-CONFIGURAÇÕES!$D$7), E658&lt;='PAINEL DE CONTROLE'!$C$5*(1+CONFIGURAÇÕES!$D$7)), "DENTRO", "FORA"))</f>
        <v/>
      </c>
    </row>
    <row r="659" spans="2:6" x14ac:dyDescent="0.2">
      <c r="B659" s="44"/>
      <c r="C659" s="44"/>
      <c r="D659" s="44"/>
      <c r="E659" s="42"/>
      <c r="F659" s="43" t="str">
        <f>IF(E659="", "", IF(AND(E659&gt;='PAINEL DE CONTROLE'!$C$5*(1-CONFIGURAÇÕES!$D$7), E659&lt;='PAINEL DE CONTROLE'!$C$5*(1+CONFIGURAÇÕES!$D$7)), "DENTRO", "FORA"))</f>
        <v/>
      </c>
    </row>
    <row r="660" spans="2:6" x14ac:dyDescent="0.2">
      <c r="B660" s="44"/>
      <c r="C660" s="44"/>
      <c r="D660" s="44"/>
      <c r="E660" s="42"/>
      <c r="F660" s="43" t="str">
        <f>IF(E660="", "", IF(AND(E660&gt;='PAINEL DE CONTROLE'!$C$5*(1-CONFIGURAÇÕES!$D$7), E660&lt;='PAINEL DE CONTROLE'!$C$5*(1+CONFIGURAÇÕES!$D$7)), "DENTRO", "FORA"))</f>
        <v/>
      </c>
    </row>
    <row r="661" spans="2:6" x14ac:dyDescent="0.2">
      <c r="B661" s="44"/>
      <c r="C661" s="44"/>
      <c r="D661" s="44"/>
      <c r="E661" s="42"/>
      <c r="F661" s="43" t="str">
        <f>IF(E661="", "", IF(AND(E661&gt;='PAINEL DE CONTROLE'!$C$5*(1-CONFIGURAÇÕES!$D$7), E661&lt;='PAINEL DE CONTROLE'!$C$5*(1+CONFIGURAÇÕES!$D$7)), "DENTRO", "FORA"))</f>
        <v/>
      </c>
    </row>
    <row r="662" spans="2:6" x14ac:dyDescent="0.2">
      <c r="B662" s="44"/>
      <c r="C662" s="44"/>
      <c r="D662" s="44"/>
      <c r="E662" s="42"/>
      <c r="F662" s="43" t="str">
        <f>IF(E662="", "", IF(AND(E662&gt;='PAINEL DE CONTROLE'!$C$5*(1-CONFIGURAÇÕES!$D$7), E662&lt;='PAINEL DE CONTROLE'!$C$5*(1+CONFIGURAÇÕES!$D$7)), "DENTRO", "FORA"))</f>
        <v/>
      </c>
    </row>
    <row r="663" spans="2:6" x14ac:dyDescent="0.2">
      <c r="B663" s="44"/>
      <c r="C663" s="44"/>
      <c r="D663" s="44"/>
      <c r="E663" s="42"/>
      <c r="F663" s="43" t="str">
        <f>IF(E663="", "", IF(AND(E663&gt;='PAINEL DE CONTROLE'!$C$5*(1-CONFIGURAÇÕES!$D$7), E663&lt;='PAINEL DE CONTROLE'!$C$5*(1+CONFIGURAÇÕES!$D$7)), "DENTRO", "FORA"))</f>
        <v/>
      </c>
    </row>
    <row r="664" spans="2:6" x14ac:dyDescent="0.2">
      <c r="B664" s="44"/>
      <c r="C664" s="44"/>
      <c r="D664" s="44"/>
      <c r="E664" s="42"/>
      <c r="F664" s="43" t="str">
        <f>IF(E664="", "", IF(AND(E664&gt;='PAINEL DE CONTROLE'!$C$5*(1-CONFIGURAÇÕES!$D$7), E664&lt;='PAINEL DE CONTROLE'!$C$5*(1+CONFIGURAÇÕES!$D$7)), "DENTRO", "FORA"))</f>
        <v/>
      </c>
    </row>
    <row r="665" spans="2:6" x14ac:dyDescent="0.2">
      <c r="B665" s="44"/>
      <c r="C665" s="44"/>
      <c r="D665" s="44"/>
      <c r="E665" s="42"/>
      <c r="F665" s="43" t="str">
        <f>IF(E665="", "", IF(AND(E665&gt;='PAINEL DE CONTROLE'!$C$5*(1-CONFIGURAÇÕES!$D$7), E665&lt;='PAINEL DE CONTROLE'!$C$5*(1+CONFIGURAÇÕES!$D$7)), "DENTRO", "FORA"))</f>
        <v/>
      </c>
    </row>
    <row r="666" spans="2:6" x14ac:dyDescent="0.2">
      <c r="B666" s="44"/>
      <c r="C666" s="44"/>
      <c r="D666" s="44"/>
      <c r="E666" s="42"/>
      <c r="F666" s="43" t="str">
        <f>IF(E666="", "", IF(AND(E666&gt;='PAINEL DE CONTROLE'!$C$5*(1-CONFIGURAÇÕES!$D$7), E666&lt;='PAINEL DE CONTROLE'!$C$5*(1+CONFIGURAÇÕES!$D$7)), "DENTRO", "FORA"))</f>
        <v/>
      </c>
    </row>
    <row r="667" spans="2:6" x14ac:dyDescent="0.2">
      <c r="B667" s="44"/>
      <c r="C667" s="44"/>
      <c r="D667" s="44"/>
      <c r="E667" s="42"/>
      <c r="F667" s="43" t="str">
        <f>IF(E667="", "", IF(AND(E667&gt;='PAINEL DE CONTROLE'!$C$5*(1-CONFIGURAÇÕES!$D$7), E667&lt;='PAINEL DE CONTROLE'!$C$5*(1+CONFIGURAÇÕES!$D$7)), "DENTRO", "FORA"))</f>
        <v/>
      </c>
    </row>
    <row r="668" spans="2:6" x14ac:dyDescent="0.2">
      <c r="B668" s="44"/>
      <c r="C668" s="44"/>
      <c r="D668" s="44"/>
      <c r="E668" s="42"/>
      <c r="F668" s="43" t="str">
        <f>IF(E668="", "", IF(AND(E668&gt;='PAINEL DE CONTROLE'!$C$5*(1-CONFIGURAÇÕES!$D$7), E668&lt;='PAINEL DE CONTROLE'!$C$5*(1+CONFIGURAÇÕES!$D$7)), "DENTRO", "FORA"))</f>
        <v/>
      </c>
    </row>
    <row r="669" spans="2:6" x14ac:dyDescent="0.2">
      <c r="B669" s="44"/>
      <c r="C669" s="44"/>
      <c r="D669" s="44"/>
      <c r="E669" s="42"/>
      <c r="F669" s="43" t="str">
        <f>IF(E669="", "", IF(AND(E669&gt;='PAINEL DE CONTROLE'!$C$5*(1-CONFIGURAÇÕES!$D$7), E669&lt;='PAINEL DE CONTROLE'!$C$5*(1+CONFIGURAÇÕES!$D$7)), "DENTRO", "FORA"))</f>
        <v/>
      </c>
    </row>
    <row r="670" spans="2:6" x14ac:dyDescent="0.2">
      <c r="B670" s="44"/>
      <c r="C670" s="44"/>
      <c r="D670" s="44"/>
      <c r="E670" s="42"/>
      <c r="F670" s="43" t="str">
        <f>IF(E670="", "", IF(AND(E670&gt;='PAINEL DE CONTROLE'!$C$5*(1-CONFIGURAÇÕES!$D$7), E670&lt;='PAINEL DE CONTROLE'!$C$5*(1+CONFIGURAÇÕES!$D$7)), "DENTRO", "FORA"))</f>
        <v/>
      </c>
    </row>
    <row r="671" spans="2:6" x14ac:dyDescent="0.2">
      <c r="B671" s="44"/>
      <c r="C671" s="44"/>
      <c r="D671" s="44"/>
      <c r="E671" s="42"/>
      <c r="F671" s="43" t="str">
        <f>IF(E671="", "", IF(AND(E671&gt;='PAINEL DE CONTROLE'!$C$5*(1-CONFIGURAÇÕES!$D$7), E671&lt;='PAINEL DE CONTROLE'!$C$5*(1+CONFIGURAÇÕES!$D$7)), "DENTRO", "FORA"))</f>
        <v/>
      </c>
    </row>
    <row r="672" spans="2:6" x14ac:dyDescent="0.2">
      <c r="B672" s="44"/>
      <c r="C672" s="44"/>
      <c r="D672" s="44"/>
      <c r="E672" s="42"/>
      <c r="F672" s="43" t="str">
        <f>IF(E672="", "", IF(AND(E672&gt;='PAINEL DE CONTROLE'!$C$5*(1-CONFIGURAÇÕES!$D$7), E672&lt;='PAINEL DE CONTROLE'!$C$5*(1+CONFIGURAÇÕES!$D$7)), "DENTRO", "FORA"))</f>
        <v/>
      </c>
    </row>
    <row r="673" spans="2:6" x14ac:dyDescent="0.2">
      <c r="B673" s="44"/>
      <c r="C673" s="44"/>
      <c r="D673" s="44"/>
      <c r="E673" s="42"/>
      <c r="F673" s="43" t="str">
        <f>IF(E673="", "", IF(AND(E673&gt;='PAINEL DE CONTROLE'!$C$5*(1-CONFIGURAÇÕES!$D$7), E673&lt;='PAINEL DE CONTROLE'!$C$5*(1+CONFIGURAÇÕES!$D$7)), "DENTRO", "FORA"))</f>
        <v/>
      </c>
    </row>
    <row r="674" spans="2:6" x14ac:dyDescent="0.2">
      <c r="B674" s="44"/>
      <c r="C674" s="44"/>
      <c r="D674" s="44"/>
      <c r="E674" s="42"/>
      <c r="F674" s="43" t="str">
        <f>IF(E674="", "", IF(AND(E674&gt;='PAINEL DE CONTROLE'!$C$5*(1-CONFIGURAÇÕES!$D$7), E674&lt;='PAINEL DE CONTROLE'!$C$5*(1+CONFIGURAÇÕES!$D$7)), "DENTRO", "FORA"))</f>
        <v/>
      </c>
    </row>
    <row r="675" spans="2:6" x14ac:dyDescent="0.2">
      <c r="B675" s="44"/>
      <c r="C675" s="44"/>
      <c r="D675" s="44"/>
      <c r="E675" s="42"/>
      <c r="F675" s="43" t="str">
        <f>IF(E675="", "", IF(AND(E675&gt;='PAINEL DE CONTROLE'!$C$5*(1-CONFIGURAÇÕES!$D$7), E675&lt;='PAINEL DE CONTROLE'!$C$5*(1+CONFIGURAÇÕES!$D$7)), "DENTRO", "FORA"))</f>
        <v/>
      </c>
    </row>
    <row r="676" spans="2:6" x14ac:dyDescent="0.2">
      <c r="B676" s="44"/>
      <c r="C676" s="44"/>
      <c r="D676" s="44"/>
      <c r="E676" s="42"/>
      <c r="F676" s="43" t="str">
        <f>IF(E676="", "", IF(AND(E676&gt;='PAINEL DE CONTROLE'!$C$5*(1-CONFIGURAÇÕES!$D$7), E676&lt;='PAINEL DE CONTROLE'!$C$5*(1+CONFIGURAÇÕES!$D$7)), "DENTRO", "FORA"))</f>
        <v/>
      </c>
    </row>
    <row r="677" spans="2:6" x14ac:dyDescent="0.2">
      <c r="B677" s="44"/>
      <c r="C677" s="44"/>
      <c r="D677" s="44"/>
      <c r="E677" s="42"/>
      <c r="F677" s="43" t="str">
        <f>IF(E677="", "", IF(AND(E677&gt;='PAINEL DE CONTROLE'!$C$5*(1-CONFIGURAÇÕES!$D$7), E677&lt;='PAINEL DE CONTROLE'!$C$5*(1+CONFIGURAÇÕES!$D$7)), "DENTRO", "FORA"))</f>
        <v/>
      </c>
    </row>
    <row r="678" spans="2:6" x14ac:dyDescent="0.2">
      <c r="B678" s="44"/>
      <c r="C678" s="44"/>
      <c r="D678" s="44"/>
      <c r="E678" s="42"/>
      <c r="F678" s="43" t="str">
        <f>IF(E678="", "", IF(AND(E678&gt;='PAINEL DE CONTROLE'!$C$5*(1-CONFIGURAÇÕES!$D$7), E678&lt;='PAINEL DE CONTROLE'!$C$5*(1+CONFIGURAÇÕES!$D$7)), "DENTRO", "FORA"))</f>
        <v/>
      </c>
    </row>
    <row r="679" spans="2:6" x14ac:dyDescent="0.2">
      <c r="B679" s="44"/>
      <c r="C679" s="44"/>
      <c r="D679" s="44"/>
      <c r="E679" s="42"/>
      <c r="F679" s="43" t="str">
        <f>IF(E679="", "", IF(AND(E679&gt;='PAINEL DE CONTROLE'!$C$5*(1-CONFIGURAÇÕES!$D$7), E679&lt;='PAINEL DE CONTROLE'!$C$5*(1+CONFIGURAÇÕES!$D$7)), "DENTRO", "FORA"))</f>
        <v/>
      </c>
    </row>
    <row r="680" spans="2:6" x14ac:dyDescent="0.2">
      <c r="B680" s="44"/>
      <c r="C680" s="44"/>
      <c r="D680" s="44"/>
      <c r="E680" s="42"/>
      <c r="F680" s="43" t="str">
        <f>IF(E680="", "", IF(AND(E680&gt;='PAINEL DE CONTROLE'!$C$5*(1-CONFIGURAÇÕES!$D$7), E680&lt;='PAINEL DE CONTROLE'!$C$5*(1+CONFIGURAÇÕES!$D$7)), "DENTRO", "FORA"))</f>
        <v/>
      </c>
    </row>
    <row r="681" spans="2:6" x14ac:dyDescent="0.2">
      <c r="B681" s="44"/>
      <c r="C681" s="44"/>
      <c r="D681" s="44"/>
      <c r="E681" s="42"/>
      <c r="F681" s="43" t="str">
        <f>IF(E681="", "", IF(AND(E681&gt;='PAINEL DE CONTROLE'!$C$5*(1-CONFIGURAÇÕES!$D$7), E681&lt;='PAINEL DE CONTROLE'!$C$5*(1+CONFIGURAÇÕES!$D$7)), "DENTRO", "FORA"))</f>
        <v/>
      </c>
    </row>
    <row r="682" spans="2:6" x14ac:dyDescent="0.2">
      <c r="B682" s="44"/>
      <c r="C682" s="44"/>
      <c r="D682" s="44"/>
      <c r="E682" s="42"/>
      <c r="F682" s="43" t="str">
        <f>IF(E682="", "", IF(AND(E682&gt;='PAINEL DE CONTROLE'!$C$5*(1-CONFIGURAÇÕES!$D$7), E682&lt;='PAINEL DE CONTROLE'!$C$5*(1+CONFIGURAÇÕES!$D$7)), "DENTRO", "FORA"))</f>
        <v/>
      </c>
    </row>
    <row r="683" spans="2:6" x14ac:dyDescent="0.2">
      <c r="B683" s="44"/>
      <c r="C683" s="44"/>
      <c r="D683" s="44"/>
      <c r="E683" s="42"/>
      <c r="F683" s="43" t="str">
        <f>IF(E683="", "", IF(AND(E683&gt;='PAINEL DE CONTROLE'!$C$5*(1-CONFIGURAÇÕES!$D$7), E683&lt;='PAINEL DE CONTROLE'!$C$5*(1+CONFIGURAÇÕES!$D$7)), "DENTRO", "FORA"))</f>
        <v/>
      </c>
    </row>
    <row r="684" spans="2:6" x14ac:dyDescent="0.2">
      <c r="B684" s="44"/>
      <c r="C684" s="44"/>
      <c r="D684" s="44"/>
      <c r="E684" s="42"/>
      <c r="F684" s="43" t="str">
        <f>IF(E684="", "", IF(AND(E684&gt;='PAINEL DE CONTROLE'!$C$5*(1-CONFIGURAÇÕES!$D$7), E684&lt;='PAINEL DE CONTROLE'!$C$5*(1+CONFIGURAÇÕES!$D$7)), "DENTRO", "FORA"))</f>
        <v/>
      </c>
    </row>
    <row r="685" spans="2:6" x14ac:dyDescent="0.2">
      <c r="B685" s="44"/>
      <c r="C685" s="44"/>
      <c r="D685" s="44"/>
      <c r="E685" s="42"/>
      <c r="F685" s="43" t="str">
        <f>IF(E685="", "", IF(AND(E685&gt;='PAINEL DE CONTROLE'!$C$5*(1-CONFIGURAÇÕES!$D$7), E685&lt;='PAINEL DE CONTROLE'!$C$5*(1+CONFIGURAÇÕES!$D$7)), "DENTRO", "FORA"))</f>
        <v/>
      </c>
    </row>
    <row r="686" spans="2:6" x14ac:dyDescent="0.2">
      <c r="B686" s="44"/>
      <c r="C686" s="44"/>
      <c r="D686" s="44"/>
      <c r="E686" s="42"/>
      <c r="F686" s="43" t="str">
        <f>IF(E686="", "", IF(AND(E686&gt;='PAINEL DE CONTROLE'!$C$5*(1-CONFIGURAÇÕES!$D$7), E686&lt;='PAINEL DE CONTROLE'!$C$5*(1+CONFIGURAÇÕES!$D$7)), "DENTRO", "FORA"))</f>
        <v/>
      </c>
    </row>
    <row r="687" spans="2:6" x14ac:dyDescent="0.2">
      <c r="B687" s="44"/>
      <c r="C687" s="44"/>
      <c r="D687" s="44"/>
      <c r="E687" s="42"/>
      <c r="F687" s="43" t="str">
        <f>IF(E687="", "", IF(AND(E687&gt;='PAINEL DE CONTROLE'!$C$5*(1-CONFIGURAÇÕES!$D$7), E687&lt;='PAINEL DE CONTROLE'!$C$5*(1+CONFIGURAÇÕES!$D$7)), "DENTRO", "FORA"))</f>
        <v/>
      </c>
    </row>
    <row r="688" spans="2:6" x14ac:dyDescent="0.2">
      <c r="B688" s="44"/>
      <c r="C688" s="44"/>
      <c r="D688" s="44"/>
      <c r="E688" s="42"/>
      <c r="F688" s="43" t="str">
        <f>IF(E688="", "", IF(AND(E688&gt;='PAINEL DE CONTROLE'!$C$5*(1-CONFIGURAÇÕES!$D$7), E688&lt;='PAINEL DE CONTROLE'!$C$5*(1+CONFIGURAÇÕES!$D$7)), "DENTRO", "FORA"))</f>
        <v/>
      </c>
    </row>
    <row r="689" spans="2:6" x14ac:dyDescent="0.2">
      <c r="B689" s="44"/>
      <c r="C689" s="44"/>
      <c r="D689" s="44"/>
      <c r="E689" s="42"/>
      <c r="F689" s="43" t="str">
        <f>IF(E689="", "", IF(AND(E689&gt;='PAINEL DE CONTROLE'!$C$5*(1-CONFIGURAÇÕES!$D$7), E689&lt;='PAINEL DE CONTROLE'!$C$5*(1+CONFIGURAÇÕES!$D$7)), "DENTRO", "FORA"))</f>
        <v/>
      </c>
    </row>
    <row r="690" spans="2:6" x14ac:dyDescent="0.2">
      <c r="B690" s="44"/>
      <c r="C690" s="44"/>
      <c r="D690" s="44"/>
      <c r="E690" s="42"/>
      <c r="F690" s="43" t="str">
        <f>IF(E690="", "", IF(AND(E690&gt;='PAINEL DE CONTROLE'!$C$5*(1-CONFIGURAÇÕES!$D$7), E690&lt;='PAINEL DE CONTROLE'!$C$5*(1+CONFIGURAÇÕES!$D$7)), "DENTRO", "FORA"))</f>
        <v/>
      </c>
    </row>
    <row r="691" spans="2:6" x14ac:dyDescent="0.2">
      <c r="B691" s="44"/>
      <c r="C691" s="44"/>
      <c r="D691" s="44"/>
      <c r="E691" s="42"/>
      <c r="F691" s="43" t="str">
        <f>IF(E691="", "", IF(AND(E691&gt;='PAINEL DE CONTROLE'!$C$5*(1-CONFIGURAÇÕES!$D$7), E691&lt;='PAINEL DE CONTROLE'!$C$5*(1+CONFIGURAÇÕES!$D$7)), "DENTRO", "FORA"))</f>
        <v/>
      </c>
    </row>
    <row r="692" spans="2:6" x14ac:dyDescent="0.2">
      <c r="B692" s="44"/>
      <c r="C692" s="44"/>
      <c r="D692" s="44"/>
      <c r="E692" s="42"/>
      <c r="F692" s="43" t="str">
        <f>IF(E692="", "", IF(AND(E692&gt;='PAINEL DE CONTROLE'!$C$5*(1-CONFIGURAÇÕES!$D$7), E692&lt;='PAINEL DE CONTROLE'!$C$5*(1+CONFIGURAÇÕES!$D$7)), "DENTRO", "FORA"))</f>
        <v/>
      </c>
    </row>
    <row r="693" spans="2:6" x14ac:dyDescent="0.2">
      <c r="B693" s="44"/>
      <c r="C693" s="44"/>
      <c r="D693" s="44"/>
      <c r="E693" s="42"/>
      <c r="F693" s="43" t="str">
        <f>IF(E693="", "", IF(AND(E693&gt;='PAINEL DE CONTROLE'!$C$5*(1-CONFIGURAÇÕES!$D$7), E693&lt;='PAINEL DE CONTROLE'!$C$5*(1+CONFIGURAÇÕES!$D$7)), "DENTRO", "FORA"))</f>
        <v/>
      </c>
    </row>
    <row r="694" spans="2:6" x14ac:dyDescent="0.2">
      <c r="B694" s="44"/>
      <c r="C694" s="44"/>
      <c r="D694" s="44"/>
      <c r="E694" s="42"/>
      <c r="F694" s="43" t="str">
        <f>IF(E694="", "", IF(AND(E694&gt;='PAINEL DE CONTROLE'!$C$5*(1-CONFIGURAÇÕES!$D$7), E694&lt;='PAINEL DE CONTROLE'!$C$5*(1+CONFIGURAÇÕES!$D$7)), "DENTRO", "FORA"))</f>
        <v/>
      </c>
    </row>
    <row r="695" spans="2:6" x14ac:dyDescent="0.2">
      <c r="B695" s="44"/>
      <c r="C695" s="44"/>
      <c r="D695" s="44"/>
      <c r="E695" s="42"/>
      <c r="F695" s="43" t="str">
        <f>IF(E695="", "", IF(AND(E695&gt;='PAINEL DE CONTROLE'!$C$5*(1-CONFIGURAÇÕES!$D$7), E695&lt;='PAINEL DE CONTROLE'!$C$5*(1+CONFIGURAÇÕES!$D$7)), "DENTRO", "FORA"))</f>
        <v/>
      </c>
    </row>
    <row r="696" spans="2:6" x14ac:dyDescent="0.2">
      <c r="B696" s="44"/>
      <c r="C696" s="44"/>
      <c r="D696" s="44"/>
      <c r="E696" s="42"/>
      <c r="F696" s="43" t="str">
        <f>IF(E696="", "", IF(AND(E696&gt;='PAINEL DE CONTROLE'!$C$5*(1-CONFIGURAÇÕES!$D$7), E696&lt;='PAINEL DE CONTROLE'!$C$5*(1+CONFIGURAÇÕES!$D$7)), "DENTRO", "FORA"))</f>
        <v/>
      </c>
    </row>
    <row r="697" spans="2:6" x14ac:dyDescent="0.2">
      <c r="B697" s="44"/>
      <c r="C697" s="44"/>
      <c r="D697" s="44"/>
      <c r="E697" s="42"/>
      <c r="F697" s="43" t="str">
        <f>IF(E697="", "", IF(AND(E697&gt;='PAINEL DE CONTROLE'!$C$5*(1-CONFIGURAÇÕES!$D$7), E697&lt;='PAINEL DE CONTROLE'!$C$5*(1+CONFIGURAÇÕES!$D$7)), "DENTRO", "FORA"))</f>
        <v/>
      </c>
    </row>
    <row r="698" spans="2:6" x14ac:dyDescent="0.2">
      <c r="B698" s="44"/>
      <c r="C698" s="44"/>
      <c r="D698" s="44"/>
      <c r="E698" s="42"/>
      <c r="F698" s="43" t="str">
        <f>IF(E698="", "", IF(AND(E698&gt;='PAINEL DE CONTROLE'!$C$5*(1-CONFIGURAÇÕES!$D$7), E698&lt;='PAINEL DE CONTROLE'!$C$5*(1+CONFIGURAÇÕES!$D$7)), "DENTRO", "FORA"))</f>
        <v/>
      </c>
    </row>
    <row r="699" spans="2:6" x14ac:dyDescent="0.2">
      <c r="B699" s="44"/>
      <c r="C699" s="44"/>
      <c r="D699" s="44"/>
      <c r="E699" s="42"/>
      <c r="F699" s="43" t="str">
        <f>IF(E699="", "", IF(AND(E699&gt;='PAINEL DE CONTROLE'!$C$5*(1-CONFIGURAÇÕES!$D$7), E699&lt;='PAINEL DE CONTROLE'!$C$5*(1+CONFIGURAÇÕES!$D$7)), "DENTRO", "FORA"))</f>
        <v/>
      </c>
    </row>
    <row r="700" spans="2:6" x14ac:dyDescent="0.2">
      <c r="B700" s="44"/>
      <c r="C700" s="44"/>
      <c r="D700" s="44"/>
      <c r="E700" s="42"/>
      <c r="F700" s="43" t="str">
        <f>IF(E700="", "", IF(AND(E700&gt;='PAINEL DE CONTROLE'!$C$5*(1-CONFIGURAÇÕES!$D$7), E700&lt;='PAINEL DE CONTROLE'!$C$5*(1+CONFIGURAÇÕES!$D$7)), "DENTRO", "FORA"))</f>
        <v/>
      </c>
    </row>
    <row r="701" spans="2:6" x14ac:dyDescent="0.2">
      <c r="B701" s="44"/>
      <c r="C701" s="44"/>
      <c r="D701" s="44"/>
      <c r="E701" s="42"/>
      <c r="F701" s="43" t="str">
        <f>IF(E701="", "", IF(AND(E701&gt;='PAINEL DE CONTROLE'!$C$5*(1-CONFIGURAÇÕES!$D$7), E701&lt;='PAINEL DE CONTROLE'!$C$5*(1+CONFIGURAÇÕES!$D$7)), "DENTRO", "FORA"))</f>
        <v/>
      </c>
    </row>
    <row r="702" spans="2:6" x14ac:dyDescent="0.2">
      <c r="B702" s="44"/>
      <c r="C702" s="44"/>
      <c r="D702" s="44"/>
      <c r="E702" s="42"/>
      <c r="F702" s="43" t="str">
        <f>IF(E702="", "", IF(AND(E702&gt;='PAINEL DE CONTROLE'!$C$5*(1-CONFIGURAÇÕES!$D$7), E702&lt;='PAINEL DE CONTROLE'!$C$5*(1+CONFIGURAÇÕES!$D$7)), "DENTRO", "FORA"))</f>
        <v/>
      </c>
    </row>
    <row r="703" spans="2:6" x14ac:dyDescent="0.2">
      <c r="B703" s="44"/>
      <c r="C703" s="44"/>
      <c r="D703" s="44"/>
      <c r="E703" s="42"/>
      <c r="F703" s="43" t="str">
        <f>IF(E703="", "", IF(AND(E703&gt;='PAINEL DE CONTROLE'!$C$5*(1-CONFIGURAÇÕES!$D$7), E703&lt;='PAINEL DE CONTROLE'!$C$5*(1+CONFIGURAÇÕES!$D$7)), "DENTRO", "FORA"))</f>
        <v/>
      </c>
    </row>
    <row r="704" spans="2:6" x14ac:dyDescent="0.2">
      <c r="B704" s="44"/>
      <c r="C704" s="44"/>
      <c r="D704" s="44"/>
      <c r="E704" s="42"/>
      <c r="F704" s="43" t="str">
        <f>IF(E704="", "", IF(AND(E704&gt;='PAINEL DE CONTROLE'!$C$5*(1-CONFIGURAÇÕES!$D$7), E704&lt;='PAINEL DE CONTROLE'!$C$5*(1+CONFIGURAÇÕES!$D$7)), "DENTRO", "FORA"))</f>
        <v/>
      </c>
    </row>
    <row r="705" spans="2:6" x14ac:dyDescent="0.2">
      <c r="B705" s="44"/>
      <c r="C705" s="44"/>
      <c r="D705" s="44"/>
      <c r="E705" s="42"/>
      <c r="F705" s="43" t="str">
        <f>IF(E705="", "", IF(AND(E705&gt;='PAINEL DE CONTROLE'!$C$5*(1-CONFIGURAÇÕES!$D$7), E705&lt;='PAINEL DE CONTROLE'!$C$5*(1+CONFIGURAÇÕES!$D$7)), "DENTRO", "FORA"))</f>
        <v/>
      </c>
    </row>
    <row r="706" spans="2:6" x14ac:dyDescent="0.2">
      <c r="B706" s="44"/>
      <c r="C706" s="44"/>
      <c r="D706" s="44"/>
      <c r="E706" s="42"/>
      <c r="F706" s="43" t="str">
        <f>IF(E706="", "", IF(AND(E706&gt;='PAINEL DE CONTROLE'!$C$5*(1-CONFIGURAÇÕES!$D$7), E706&lt;='PAINEL DE CONTROLE'!$C$5*(1+CONFIGURAÇÕES!$D$7)), "DENTRO", "FORA"))</f>
        <v/>
      </c>
    </row>
    <row r="707" spans="2:6" x14ac:dyDescent="0.2">
      <c r="B707" s="44"/>
      <c r="C707" s="44"/>
      <c r="D707" s="44"/>
      <c r="E707" s="42"/>
      <c r="F707" s="43" t="str">
        <f>IF(E707="", "", IF(AND(E707&gt;='PAINEL DE CONTROLE'!$C$5*(1-CONFIGURAÇÕES!$D$7), E707&lt;='PAINEL DE CONTROLE'!$C$5*(1+CONFIGURAÇÕES!$D$7)), "DENTRO", "FORA"))</f>
        <v/>
      </c>
    </row>
    <row r="708" spans="2:6" x14ac:dyDescent="0.2">
      <c r="B708" s="44"/>
      <c r="C708" s="44"/>
      <c r="D708" s="44"/>
      <c r="E708" s="42"/>
      <c r="F708" s="43" t="str">
        <f>IF(E708="", "", IF(AND(E708&gt;='PAINEL DE CONTROLE'!$C$5*(1-CONFIGURAÇÕES!$D$7), E708&lt;='PAINEL DE CONTROLE'!$C$5*(1+CONFIGURAÇÕES!$D$7)), "DENTRO", "FORA"))</f>
        <v/>
      </c>
    </row>
    <row r="709" spans="2:6" x14ac:dyDescent="0.2">
      <c r="B709" s="44"/>
      <c r="C709" s="44"/>
      <c r="D709" s="44"/>
      <c r="E709" s="42"/>
      <c r="F709" s="43" t="str">
        <f>IF(E709="", "", IF(AND(E709&gt;='PAINEL DE CONTROLE'!$C$5*(1-CONFIGURAÇÕES!$D$7), E709&lt;='PAINEL DE CONTROLE'!$C$5*(1+CONFIGURAÇÕES!$D$7)), "DENTRO", "FORA"))</f>
        <v/>
      </c>
    </row>
    <row r="710" spans="2:6" x14ac:dyDescent="0.2">
      <c r="B710" s="44"/>
      <c r="C710" s="44"/>
      <c r="D710" s="44"/>
      <c r="E710" s="42"/>
      <c r="F710" s="43" t="str">
        <f>IF(E710="", "", IF(AND(E710&gt;='PAINEL DE CONTROLE'!$C$5*(1-CONFIGURAÇÕES!$D$7), E710&lt;='PAINEL DE CONTROLE'!$C$5*(1+CONFIGURAÇÕES!$D$7)), "DENTRO", "FORA"))</f>
        <v/>
      </c>
    </row>
    <row r="711" spans="2:6" x14ac:dyDescent="0.2">
      <c r="B711" s="44"/>
      <c r="C711" s="44"/>
      <c r="D711" s="44"/>
      <c r="E711" s="42"/>
      <c r="F711" s="43" t="str">
        <f>IF(E711="", "", IF(AND(E711&gt;='PAINEL DE CONTROLE'!$C$5*(1-CONFIGURAÇÕES!$D$7), E711&lt;='PAINEL DE CONTROLE'!$C$5*(1+CONFIGURAÇÕES!$D$7)), "DENTRO", "FORA"))</f>
        <v/>
      </c>
    </row>
    <row r="712" spans="2:6" x14ac:dyDescent="0.2">
      <c r="B712" s="44"/>
      <c r="C712" s="44"/>
      <c r="D712" s="44"/>
      <c r="E712" s="42"/>
      <c r="F712" s="43" t="str">
        <f>IF(E712="", "", IF(AND(E712&gt;='PAINEL DE CONTROLE'!$C$5*(1-CONFIGURAÇÕES!$D$7), E712&lt;='PAINEL DE CONTROLE'!$C$5*(1+CONFIGURAÇÕES!$D$7)), "DENTRO", "FORA"))</f>
        <v/>
      </c>
    </row>
    <row r="713" spans="2:6" x14ac:dyDescent="0.2">
      <c r="B713" s="44"/>
      <c r="C713" s="44"/>
      <c r="D713" s="44"/>
      <c r="E713" s="42"/>
      <c r="F713" s="43" t="str">
        <f>IF(E713="", "", IF(AND(E713&gt;='PAINEL DE CONTROLE'!$C$5*(1-CONFIGURAÇÕES!$D$7), E713&lt;='PAINEL DE CONTROLE'!$C$5*(1+CONFIGURAÇÕES!$D$7)), "DENTRO", "FORA"))</f>
        <v/>
      </c>
    </row>
    <row r="714" spans="2:6" x14ac:dyDescent="0.2">
      <c r="B714" s="44"/>
      <c r="C714" s="44"/>
      <c r="D714" s="44"/>
      <c r="E714" s="42"/>
      <c r="F714" s="43" t="str">
        <f>IF(E714="", "", IF(AND(E714&gt;='PAINEL DE CONTROLE'!$C$5*(1-CONFIGURAÇÕES!$D$7), E714&lt;='PAINEL DE CONTROLE'!$C$5*(1+CONFIGURAÇÕES!$D$7)), "DENTRO", "FORA"))</f>
        <v/>
      </c>
    </row>
    <row r="715" spans="2:6" x14ac:dyDescent="0.2">
      <c r="B715" s="44"/>
      <c r="C715" s="44"/>
      <c r="D715" s="44"/>
      <c r="E715" s="42"/>
      <c r="F715" s="43" t="str">
        <f>IF(E715="", "", IF(AND(E715&gt;='PAINEL DE CONTROLE'!$C$5*(1-CONFIGURAÇÕES!$D$7), E715&lt;='PAINEL DE CONTROLE'!$C$5*(1+CONFIGURAÇÕES!$D$7)), "DENTRO", "FORA"))</f>
        <v/>
      </c>
    </row>
    <row r="716" spans="2:6" x14ac:dyDescent="0.2">
      <c r="B716" s="44"/>
      <c r="C716" s="44"/>
      <c r="D716" s="44"/>
      <c r="E716" s="42"/>
      <c r="F716" s="43" t="str">
        <f>IF(E716="", "", IF(AND(E716&gt;='PAINEL DE CONTROLE'!$C$5*(1-CONFIGURAÇÕES!$D$7), E716&lt;='PAINEL DE CONTROLE'!$C$5*(1+CONFIGURAÇÕES!$D$7)), "DENTRO", "FORA"))</f>
        <v/>
      </c>
    </row>
    <row r="717" spans="2:6" x14ac:dyDescent="0.2">
      <c r="B717" s="44"/>
      <c r="C717" s="44"/>
      <c r="D717" s="44"/>
      <c r="E717" s="42"/>
      <c r="F717" s="43" t="str">
        <f>IF(E717="", "", IF(AND(E717&gt;='PAINEL DE CONTROLE'!$C$5*(1-CONFIGURAÇÕES!$D$7), E717&lt;='PAINEL DE CONTROLE'!$C$5*(1+CONFIGURAÇÕES!$D$7)), "DENTRO", "FORA"))</f>
        <v/>
      </c>
    </row>
    <row r="718" spans="2:6" x14ac:dyDescent="0.2">
      <c r="B718" s="44"/>
      <c r="C718" s="44"/>
      <c r="D718" s="44"/>
      <c r="E718" s="42"/>
      <c r="F718" s="43" t="str">
        <f>IF(E718="", "", IF(AND(E718&gt;='PAINEL DE CONTROLE'!$C$5*(1-CONFIGURAÇÕES!$D$7), E718&lt;='PAINEL DE CONTROLE'!$C$5*(1+CONFIGURAÇÕES!$D$7)), "DENTRO", "FORA"))</f>
        <v/>
      </c>
    </row>
    <row r="719" spans="2:6" x14ac:dyDescent="0.2">
      <c r="B719" s="44"/>
      <c r="C719" s="44"/>
      <c r="D719" s="44"/>
      <c r="E719" s="42"/>
      <c r="F719" s="43" t="str">
        <f>IF(E719="", "", IF(AND(E719&gt;='PAINEL DE CONTROLE'!$C$5*(1-CONFIGURAÇÕES!$D$7), E719&lt;='PAINEL DE CONTROLE'!$C$5*(1+CONFIGURAÇÕES!$D$7)), "DENTRO", "FORA"))</f>
        <v/>
      </c>
    </row>
    <row r="720" spans="2:6" x14ac:dyDescent="0.2">
      <c r="B720" s="44"/>
      <c r="C720" s="44"/>
      <c r="D720" s="44"/>
      <c r="E720" s="42"/>
      <c r="F720" s="43" t="str">
        <f>IF(E720="", "", IF(AND(E720&gt;='PAINEL DE CONTROLE'!$C$5*(1-CONFIGURAÇÕES!$D$7), E720&lt;='PAINEL DE CONTROLE'!$C$5*(1+CONFIGURAÇÕES!$D$7)), "DENTRO", "FORA"))</f>
        <v/>
      </c>
    </row>
    <row r="721" spans="2:6" x14ac:dyDescent="0.2">
      <c r="B721" s="44"/>
      <c r="C721" s="44"/>
      <c r="D721" s="44"/>
      <c r="E721" s="42"/>
      <c r="F721" s="43" t="str">
        <f>IF(E721="", "", IF(AND(E721&gt;='PAINEL DE CONTROLE'!$C$5*(1-CONFIGURAÇÕES!$D$7), E721&lt;='PAINEL DE CONTROLE'!$C$5*(1+CONFIGURAÇÕES!$D$7)), "DENTRO", "FORA"))</f>
        <v/>
      </c>
    </row>
    <row r="722" spans="2:6" x14ac:dyDescent="0.2">
      <c r="B722" s="44"/>
      <c r="C722" s="44"/>
      <c r="D722" s="44"/>
      <c r="E722" s="42"/>
      <c r="F722" s="43" t="str">
        <f>IF(E722="", "", IF(AND(E722&gt;='PAINEL DE CONTROLE'!$C$5*(1-CONFIGURAÇÕES!$D$7), E722&lt;='PAINEL DE CONTROLE'!$C$5*(1+CONFIGURAÇÕES!$D$7)), "DENTRO", "FORA"))</f>
        <v/>
      </c>
    </row>
    <row r="723" spans="2:6" x14ac:dyDescent="0.2">
      <c r="B723" s="44"/>
      <c r="C723" s="44"/>
      <c r="D723" s="44"/>
      <c r="E723" s="42"/>
      <c r="F723" s="43" t="str">
        <f>IF(E723="", "", IF(AND(E723&gt;='PAINEL DE CONTROLE'!$C$5*(1-CONFIGURAÇÕES!$D$7), E723&lt;='PAINEL DE CONTROLE'!$C$5*(1+CONFIGURAÇÕES!$D$7)), "DENTRO", "FORA"))</f>
        <v/>
      </c>
    </row>
    <row r="724" spans="2:6" x14ac:dyDescent="0.2">
      <c r="B724" s="44"/>
      <c r="C724" s="44"/>
      <c r="D724" s="44"/>
      <c r="E724" s="42"/>
      <c r="F724" s="43" t="str">
        <f>IF(E724="", "", IF(AND(E724&gt;='PAINEL DE CONTROLE'!$C$5*(1-CONFIGURAÇÕES!$D$7), E724&lt;='PAINEL DE CONTROLE'!$C$5*(1+CONFIGURAÇÕES!$D$7)), "DENTRO", "FORA"))</f>
        <v/>
      </c>
    </row>
    <row r="725" spans="2:6" x14ac:dyDescent="0.2">
      <c r="B725" s="44"/>
      <c r="C725" s="44"/>
      <c r="D725" s="44"/>
      <c r="E725" s="42"/>
      <c r="F725" s="43" t="str">
        <f>IF(E725="", "", IF(AND(E725&gt;='PAINEL DE CONTROLE'!$C$5*(1-CONFIGURAÇÕES!$D$7), E725&lt;='PAINEL DE CONTROLE'!$C$5*(1+CONFIGURAÇÕES!$D$7)), "DENTRO", "FORA"))</f>
        <v/>
      </c>
    </row>
    <row r="726" spans="2:6" x14ac:dyDescent="0.2">
      <c r="B726" s="44"/>
      <c r="C726" s="44"/>
      <c r="D726" s="44"/>
      <c r="E726" s="42"/>
      <c r="F726" s="43" t="str">
        <f>IF(E726="", "", IF(AND(E726&gt;='PAINEL DE CONTROLE'!$C$5*(1-CONFIGURAÇÕES!$D$7), E726&lt;='PAINEL DE CONTROLE'!$C$5*(1+CONFIGURAÇÕES!$D$7)), "DENTRO", "FORA"))</f>
        <v/>
      </c>
    </row>
    <row r="727" spans="2:6" x14ac:dyDescent="0.2">
      <c r="B727" s="44"/>
      <c r="C727" s="44"/>
      <c r="D727" s="44"/>
      <c r="E727" s="42"/>
      <c r="F727" s="43" t="str">
        <f>IF(E727="", "", IF(AND(E727&gt;='PAINEL DE CONTROLE'!$C$5*(1-CONFIGURAÇÕES!$D$7), E727&lt;='PAINEL DE CONTROLE'!$C$5*(1+CONFIGURAÇÕES!$D$7)), "DENTRO", "FORA"))</f>
        <v/>
      </c>
    </row>
    <row r="728" spans="2:6" x14ac:dyDescent="0.2">
      <c r="B728" s="44"/>
      <c r="C728" s="44"/>
      <c r="D728" s="44"/>
      <c r="E728" s="42"/>
      <c r="F728" s="43" t="str">
        <f>IF(E728="", "", IF(AND(E728&gt;='PAINEL DE CONTROLE'!$C$5*(1-CONFIGURAÇÕES!$D$7), E728&lt;='PAINEL DE CONTROLE'!$C$5*(1+CONFIGURAÇÕES!$D$7)), "DENTRO", "FORA"))</f>
        <v/>
      </c>
    </row>
    <row r="729" spans="2:6" x14ac:dyDescent="0.2">
      <c r="B729" s="44"/>
      <c r="C729" s="44"/>
      <c r="D729" s="44"/>
      <c r="E729" s="42"/>
      <c r="F729" s="43" t="str">
        <f>IF(E729="", "", IF(AND(E729&gt;='PAINEL DE CONTROLE'!$C$5*(1-CONFIGURAÇÕES!$D$7), E729&lt;='PAINEL DE CONTROLE'!$C$5*(1+CONFIGURAÇÕES!$D$7)), "DENTRO", "FORA"))</f>
        <v/>
      </c>
    </row>
    <row r="730" spans="2:6" x14ac:dyDescent="0.2">
      <c r="B730" s="44"/>
      <c r="C730" s="44"/>
      <c r="D730" s="44"/>
      <c r="E730" s="42"/>
      <c r="F730" s="43" t="str">
        <f>IF(E730="", "", IF(AND(E730&gt;='PAINEL DE CONTROLE'!$C$5*(1-CONFIGURAÇÕES!$D$7), E730&lt;='PAINEL DE CONTROLE'!$C$5*(1+CONFIGURAÇÕES!$D$7)), "DENTRO", "FORA"))</f>
        <v/>
      </c>
    </row>
    <row r="731" spans="2:6" x14ac:dyDescent="0.2">
      <c r="B731" s="44"/>
      <c r="C731" s="44"/>
      <c r="D731" s="44"/>
      <c r="E731" s="42"/>
      <c r="F731" s="43" t="str">
        <f>IF(E731="", "", IF(AND(E731&gt;='PAINEL DE CONTROLE'!$C$5*(1-CONFIGURAÇÕES!$D$7), E731&lt;='PAINEL DE CONTROLE'!$C$5*(1+CONFIGURAÇÕES!$D$7)), "DENTRO", "FORA"))</f>
        <v/>
      </c>
    </row>
    <row r="732" spans="2:6" x14ac:dyDescent="0.2">
      <c r="B732" s="44"/>
      <c r="C732" s="44"/>
      <c r="D732" s="44"/>
      <c r="E732" s="42"/>
      <c r="F732" s="43" t="str">
        <f>IF(E732="", "", IF(AND(E732&gt;='PAINEL DE CONTROLE'!$C$5*(1-CONFIGURAÇÕES!$D$7), E732&lt;='PAINEL DE CONTROLE'!$C$5*(1+CONFIGURAÇÕES!$D$7)), "DENTRO", "FORA"))</f>
        <v/>
      </c>
    </row>
    <row r="733" spans="2:6" x14ac:dyDescent="0.2">
      <c r="B733" s="44"/>
      <c r="C733" s="44"/>
      <c r="D733" s="44"/>
      <c r="E733" s="42"/>
      <c r="F733" s="43" t="str">
        <f>IF(E733="", "", IF(AND(E733&gt;='PAINEL DE CONTROLE'!$C$5*(1-CONFIGURAÇÕES!$D$7), E733&lt;='PAINEL DE CONTROLE'!$C$5*(1+CONFIGURAÇÕES!$D$7)), "DENTRO", "FORA"))</f>
        <v/>
      </c>
    </row>
    <row r="734" spans="2:6" x14ac:dyDescent="0.2">
      <c r="B734" s="44"/>
      <c r="C734" s="44"/>
      <c r="D734" s="44"/>
      <c r="E734" s="42"/>
      <c r="F734" s="43" t="str">
        <f>IF(E734="", "", IF(AND(E734&gt;='PAINEL DE CONTROLE'!$C$5*(1-CONFIGURAÇÕES!$D$7), E734&lt;='PAINEL DE CONTROLE'!$C$5*(1+CONFIGURAÇÕES!$D$7)), "DENTRO", "FORA"))</f>
        <v/>
      </c>
    </row>
    <row r="735" spans="2:6" x14ac:dyDescent="0.2">
      <c r="B735" s="44"/>
      <c r="C735" s="44"/>
      <c r="D735" s="44"/>
      <c r="E735" s="42"/>
      <c r="F735" s="43" t="str">
        <f>IF(E735="", "", IF(AND(E735&gt;='PAINEL DE CONTROLE'!$C$5*(1-CONFIGURAÇÕES!$D$7), E735&lt;='PAINEL DE CONTROLE'!$C$5*(1+CONFIGURAÇÕES!$D$7)), "DENTRO", "FORA"))</f>
        <v/>
      </c>
    </row>
    <row r="736" spans="2:6" x14ac:dyDescent="0.2">
      <c r="B736" s="44"/>
      <c r="C736" s="44"/>
      <c r="D736" s="44"/>
      <c r="E736" s="42"/>
      <c r="F736" s="43" t="str">
        <f>IF(E736="", "", IF(AND(E736&gt;='PAINEL DE CONTROLE'!$C$5*(1-CONFIGURAÇÕES!$D$7), E736&lt;='PAINEL DE CONTROLE'!$C$5*(1+CONFIGURAÇÕES!$D$7)), "DENTRO", "FORA"))</f>
        <v/>
      </c>
    </row>
    <row r="737" spans="2:6" x14ac:dyDescent="0.2">
      <c r="B737" s="44"/>
      <c r="C737" s="44"/>
      <c r="D737" s="44"/>
      <c r="E737" s="42"/>
      <c r="F737" s="43" t="str">
        <f>IF(E737="", "", IF(AND(E737&gt;='PAINEL DE CONTROLE'!$C$5*(1-CONFIGURAÇÕES!$D$7), E737&lt;='PAINEL DE CONTROLE'!$C$5*(1+CONFIGURAÇÕES!$D$7)), "DENTRO", "FORA"))</f>
        <v/>
      </c>
    </row>
    <row r="738" spans="2:6" x14ac:dyDescent="0.2">
      <c r="B738" s="44"/>
      <c r="C738" s="44"/>
      <c r="D738" s="44"/>
      <c r="E738" s="42"/>
      <c r="F738" s="43" t="str">
        <f>IF(E738="", "", IF(AND(E738&gt;='PAINEL DE CONTROLE'!$C$5*(1-CONFIGURAÇÕES!$D$7), E738&lt;='PAINEL DE CONTROLE'!$C$5*(1+CONFIGURAÇÕES!$D$7)), "DENTRO", "FORA"))</f>
        <v/>
      </c>
    </row>
    <row r="739" spans="2:6" x14ac:dyDescent="0.2">
      <c r="B739" s="44"/>
      <c r="C739" s="44"/>
      <c r="D739" s="44"/>
      <c r="E739" s="42"/>
      <c r="F739" s="43" t="str">
        <f>IF(E739="", "", IF(AND(E739&gt;='PAINEL DE CONTROLE'!$C$5*(1-CONFIGURAÇÕES!$D$7), E739&lt;='PAINEL DE CONTROLE'!$C$5*(1+CONFIGURAÇÕES!$D$7)), "DENTRO", "FORA"))</f>
        <v/>
      </c>
    </row>
    <row r="740" spans="2:6" x14ac:dyDescent="0.2">
      <c r="B740" s="44"/>
      <c r="C740" s="44"/>
      <c r="D740" s="44"/>
      <c r="E740" s="42"/>
      <c r="F740" s="43" t="str">
        <f>IF(E740="", "", IF(AND(E740&gt;='PAINEL DE CONTROLE'!$C$5*(1-CONFIGURAÇÕES!$D$7), E740&lt;='PAINEL DE CONTROLE'!$C$5*(1+CONFIGURAÇÕES!$D$7)), "DENTRO", "FORA"))</f>
        <v/>
      </c>
    </row>
    <row r="741" spans="2:6" x14ac:dyDescent="0.2">
      <c r="B741" s="44"/>
      <c r="C741" s="44"/>
      <c r="D741" s="44"/>
      <c r="E741" s="42"/>
      <c r="F741" s="43" t="str">
        <f>IF(E741="", "", IF(AND(E741&gt;='PAINEL DE CONTROLE'!$C$5*(1-CONFIGURAÇÕES!$D$7), E741&lt;='PAINEL DE CONTROLE'!$C$5*(1+CONFIGURAÇÕES!$D$7)), "DENTRO", "FORA"))</f>
        <v/>
      </c>
    </row>
    <row r="742" spans="2:6" x14ac:dyDescent="0.2">
      <c r="B742" s="44"/>
      <c r="C742" s="44"/>
      <c r="D742" s="44"/>
      <c r="E742" s="42"/>
      <c r="F742" s="43" t="str">
        <f>IF(E742="", "", IF(AND(E742&gt;='PAINEL DE CONTROLE'!$C$5*(1-CONFIGURAÇÕES!$D$7), E742&lt;='PAINEL DE CONTROLE'!$C$5*(1+CONFIGURAÇÕES!$D$7)), "DENTRO", "FORA"))</f>
        <v/>
      </c>
    </row>
    <row r="743" spans="2:6" x14ac:dyDescent="0.2">
      <c r="B743" s="44"/>
      <c r="C743" s="44"/>
      <c r="D743" s="44"/>
      <c r="E743" s="42"/>
      <c r="F743" s="43" t="str">
        <f>IF(E743="", "", IF(AND(E743&gt;='PAINEL DE CONTROLE'!$C$5*(1-CONFIGURAÇÕES!$D$7), E743&lt;='PAINEL DE CONTROLE'!$C$5*(1+CONFIGURAÇÕES!$D$7)), "DENTRO", "FORA"))</f>
        <v/>
      </c>
    </row>
    <row r="744" spans="2:6" x14ac:dyDescent="0.2">
      <c r="B744" s="44"/>
      <c r="C744" s="44"/>
      <c r="D744" s="44"/>
      <c r="E744" s="42"/>
      <c r="F744" s="43" t="str">
        <f>IF(E744="", "", IF(AND(E744&gt;='PAINEL DE CONTROLE'!$C$5*(1-CONFIGURAÇÕES!$D$7), E744&lt;='PAINEL DE CONTROLE'!$C$5*(1+CONFIGURAÇÕES!$D$7)), "DENTRO", "FORA"))</f>
        <v/>
      </c>
    </row>
    <row r="745" spans="2:6" x14ac:dyDescent="0.2">
      <c r="B745" s="44"/>
      <c r="C745" s="44"/>
      <c r="D745" s="44"/>
      <c r="E745" s="42"/>
      <c r="F745" s="43" t="str">
        <f>IF(E745="", "", IF(AND(E745&gt;='PAINEL DE CONTROLE'!$C$5*(1-CONFIGURAÇÕES!$D$7), E745&lt;='PAINEL DE CONTROLE'!$C$5*(1+CONFIGURAÇÕES!$D$7)), "DENTRO", "FORA"))</f>
        <v/>
      </c>
    </row>
    <row r="746" spans="2:6" x14ac:dyDescent="0.2">
      <c r="B746" s="44"/>
      <c r="C746" s="44"/>
      <c r="D746" s="44"/>
      <c r="E746" s="42"/>
      <c r="F746" s="43" t="str">
        <f>IF(E746="", "", IF(AND(E746&gt;='PAINEL DE CONTROLE'!$C$5*(1-CONFIGURAÇÕES!$D$7), E746&lt;='PAINEL DE CONTROLE'!$C$5*(1+CONFIGURAÇÕES!$D$7)), "DENTRO", "FORA"))</f>
        <v/>
      </c>
    </row>
    <row r="747" spans="2:6" x14ac:dyDescent="0.2">
      <c r="B747" s="44"/>
      <c r="C747" s="44"/>
      <c r="D747" s="44"/>
      <c r="E747" s="42"/>
      <c r="F747" s="43" t="str">
        <f>IF(E747="", "", IF(AND(E747&gt;='PAINEL DE CONTROLE'!$C$5*(1-CONFIGURAÇÕES!$D$7), E747&lt;='PAINEL DE CONTROLE'!$C$5*(1+CONFIGURAÇÕES!$D$7)), "DENTRO", "FORA"))</f>
        <v/>
      </c>
    </row>
    <row r="748" spans="2:6" x14ac:dyDescent="0.2">
      <c r="B748" s="44"/>
      <c r="C748" s="44"/>
      <c r="D748" s="44"/>
      <c r="E748" s="42"/>
      <c r="F748" s="43" t="str">
        <f>IF(E748="", "", IF(AND(E748&gt;='PAINEL DE CONTROLE'!$C$5*(1-CONFIGURAÇÕES!$D$7), E748&lt;='PAINEL DE CONTROLE'!$C$5*(1+CONFIGURAÇÕES!$D$7)), "DENTRO", "FORA"))</f>
        <v/>
      </c>
    </row>
    <row r="749" spans="2:6" x14ac:dyDescent="0.2">
      <c r="B749" s="44"/>
      <c r="C749" s="44"/>
      <c r="D749" s="44"/>
      <c r="E749" s="42"/>
      <c r="F749" s="43" t="str">
        <f>IF(E749="", "", IF(AND(E749&gt;='PAINEL DE CONTROLE'!$C$5*(1-CONFIGURAÇÕES!$D$7), E749&lt;='PAINEL DE CONTROLE'!$C$5*(1+CONFIGURAÇÕES!$D$7)), "DENTRO", "FORA"))</f>
        <v/>
      </c>
    </row>
    <row r="750" spans="2:6" x14ac:dyDescent="0.2">
      <c r="B750" s="44"/>
      <c r="C750" s="44"/>
      <c r="D750" s="44"/>
      <c r="E750" s="42"/>
      <c r="F750" s="43" t="str">
        <f>IF(E750="", "", IF(AND(E750&gt;='PAINEL DE CONTROLE'!$C$5*(1-CONFIGURAÇÕES!$D$7), E750&lt;='PAINEL DE CONTROLE'!$C$5*(1+CONFIGURAÇÕES!$D$7)), "DENTRO", "FORA"))</f>
        <v/>
      </c>
    </row>
    <row r="751" spans="2:6" x14ac:dyDescent="0.2">
      <c r="B751" s="44"/>
      <c r="C751" s="44"/>
      <c r="D751" s="44"/>
      <c r="E751" s="42"/>
      <c r="F751" s="43" t="str">
        <f>IF(E751="", "", IF(AND(E751&gt;='PAINEL DE CONTROLE'!$C$5*(1-CONFIGURAÇÕES!$D$7), E751&lt;='PAINEL DE CONTROLE'!$C$5*(1+CONFIGURAÇÕES!$D$7)), "DENTRO", "FORA"))</f>
        <v/>
      </c>
    </row>
    <row r="752" spans="2:6" x14ac:dyDescent="0.2">
      <c r="B752" s="44"/>
      <c r="C752" s="44"/>
      <c r="D752" s="44"/>
      <c r="E752" s="42"/>
      <c r="F752" s="43" t="str">
        <f>IF(E752="", "", IF(AND(E752&gt;='PAINEL DE CONTROLE'!$C$5*(1-CONFIGURAÇÕES!$D$7), E752&lt;='PAINEL DE CONTROLE'!$C$5*(1+CONFIGURAÇÕES!$D$7)), "DENTRO", "FORA"))</f>
        <v/>
      </c>
    </row>
    <row r="753" spans="2:6" x14ac:dyDescent="0.2">
      <c r="B753" s="44"/>
      <c r="C753" s="44"/>
      <c r="D753" s="44"/>
      <c r="E753" s="42"/>
      <c r="F753" s="43" t="str">
        <f>IF(E753="", "", IF(AND(E753&gt;='PAINEL DE CONTROLE'!$C$5*(1-CONFIGURAÇÕES!$D$7), E753&lt;='PAINEL DE CONTROLE'!$C$5*(1+CONFIGURAÇÕES!$D$7)), "DENTRO", "FORA"))</f>
        <v/>
      </c>
    </row>
    <row r="754" spans="2:6" x14ac:dyDescent="0.2">
      <c r="B754" s="44"/>
      <c r="C754" s="44"/>
      <c r="D754" s="44"/>
      <c r="E754" s="42"/>
      <c r="F754" s="43" t="str">
        <f>IF(E754="", "", IF(AND(E754&gt;='PAINEL DE CONTROLE'!$C$5*(1-CONFIGURAÇÕES!$D$7), E754&lt;='PAINEL DE CONTROLE'!$C$5*(1+CONFIGURAÇÕES!$D$7)), "DENTRO", "FORA"))</f>
        <v/>
      </c>
    </row>
    <row r="755" spans="2:6" x14ac:dyDescent="0.2">
      <c r="B755" s="44"/>
      <c r="C755" s="44"/>
      <c r="D755" s="44"/>
      <c r="E755" s="42"/>
      <c r="F755" s="43" t="str">
        <f>IF(E755="", "", IF(AND(E755&gt;='PAINEL DE CONTROLE'!$C$5*(1-CONFIGURAÇÕES!$D$7), E755&lt;='PAINEL DE CONTROLE'!$C$5*(1+CONFIGURAÇÕES!$D$7)), "DENTRO", "FORA"))</f>
        <v/>
      </c>
    </row>
    <row r="756" spans="2:6" x14ac:dyDescent="0.2">
      <c r="B756" s="44"/>
      <c r="C756" s="44"/>
      <c r="D756" s="44"/>
      <c r="E756" s="42"/>
      <c r="F756" s="43" t="str">
        <f>IF(E756="", "", IF(AND(E756&gt;='PAINEL DE CONTROLE'!$C$5*(1-CONFIGURAÇÕES!$D$7), E756&lt;='PAINEL DE CONTROLE'!$C$5*(1+CONFIGURAÇÕES!$D$7)), "DENTRO", "FORA"))</f>
        <v/>
      </c>
    </row>
    <row r="757" spans="2:6" x14ac:dyDescent="0.2">
      <c r="B757" s="44"/>
      <c r="C757" s="44"/>
      <c r="D757" s="44"/>
      <c r="E757" s="42"/>
      <c r="F757" s="43" t="str">
        <f>IF(E757="", "", IF(AND(E757&gt;='PAINEL DE CONTROLE'!$C$5*(1-CONFIGURAÇÕES!$D$7), E757&lt;='PAINEL DE CONTROLE'!$C$5*(1+CONFIGURAÇÕES!$D$7)), "DENTRO", "FORA"))</f>
        <v/>
      </c>
    </row>
    <row r="758" spans="2:6" x14ac:dyDescent="0.2">
      <c r="B758" s="44"/>
      <c r="C758" s="44"/>
      <c r="D758" s="44"/>
      <c r="E758" s="42"/>
      <c r="F758" s="43" t="str">
        <f>IF(E758="", "", IF(AND(E758&gt;='PAINEL DE CONTROLE'!$C$5*(1-CONFIGURAÇÕES!$D$7), E758&lt;='PAINEL DE CONTROLE'!$C$5*(1+CONFIGURAÇÕES!$D$7)), "DENTRO", "FORA"))</f>
        <v/>
      </c>
    </row>
    <row r="759" spans="2:6" x14ac:dyDescent="0.2">
      <c r="B759" s="44"/>
      <c r="C759" s="44"/>
      <c r="D759" s="44"/>
      <c r="E759" s="42"/>
      <c r="F759" s="43" t="str">
        <f>IF(E759="", "", IF(AND(E759&gt;='PAINEL DE CONTROLE'!$C$5*(1-CONFIGURAÇÕES!$D$7), E759&lt;='PAINEL DE CONTROLE'!$C$5*(1+CONFIGURAÇÕES!$D$7)), "DENTRO", "FORA"))</f>
        <v/>
      </c>
    </row>
    <row r="760" spans="2:6" x14ac:dyDescent="0.2">
      <c r="B760" s="44"/>
      <c r="C760" s="44"/>
      <c r="D760" s="44"/>
      <c r="E760" s="42"/>
      <c r="F760" s="43" t="str">
        <f>IF(E760="", "", IF(AND(E760&gt;='PAINEL DE CONTROLE'!$C$5*(1-CONFIGURAÇÕES!$D$7), E760&lt;='PAINEL DE CONTROLE'!$C$5*(1+CONFIGURAÇÕES!$D$7)), "DENTRO", "FORA"))</f>
        <v/>
      </c>
    </row>
    <row r="761" spans="2:6" x14ac:dyDescent="0.2">
      <c r="B761" s="44"/>
      <c r="C761" s="44"/>
      <c r="D761" s="44"/>
      <c r="E761" s="42"/>
      <c r="F761" s="43" t="str">
        <f>IF(E761="", "", IF(AND(E761&gt;='PAINEL DE CONTROLE'!$C$5*(1-CONFIGURAÇÕES!$D$7), E761&lt;='PAINEL DE CONTROLE'!$C$5*(1+CONFIGURAÇÕES!$D$7)), "DENTRO", "FORA"))</f>
        <v/>
      </c>
    </row>
    <row r="762" spans="2:6" x14ac:dyDescent="0.2">
      <c r="B762" s="44"/>
      <c r="C762" s="44"/>
      <c r="D762" s="44"/>
      <c r="E762" s="42"/>
      <c r="F762" s="43" t="str">
        <f>IF(E762="", "", IF(AND(E762&gt;='PAINEL DE CONTROLE'!$C$5*(1-CONFIGURAÇÕES!$D$7), E762&lt;='PAINEL DE CONTROLE'!$C$5*(1+CONFIGURAÇÕES!$D$7)), "DENTRO", "FORA"))</f>
        <v/>
      </c>
    </row>
    <row r="763" spans="2:6" x14ac:dyDescent="0.2">
      <c r="B763" s="44"/>
      <c r="C763" s="44"/>
      <c r="D763" s="44"/>
      <c r="E763" s="42"/>
      <c r="F763" s="43" t="str">
        <f>IF(E763="", "", IF(AND(E763&gt;='PAINEL DE CONTROLE'!$C$5*(1-CONFIGURAÇÕES!$D$7), E763&lt;='PAINEL DE CONTROLE'!$C$5*(1+CONFIGURAÇÕES!$D$7)), "DENTRO", "FORA"))</f>
        <v/>
      </c>
    </row>
    <row r="764" spans="2:6" x14ac:dyDescent="0.2">
      <c r="B764" s="44"/>
      <c r="C764" s="44"/>
      <c r="D764" s="44"/>
      <c r="E764" s="42"/>
      <c r="F764" s="43" t="str">
        <f>IF(E764="", "", IF(AND(E764&gt;='PAINEL DE CONTROLE'!$C$5*(1-CONFIGURAÇÕES!$D$7), E764&lt;='PAINEL DE CONTROLE'!$C$5*(1+CONFIGURAÇÕES!$D$7)), "DENTRO", "FORA"))</f>
        <v/>
      </c>
    </row>
    <row r="765" spans="2:6" x14ac:dyDescent="0.2">
      <c r="B765" s="44"/>
      <c r="C765" s="44"/>
      <c r="D765" s="44"/>
      <c r="E765" s="42"/>
      <c r="F765" s="43" t="str">
        <f>IF(E765="", "", IF(AND(E765&gt;='PAINEL DE CONTROLE'!$C$5*(1-CONFIGURAÇÕES!$D$7), E765&lt;='PAINEL DE CONTROLE'!$C$5*(1+CONFIGURAÇÕES!$D$7)), "DENTRO", "FORA"))</f>
        <v/>
      </c>
    </row>
    <row r="766" spans="2:6" x14ac:dyDescent="0.2">
      <c r="B766" s="44"/>
      <c r="C766" s="44"/>
      <c r="D766" s="44"/>
      <c r="E766" s="42"/>
      <c r="F766" s="43" t="str">
        <f>IF(E766="", "", IF(AND(E766&gt;='PAINEL DE CONTROLE'!$C$5*(1-CONFIGURAÇÕES!$D$7), E766&lt;='PAINEL DE CONTROLE'!$C$5*(1+CONFIGURAÇÕES!$D$7)), "DENTRO", "FORA"))</f>
        <v/>
      </c>
    </row>
    <row r="767" spans="2:6" x14ac:dyDescent="0.2">
      <c r="B767" s="44"/>
      <c r="C767" s="44"/>
      <c r="D767" s="44"/>
      <c r="E767" s="42"/>
      <c r="F767" s="43" t="str">
        <f>IF(E767="", "", IF(AND(E767&gt;='PAINEL DE CONTROLE'!$C$5*(1-CONFIGURAÇÕES!$D$7), E767&lt;='PAINEL DE CONTROLE'!$C$5*(1+CONFIGURAÇÕES!$D$7)), "DENTRO", "FORA"))</f>
        <v/>
      </c>
    </row>
    <row r="768" spans="2:6" x14ac:dyDescent="0.2">
      <c r="B768" s="44"/>
      <c r="C768" s="44"/>
      <c r="D768" s="44"/>
      <c r="E768" s="42"/>
      <c r="F768" s="43" t="str">
        <f>IF(E768="", "", IF(AND(E768&gt;='PAINEL DE CONTROLE'!$C$5*(1-CONFIGURAÇÕES!$D$7), E768&lt;='PAINEL DE CONTROLE'!$C$5*(1+CONFIGURAÇÕES!$D$7)), "DENTRO", "FORA"))</f>
        <v/>
      </c>
    </row>
    <row r="769" spans="2:6" x14ac:dyDescent="0.2">
      <c r="B769" s="44"/>
      <c r="C769" s="44"/>
      <c r="D769" s="44"/>
      <c r="E769" s="42"/>
      <c r="F769" s="43" t="str">
        <f>IF(E769="", "", IF(AND(E769&gt;='PAINEL DE CONTROLE'!$C$5*(1-CONFIGURAÇÕES!$D$7), E769&lt;='PAINEL DE CONTROLE'!$C$5*(1+CONFIGURAÇÕES!$D$7)), "DENTRO", "FORA"))</f>
        <v/>
      </c>
    </row>
    <row r="770" spans="2:6" x14ac:dyDescent="0.2">
      <c r="B770" s="44"/>
      <c r="C770" s="44"/>
      <c r="D770" s="44"/>
      <c r="E770" s="42"/>
      <c r="F770" s="43" t="str">
        <f>IF(E770="", "", IF(AND(E770&gt;='PAINEL DE CONTROLE'!$C$5*(1-CONFIGURAÇÕES!$D$7), E770&lt;='PAINEL DE CONTROLE'!$C$5*(1+CONFIGURAÇÕES!$D$7)), "DENTRO", "FORA"))</f>
        <v/>
      </c>
    </row>
    <row r="771" spans="2:6" x14ac:dyDescent="0.2">
      <c r="B771" s="44"/>
      <c r="C771" s="44"/>
      <c r="D771" s="44"/>
      <c r="E771" s="42"/>
      <c r="F771" s="43" t="str">
        <f>IF(E771="", "", IF(AND(E771&gt;='PAINEL DE CONTROLE'!$C$5*(1-CONFIGURAÇÕES!$D$7), E771&lt;='PAINEL DE CONTROLE'!$C$5*(1+CONFIGURAÇÕES!$D$7)), "DENTRO", "FORA"))</f>
        <v/>
      </c>
    </row>
    <row r="772" spans="2:6" x14ac:dyDescent="0.2">
      <c r="B772" s="44"/>
      <c r="C772" s="44"/>
      <c r="D772" s="44"/>
      <c r="E772" s="42"/>
      <c r="F772" s="43" t="str">
        <f>IF(E772="", "", IF(AND(E772&gt;='PAINEL DE CONTROLE'!$C$5*(1-CONFIGURAÇÕES!$D$7), E772&lt;='PAINEL DE CONTROLE'!$C$5*(1+CONFIGURAÇÕES!$D$7)), "DENTRO", "FORA"))</f>
        <v/>
      </c>
    </row>
    <row r="773" spans="2:6" x14ac:dyDescent="0.2">
      <c r="B773" s="44"/>
      <c r="C773" s="44"/>
      <c r="D773" s="44"/>
      <c r="E773" s="42"/>
      <c r="F773" s="43" t="str">
        <f>IF(E773="", "", IF(AND(E773&gt;='PAINEL DE CONTROLE'!$C$5*(1-CONFIGURAÇÕES!$D$7), E773&lt;='PAINEL DE CONTROLE'!$C$5*(1+CONFIGURAÇÕES!$D$7)), "DENTRO", "FORA"))</f>
        <v/>
      </c>
    </row>
    <row r="774" spans="2:6" x14ac:dyDescent="0.2">
      <c r="B774" s="44"/>
      <c r="C774" s="44"/>
      <c r="D774" s="44"/>
      <c r="E774" s="42"/>
      <c r="F774" s="43" t="str">
        <f>IF(E774="", "", IF(AND(E774&gt;='PAINEL DE CONTROLE'!$C$5*(1-CONFIGURAÇÕES!$D$7), E774&lt;='PAINEL DE CONTROLE'!$C$5*(1+CONFIGURAÇÕES!$D$7)), "DENTRO", "FORA"))</f>
        <v/>
      </c>
    </row>
    <row r="775" spans="2:6" x14ac:dyDescent="0.2">
      <c r="B775" s="44"/>
      <c r="C775" s="44"/>
      <c r="D775" s="44"/>
      <c r="E775" s="42"/>
      <c r="F775" s="43" t="str">
        <f>IF(E775="", "", IF(AND(E775&gt;='PAINEL DE CONTROLE'!$C$5*(1-CONFIGURAÇÕES!$D$7), E775&lt;='PAINEL DE CONTROLE'!$C$5*(1+CONFIGURAÇÕES!$D$7)), "DENTRO", "FORA"))</f>
        <v/>
      </c>
    </row>
    <row r="776" spans="2:6" x14ac:dyDescent="0.2">
      <c r="B776" s="44"/>
      <c r="C776" s="44"/>
      <c r="D776" s="44"/>
      <c r="E776" s="42"/>
      <c r="F776" s="43" t="str">
        <f>IF(E776="", "", IF(AND(E776&gt;='PAINEL DE CONTROLE'!$C$5*(1-CONFIGURAÇÕES!$D$7), E776&lt;='PAINEL DE CONTROLE'!$C$5*(1+CONFIGURAÇÕES!$D$7)), "DENTRO", "FORA"))</f>
        <v/>
      </c>
    </row>
    <row r="777" spans="2:6" x14ac:dyDescent="0.2">
      <c r="B777" s="44"/>
      <c r="C777" s="44"/>
      <c r="D777" s="44"/>
      <c r="E777" s="42"/>
      <c r="F777" s="43" t="str">
        <f>IF(E777="", "", IF(AND(E777&gt;='PAINEL DE CONTROLE'!$C$5*(1-CONFIGURAÇÕES!$D$7), E777&lt;='PAINEL DE CONTROLE'!$C$5*(1+CONFIGURAÇÕES!$D$7)), "DENTRO", "FORA"))</f>
        <v/>
      </c>
    </row>
    <row r="778" spans="2:6" x14ac:dyDescent="0.2">
      <c r="B778" s="44"/>
      <c r="C778" s="44"/>
      <c r="D778" s="44"/>
      <c r="E778" s="42"/>
      <c r="F778" s="43" t="str">
        <f>IF(E778="", "", IF(AND(E778&gt;='PAINEL DE CONTROLE'!$C$5*(1-CONFIGURAÇÕES!$D$7), E778&lt;='PAINEL DE CONTROLE'!$C$5*(1+CONFIGURAÇÕES!$D$7)), "DENTRO", "FORA"))</f>
        <v/>
      </c>
    </row>
    <row r="779" spans="2:6" x14ac:dyDescent="0.2">
      <c r="B779" s="44"/>
      <c r="C779" s="44"/>
      <c r="D779" s="44"/>
      <c r="E779" s="42"/>
      <c r="F779" s="43" t="str">
        <f>IF(E779="", "", IF(AND(E779&gt;='PAINEL DE CONTROLE'!$C$5*(1-CONFIGURAÇÕES!$D$7), E779&lt;='PAINEL DE CONTROLE'!$C$5*(1+CONFIGURAÇÕES!$D$7)), "DENTRO", "FORA"))</f>
        <v/>
      </c>
    </row>
    <row r="780" spans="2:6" x14ac:dyDescent="0.2">
      <c r="B780" s="44"/>
      <c r="C780" s="44"/>
      <c r="D780" s="44"/>
      <c r="E780" s="42"/>
      <c r="F780" s="43" t="str">
        <f>IF(E780="", "", IF(AND(E780&gt;='PAINEL DE CONTROLE'!$C$5*(1-CONFIGURAÇÕES!$D$7), E780&lt;='PAINEL DE CONTROLE'!$C$5*(1+CONFIGURAÇÕES!$D$7)), "DENTRO", "FORA"))</f>
        <v/>
      </c>
    </row>
    <row r="781" spans="2:6" x14ac:dyDescent="0.2">
      <c r="B781" s="44"/>
      <c r="C781" s="44"/>
      <c r="D781" s="44"/>
      <c r="E781" s="42"/>
      <c r="F781" s="43" t="str">
        <f>IF(E781="", "", IF(AND(E781&gt;='PAINEL DE CONTROLE'!$C$5*(1-CONFIGURAÇÕES!$D$7), E781&lt;='PAINEL DE CONTROLE'!$C$5*(1+CONFIGURAÇÕES!$D$7)), "DENTRO", "FORA"))</f>
        <v/>
      </c>
    </row>
    <row r="782" spans="2:6" x14ac:dyDescent="0.2">
      <c r="B782" s="44"/>
      <c r="C782" s="44"/>
      <c r="D782" s="44"/>
      <c r="E782" s="42"/>
      <c r="F782" s="43" t="str">
        <f>IF(E782="", "", IF(AND(E782&gt;='PAINEL DE CONTROLE'!$C$5*(1-CONFIGURAÇÕES!$D$7), E782&lt;='PAINEL DE CONTROLE'!$C$5*(1+CONFIGURAÇÕES!$D$7)), "DENTRO", "FORA"))</f>
        <v/>
      </c>
    </row>
    <row r="783" spans="2:6" x14ac:dyDescent="0.2">
      <c r="B783" s="44"/>
      <c r="C783" s="44"/>
      <c r="D783" s="44"/>
      <c r="E783" s="42"/>
      <c r="F783" s="43" t="str">
        <f>IF(E783="", "", IF(AND(E783&gt;='PAINEL DE CONTROLE'!$C$5*(1-CONFIGURAÇÕES!$D$7), E783&lt;='PAINEL DE CONTROLE'!$C$5*(1+CONFIGURAÇÕES!$D$7)), "DENTRO", "FORA"))</f>
        <v/>
      </c>
    </row>
    <row r="784" spans="2:6" x14ac:dyDescent="0.2">
      <c r="B784" s="44"/>
      <c r="C784" s="44"/>
      <c r="D784" s="44"/>
      <c r="E784" s="42"/>
      <c r="F784" s="43" t="str">
        <f>IF(E784="", "", IF(AND(E784&gt;='PAINEL DE CONTROLE'!$C$5*(1-CONFIGURAÇÕES!$D$7), E784&lt;='PAINEL DE CONTROLE'!$C$5*(1+CONFIGURAÇÕES!$D$7)), "DENTRO", "FORA"))</f>
        <v/>
      </c>
    </row>
    <row r="785" spans="2:6" x14ac:dyDescent="0.2">
      <c r="B785" s="44"/>
      <c r="C785" s="44"/>
      <c r="D785" s="44"/>
      <c r="E785" s="42"/>
      <c r="F785" s="43" t="str">
        <f>IF(E785="", "", IF(AND(E785&gt;='PAINEL DE CONTROLE'!$C$5*(1-CONFIGURAÇÕES!$D$7), E785&lt;='PAINEL DE CONTROLE'!$C$5*(1+CONFIGURAÇÕES!$D$7)), "DENTRO", "FORA"))</f>
        <v/>
      </c>
    </row>
    <row r="786" spans="2:6" x14ac:dyDescent="0.2">
      <c r="B786" s="44"/>
      <c r="C786" s="44"/>
      <c r="D786" s="44"/>
      <c r="E786" s="42"/>
      <c r="F786" s="43" t="str">
        <f>IF(E786="", "", IF(AND(E786&gt;='PAINEL DE CONTROLE'!$C$5*(1-CONFIGURAÇÕES!$D$7), E786&lt;='PAINEL DE CONTROLE'!$C$5*(1+CONFIGURAÇÕES!$D$7)), "DENTRO", "FORA"))</f>
        <v/>
      </c>
    </row>
    <row r="787" spans="2:6" x14ac:dyDescent="0.2">
      <c r="B787" s="44"/>
      <c r="C787" s="44"/>
      <c r="D787" s="44"/>
      <c r="E787" s="42"/>
      <c r="F787" s="43" t="str">
        <f>IF(E787="", "", IF(AND(E787&gt;='PAINEL DE CONTROLE'!$C$5*(1-CONFIGURAÇÕES!$D$7), E787&lt;='PAINEL DE CONTROLE'!$C$5*(1+CONFIGURAÇÕES!$D$7)), "DENTRO", "FORA"))</f>
        <v/>
      </c>
    </row>
    <row r="788" spans="2:6" x14ac:dyDescent="0.2">
      <c r="B788" s="44"/>
      <c r="C788" s="44"/>
      <c r="D788" s="44"/>
      <c r="E788" s="42"/>
      <c r="F788" s="43" t="str">
        <f>IF(E788="", "", IF(AND(E788&gt;='PAINEL DE CONTROLE'!$C$5*(1-CONFIGURAÇÕES!$D$7), E788&lt;='PAINEL DE CONTROLE'!$C$5*(1+CONFIGURAÇÕES!$D$7)), "DENTRO", "FORA"))</f>
        <v/>
      </c>
    </row>
    <row r="789" spans="2:6" x14ac:dyDescent="0.2">
      <c r="B789" s="44"/>
      <c r="C789" s="44"/>
      <c r="D789" s="44"/>
      <c r="E789" s="42"/>
      <c r="F789" s="43" t="str">
        <f>IF(E789="", "", IF(AND(E789&gt;='PAINEL DE CONTROLE'!$C$5*(1-CONFIGURAÇÕES!$D$7), E789&lt;='PAINEL DE CONTROLE'!$C$5*(1+CONFIGURAÇÕES!$D$7)), "DENTRO", "FORA"))</f>
        <v/>
      </c>
    </row>
    <row r="790" spans="2:6" x14ac:dyDescent="0.2">
      <c r="B790" s="44"/>
      <c r="C790" s="44"/>
      <c r="D790" s="44"/>
      <c r="E790" s="42"/>
      <c r="F790" s="43" t="str">
        <f>IF(E790="", "", IF(AND(E790&gt;='PAINEL DE CONTROLE'!$C$5*(1-CONFIGURAÇÕES!$D$7), E790&lt;='PAINEL DE CONTROLE'!$C$5*(1+CONFIGURAÇÕES!$D$7)), "DENTRO", "FORA"))</f>
        <v/>
      </c>
    </row>
    <row r="791" spans="2:6" x14ac:dyDescent="0.2">
      <c r="B791" s="44"/>
      <c r="C791" s="44"/>
      <c r="D791" s="44"/>
      <c r="E791" s="42"/>
      <c r="F791" s="43" t="str">
        <f>IF(E791="", "", IF(AND(E791&gt;='PAINEL DE CONTROLE'!$C$5*(1-CONFIGURAÇÕES!$D$7), E791&lt;='PAINEL DE CONTROLE'!$C$5*(1+CONFIGURAÇÕES!$D$7)), "DENTRO", "FORA"))</f>
        <v/>
      </c>
    </row>
    <row r="792" spans="2:6" x14ac:dyDescent="0.2">
      <c r="B792" s="44"/>
      <c r="C792" s="44"/>
      <c r="D792" s="44"/>
      <c r="E792" s="42"/>
      <c r="F792" s="43" t="str">
        <f>IF(E792="", "", IF(AND(E792&gt;='PAINEL DE CONTROLE'!$C$5*(1-CONFIGURAÇÕES!$D$7), E792&lt;='PAINEL DE CONTROLE'!$C$5*(1+CONFIGURAÇÕES!$D$7)), "DENTRO", "FORA"))</f>
        <v/>
      </c>
    </row>
    <row r="793" spans="2:6" x14ac:dyDescent="0.2">
      <c r="B793" s="44"/>
      <c r="C793" s="44"/>
      <c r="D793" s="44"/>
      <c r="E793" s="42"/>
      <c r="F793" s="43" t="str">
        <f>IF(E793="", "", IF(AND(E793&gt;='PAINEL DE CONTROLE'!$C$5*(1-CONFIGURAÇÕES!$D$7), E793&lt;='PAINEL DE CONTROLE'!$C$5*(1+CONFIGURAÇÕES!$D$7)), "DENTRO", "FORA"))</f>
        <v/>
      </c>
    </row>
    <row r="794" spans="2:6" x14ac:dyDescent="0.2">
      <c r="B794" s="44"/>
      <c r="C794" s="44"/>
      <c r="D794" s="44"/>
      <c r="E794" s="42"/>
      <c r="F794" s="43" t="str">
        <f>IF(E794="", "", IF(AND(E794&gt;='PAINEL DE CONTROLE'!$C$5*(1-CONFIGURAÇÕES!$D$7), E794&lt;='PAINEL DE CONTROLE'!$C$5*(1+CONFIGURAÇÕES!$D$7)), "DENTRO", "FORA"))</f>
        <v/>
      </c>
    </row>
    <row r="795" spans="2:6" x14ac:dyDescent="0.2">
      <c r="B795" s="44"/>
      <c r="C795" s="44"/>
      <c r="D795" s="44"/>
      <c r="E795" s="42"/>
      <c r="F795" s="43" t="str">
        <f>IF(E795="", "", IF(AND(E795&gt;='PAINEL DE CONTROLE'!$C$5*(1-CONFIGURAÇÕES!$D$7), E795&lt;='PAINEL DE CONTROLE'!$C$5*(1+CONFIGURAÇÕES!$D$7)), "DENTRO", "FORA"))</f>
        <v/>
      </c>
    </row>
    <row r="796" spans="2:6" x14ac:dyDescent="0.2">
      <c r="B796" s="44"/>
      <c r="C796" s="44"/>
      <c r="D796" s="44"/>
      <c r="E796" s="42"/>
      <c r="F796" s="43" t="str">
        <f>IF(E796="", "", IF(AND(E796&gt;='PAINEL DE CONTROLE'!$C$5*(1-CONFIGURAÇÕES!$D$7), E796&lt;='PAINEL DE CONTROLE'!$C$5*(1+CONFIGURAÇÕES!$D$7)), "DENTRO", "FORA"))</f>
        <v/>
      </c>
    </row>
    <row r="797" spans="2:6" x14ac:dyDescent="0.2">
      <c r="B797" s="44"/>
      <c r="C797" s="44"/>
      <c r="D797" s="44"/>
      <c r="E797" s="42"/>
      <c r="F797" s="43" t="str">
        <f>IF(E797="", "", IF(AND(E797&gt;='PAINEL DE CONTROLE'!$C$5*(1-CONFIGURAÇÕES!$D$7), E797&lt;='PAINEL DE CONTROLE'!$C$5*(1+CONFIGURAÇÕES!$D$7)), "DENTRO", "FORA"))</f>
        <v/>
      </c>
    </row>
    <row r="798" spans="2:6" x14ac:dyDescent="0.2">
      <c r="B798" s="44"/>
      <c r="C798" s="44"/>
      <c r="D798" s="44"/>
      <c r="E798" s="42"/>
      <c r="F798" s="43" t="str">
        <f>IF(E798="", "", IF(AND(E798&gt;='PAINEL DE CONTROLE'!$C$5*(1-CONFIGURAÇÕES!$D$7), E798&lt;='PAINEL DE CONTROLE'!$C$5*(1+CONFIGURAÇÕES!$D$7)), "DENTRO", "FORA"))</f>
        <v/>
      </c>
    </row>
    <row r="799" spans="2:6" x14ac:dyDescent="0.2">
      <c r="B799" s="44"/>
      <c r="C799" s="44"/>
      <c r="D799" s="44"/>
      <c r="E799" s="42"/>
      <c r="F799" s="43" t="str">
        <f>IF(E799="", "", IF(AND(E799&gt;='PAINEL DE CONTROLE'!$C$5*(1-CONFIGURAÇÕES!$D$7), E799&lt;='PAINEL DE CONTROLE'!$C$5*(1+CONFIGURAÇÕES!$D$7)), "DENTRO", "FORA"))</f>
        <v/>
      </c>
    </row>
    <row r="800" spans="2:6" x14ac:dyDescent="0.2">
      <c r="B800" s="44"/>
      <c r="C800" s="44"/>
      <c r="D800" s="44"/>
      <c r="E800" s="42"/>
      <c r="F800" s="43" t="str">
        <f>IF(E800="", "", IF(AND(E800&gt;='PAINEL DE CONTROLE'!$C$5*(1-CONFIGURAÇÕES!$D$7), E800&lt;='PAINEL DE CONTROLE'!$C$5*(1+CONFIGURAÇÕES!$D$7)), "DENTRO", "FORA"))</f>
        <v/>
      </c>
    </row>
    <row r="801" spans="2:6" x14ac:dyDescent="0.2">
      <c r="B801" s="44"/>
      <c r="C801" s="44"/>
      <c r="D801" s="44"/>
      <c r="E801" s="42"/>
      <c r="F801" s="43" t="str">
        <f>IF(E801="", "", IF(AND(E801&gt;='PAINEL DE CONTROLE'!$C$5*(1-CONFIGURAÇÕES!$D$7), E801&lt;='PAINEL DE CONTROLE'!$C$5*(1+CONFIGURAÇÕES!$D$7)), "DENTRO", "FORA"))</f>
        <v/>
      </c>
    </row>
    <row r="802" spans="2:6" x14ac:dyDescent="0.2">
      <c r="B802" s="44"/>
      <c r="C802" s="44"/>
      <c r="D802" s="44"/>
      <c r="E802" s="42"/>
      <c r="F802" s="43" t="str">
        <f>IF(E802="", "", IF(AND(E802&gt;='PAINEL DE CONTROLE'!$C$5*(1-CONFIGURAÇÕES!$D$7), E802&lt;='PAINEL DE CONTROLE'!$C$5*(1+CONFIGURAÇÕES!$D$7)), "DENTRO", "FORA"))</f>
        <v/>
      </c>
    </row>
    <row r="803" spans="2:6" x14ac:dyDescent="0.2">
      <c r="B803" s="44"/>
      <c r="C803" s="44"/>
      <c r="D803" s="44"/>
      <c r="E803" s="42"/>
      <c r="F803" s="43" t="str">
        <f>IF(E803="", "", IF(AND(E803&gt;='PAINEL DE CONTROLE'!$C$5*(1-CONFIGURAÇÕES!$D$7), E803&lt;='PAINEL DE CONTROLE'!$C$5*(1+CONFIGURAÇÕES!$D$7)), "DENTRO", "FORA"))</f>
        <v/>
      </c>
    </row>
    <row r="804" spans="2:6" x14ac:dyDescent="0.2">
      <c r="B804" s="44"/>
      <c r="C804" s="44"/>
      <c r="D804" s="44"/>
      <c r="E804" s="42"/>
      <c r="F804" s="43" t="str">
        <f>IF(E804="", "", IF(AND(E804&gt;='PAINEL DE CONTROLE'!$C$5*(1-CONFIGURAÇÕES!$D$7), E804&lt;='PAINEL DE CONTROLE'!$C$5*(1+CONFIGURAÇÕES!$D$7)), "DENTRO", "FORA"))</f>
        <v/>
      </c>
    </row>
    <row r="805" spans="2:6" x14ac:dyDescent="0.2">
      <c r="B805" s="44"/>
      <c r="C805" s="44"/>
      <c r="D805" s="44"/>
      <c r="E805" s="42"/>
      <c r="F805" s="43" t="str">
        <f>IF(E805="", "", IF(AND(E805&gt;='PAINEL DE CONTROLE'!$C$5*(1-CONFIGURAÇÕES!$D$7), E805&lt;='PAINEL DE CONTROLE'!$C$5*(1+CONFIGURAÇÕES!$D$7)), "DENTRO", "FORA"))</f>
        <v/>
      </c>
    </row>
    <row r="806" spans="2:6" x14ac:dyDescent="0.2">
      <c r="B806" s="44"/>
      <c r="C806" s="44"/>
      <c r="D806" s="44"/>
      <c r="E806" s="42"/>
      <c r="F806" s="43" t="str">
        <f>IF(E806="", "", IF(AND(E806&gt;='PAINEL DE CONTROLE'!$C$5*(1-CONFIGURAÇÕES!$D$7), E806&lt;='PAINEL DE CONTROLE'!$C$5*(1+CONFIGURAÇÕES!$D$7)), "DENTRO", "FORA"))</f>
        <v/>
      </c>
    </row>
    <row r="807" spans="2:6" x14ac:dyDescent="0.2">
      <c r="B807" s="44"/>
      <c r="C807" s="44"/>
      <c r="D807" s="44"/>
      <c r="E807" s="42"/>
      <c r="F807" s="43" t="str">
        <f>IF(E807="", "", IF(AND(E807&gt;='PAINEL DE CONTROLE'!$C$5*(1-CONFIGURAÇÕES!$D$7), E807&lt;='PAINEL DE CONTROLE'!$C$5*(1+CONFIGURAÇÕES!$D$7)), "DENTRO", "FORA"))</f>
        <v/>
      </c>
    </row>
    <row r="808" spans="2:6" x14ac:dyDescent="0.2">
      <c r="B808" s="44"/>
      <c r="C808" s="44"/>
      <c r="D808" s="44"/>
      <c r="E808" s="42"/>
      <c r="F808" s="43" t="str">
        <f>IF(E808="", "", IF(AND(E808&gt;='PAINEL DE CONTROLE'!$C$5*(1-CONFIGURAÇÕES!$D$7), E808&lt;='PAINEL DE CONTROLE'!$C$5*(1+CONFIGURAÇÕES!$D$7)), "DENTRO", "FORA"))</f>
        <v/>
      </c>
    </row>
    <row r="809" spans="2:6" x14ac:dyDescent="0.2">
      <c r="B809" s="44"/>
      <c r="C809" s="44"/>
      <c r="D809" s="44"/>
      <c r="E809" s="42"/>
      <c r="F809" s="43" t="str">
        <f>IF(E809="", "", IF(AND(E809&gt;='PAINEL DE CONTROLE'!$C$5*(1-CONFIGURAÇÕES!$D$7), E809&lt;='PAINEL DE CONTROLE'!$C$5*(1+CONFIGURAÇÕES!$D$7)), "DENTRO", "FORA"))</f>
        <v/>
      </c>
    </row>
    <row r="810" spans="2:6" x14ac:dyDescent="0.2">
      <c r="B810" s="44"/>
      <c r="C810" s="44"/>
      <c r="D810" s="44"/>
      <c r="E810" s="42"/>
      <c r="F810" s="43" t="str">
        <f>IF(E810="", "", IF(AND(E810&gt;='PAINEL DE CONTROLE'!$C$5*(1-CONFIGURAÇÕES!$D$7), E810&lt;='PAINEL DE CONTROLE'!$C$5*(1+CONFIGURAÇÕES!$D$7)), "DENTRO", "FORA"))</f>
        <v/>
      </c>
    </row>
    <row r="811" spans="2:6" x14ac:dyDescent="0.2">
      <c r="B811" s="44"/>
      <c r="C811" s="44"/>
      <c r="D811" s="44"/>
      <c r="E811" s="42"/>
      <c r="F811" s="43" t="str">
        <f>IF(E811="", "", IF(AND(E811&gt;='PAINEL DE CONTROLE'!$C$5*(1-CONFIGURAÇÕES!$D$7), E811&lt;='PAINEL DE CONTROLE'!$C$5*(1+CONFIGURAÇÕES!$D$7)), "DENTRO", "FORA"))</f>
        <v/>
      </c>
    </row>
    <row r="812" spans="2:6" x14ac:dyDescent="0.2">
      <c r="B812" s="44"/>
      <c r="C812" s="44"/>
      <c r="D812" s="44"/>
      <c r="E812" s="42"/>
      <c r="F812" s="43" t="str">
        <f>IF(E812="", "", IF(AND(E812&gt;='PAINEL DE CONTROLE'!$C$5*(1-CONFIGURAÇÕES!$D$7), E812&lt;='PAINEL DE CONTROLE'!$C$5*(1+CONFIGURAÇÕES!$D$7)), "DENTRO", "FORA"))</f>
        <v/>
      </c>
    </row>
    <row r="813" spans="2:6" x14ac:dyDescent="0.2">
      <c r="B813" s="44"/>
      <c r="C813" s="44"/>
      <c r="D813" s="44"/>
      <c r="E813" s="42"/>
      <c r="F813" s="43" t="str">
        <f>IF(E813="", "", IF(AND(E813&gt;='PAINEL DE CONTROLE'!$C$5*(1-CONFIGURAÇÕES!$D$7), E813&lt;='PAINEL DE CONTROLE'!$C$5*(1+CONFIGURAÇÕES!$D$7)), "DENTRO", "FORA"))</f>
        <v/>
      </c>
    </row>
    <row r="814" spans="2:6" x14ac:dyDescent="0.2">
      <c r="B814" s="44"/>
      <c r="C814" s="44"/>
      <c r="D814" s="44"/>
      <c r="E814" s="42"/>
      <c r="F814" s="43" t="str">
        <f>IF(E814="", "", IF(AND(E814&gt;='PAINEL DE CONTROLE'!$C$5*(1-CONFIGURAÇÕES!$D$7), E814&lt;='PAINEL DE CONTROLE'!$C$5*(1+CONFIGURAÇÕES!$D$7)), "DENTRO", "FORA"))</f>
        <v/>
      </c>
    </row>
    <row r="815" spans="2:6" x14ac:dyDescent="0.2">
      <c r="B815" s="44"/>
      <c r="C815" s="44"/>
      <c r="D815" s="44"/>
      <c r="E815" s="42"/>
      <c r="F815" s="43" t="str">
        <f>IF(E815="", "", IF(AND(E815&gt;='PAINEL DE CONTROLE'!$C$5*(1-CONFIGURAÇÕES!$D$7), E815&lt;='PAINEL DE CONTROLE'!$C$5*(1+CONFIGURAÇÕES!$D$7)), "DENTRO", "FORA"))</f>
        <v/>
      </c>
    </row>
    <row r="816" spans="2:6" x14ac:dyDescent="0.2">
      <c r="B816" s="44"/>
      <c r="C816" s="44"/>
      <c r="D816" s="44"/>
      <c r="E816" s="42"/>
      <c r="F816" s="43" t="str">
        <f>IF(E816="", "", IF(AND(E816&gt;='PAINEL DE CONTROLE'!$C$5*(1-CONFIGURAÇÕES!$D$7), E816&lt;='PAINEL DE CONTROLE'!$C$5*(1+CONFIGURAÇÕES!$D$7)), "DENTRO", "FORA"))</f>
        <v/>
      </c>
    </row>
    <row r="817" spans="2:6" x14ac:dyDescent="0.2">
      <c r="B817" s="44"/>
      <c r="C817" s="44"/>
      <c r="D817" s="44"/>
      <c r="E817" s="42"/>
      <c r="F817" s="43" t="str">
        <f>IF(E817="", "", IF(AND(E817&gt;='PAINEL DE CONTROLE'!$C$5*(1-CONFIGURAÇÕES!$D$7), E817&lt;='PAINEL DE CONTROLE'!$C$5*(1+CONFIGURAÇÕES!$D$7)), "DENTRO", "FORA"))</f>
        <v/>
      </c>
    </row>
    <row r="818" spans="2:6" x14ac:dyDescent="0.2">
      <c r="B818" s="44"/>
      <c r="C818" s="44"/>
      <c r="D818" s="44"/>
      <c r="E818" s="42"/>
      <c r="F818" s="43" t="str">
        <f>IF(E818="", "", IF(AND(E818&gt;='PAINEL DE CONTROLE'!$C$5*(1-CONFIGURAÇÕES!$D$7), E818&lt;='PAINEL DE CONTROLE'!$C$5*(1+CONFIGURAÇÕES!$D$7)), "DENTRO", "FORA"))</f>
        <v/>
      </c>
    </row>
    <row r="819" spans="2:6" x14ac:dyDescent="0.2">
      <c r="B819" s="44"/>
      <c r="C819" s="44"/>
      <c r="D819" s="44"/>
      <c r="E819" s="42"/>
      <c r="F819" s="43" t="str">
        <f>IF(E819="", "", IF(AND(E819&gt;='PAINEL DE CONTROLE'!$C$5*(1-CONFIGURAÇÕES!$D$7), E819&lt;='PAINEL DE CONTROLE'!$C$5*(1+CONFIGURAÇÕES!$D$7)), "DENTRO", "FORA"))</f>
        <v/>
      </c>
    </row>
    <row r="820" spans="2:6" x14ac:dyDescent="0.2">
      <c r="B820" s="44"/>
      <c r="C820" s="44"/>
      <c r="D820" s="44"/>
      <c r="E820" s="42"/>
      <c r="F820" s="43" t="str">
        <f>IF(E820="", "", IF(AND(E820&gt;='PAINEL DE CONTROLE'!$C$5*(1-CONFIGURAÇÕES!$D$7), E820&lt;='PAINEL DE CONTROLE'!$C$5*(1+CONFIGURAÇÕES!$D$7)), "DENTRO", "FORA"))</f>
        <v/>
      </c>
    </row>
    <row r="821" spans="2:6" x14ac:dyDescent="0.2">
      <c r="B821" s="44"/>
      <c r="C821" s="44"/>
      <c r="D821" s="44"/>
      <c r="E821" s="42"/>
      <c r="F821" s="43" t="str">
        <f>IF(E821="", "", IF(AND(E821&gt;='PAINEL DE CONTROLE'!$C$5*(1-CONFIGURAÇÕES!$D$7), E821&lt;='PAINEL DE CONTROLE'!$C$5*(1+CONFIGURAÇÕES!$D$7)), "DENTRO", "FORA"))</f>
        <v/>
      </c>
    </row>
    <row r="822" spans="2:6" x14ac:dyDescent="0.2">
      <c r="B822" s="44"/>
      <c r="C822" s="44"/>
      <c r="D822" s="44"/>
      <c r="E822" s="42"/>
      <c r="F822" s="43" t="str">
        <f>IF(E822="", "", IF(AND(E822&gt;='PAINEL DE CONTROLE'!$C$5*(1-CONFIGURAÇÕES!$D$7), E822&lt;='PAINEL DE CONTROLE'!$C$5*(1+CONFIGURAÇÕES!$D$7)), "DENTRO", "FORA"))</f>
        <v/>
      </c>
    </row>
    <row r="823" spans="2:6" x14ac:dyDescent="0.2">
      <c r="B823" s="44"/>
      <c r="C823" s="44"/>
      <c r="D823" s="44"/>
      <c r="E823" s="42"/>
      <c r="F823" s="43" t="str">
        <f>IF(E823="", "", IF(AND(E823&gt;='PAINEL DE CONTROLE'!$C$5*(1-CONFIGURAÇÕES!$D$7), E823&lt;='PAINEL DE CONTROLE'!$C$5*(1+CONFIGURAÇÕES!$D$7)), "DENTRO", "FORA"))</f>
        <v/>
      </c>
    </row>
    <row r="824" spans="2:6" x14ac:dyDescent="0.2">
      <c r="B824" s="44"/>
      <c r="C824" s="44"/>
      <c r="D824" s="44"/>
      <c r="E824" s="42"/>
      <c r="F824" s="43" t="str">
        <f>IF(E824="", "", IF(AND(E824&gt;='PAINEL DE CONTROLE'!$C$5*(1-CONFIGURAÇÕES!$D$7), E824&lt;='PAINEL DE CONTROLE'!$C$5*(1+CONFIGURAÇÕES!$D$7)), "DENTRO", "FORA"))</f>
        <v/>
      </c>
    </row>
    <row r="825" spans="2:6" x14ac:dyDescent="0.2">
      <c r="B825" s="44"/>
      <c r="C825" s="44"/>
      <c r="D825" s="44"/>
      <c r="E825" s="42"/>
      <c r="F825" s="43" t="str">
        <f>IF(E825="", "", IF(AND(E825&gt;='PAINEL DE CONTROLE'!$C$5*(1-CONFIGURAÇÕES!$D$7), E825&lt;='PAINEL DE CONTROLE'!$C$5*(1+CONFIGURAÇÕES!$D$7)), "DENTRO", "FORA"))</f>
        <v/>
      </c>
    </row>
    <row r="826" spans="2:6" x14ac:dyDescent="0.2">
      <c r="B826" s="44"/>
      <c r="C826" s="44"/>
      <c r="D826" s="44"/>
      <c r="E826" s="42"/>
      <c r="F826" s="43" t="str">
        <f>IF(E826="", "", IF(AND(E826&gt;='PAINEL DE CONTROLE'!$C$5*(1-CONFIGURAÇÕES!$D$7), E826&lt;='PAINEL DE CONTROLE'!$C$5*(1+CONFIGURAÇÕES!$D$7)), "DENTRO", "FORA"))</f>
        <v/>
      </c>
    </row>
    <row r="827" spans="2:6" x14ac:dyDescent="0.2">
      <c r="B827" s="44"/>
      <c r="C827" s="44"/>
      <c r="D827" s="44"/>
      <c r="E827" s="42"/>
      <c r="F827" s="43" t="str">
        <f>IF(E827="", "", IF(AND(E827&gt;='PAINEL DE CONTROLE'!$C$5*(1-CONFIGURAÇÕES!$D$7), E827&lt;='PAINEL DE CONTROLE'!$C$5*(1+CONFIGURAÇÕES!$D$7)), "DENTRO", "FORA"))</f>
        <v/>
      </c>
    </row>
    <row r="828" spans="2:6" x14ac:dyDescent="0.2">
      <c r="B828" s="44"/>
      <c r="C828" s="44"/>
      <c r="D828" s="44"/>
      <c r="E828" s="42"/>
      <c r="F828" s="43" t="str">
        <f>IF(E828="", "", IF(AND(E828&gt;='PAINEL DE CONTROLE'!$C$5*(1-CONFIGURAÇÕES!$D$7), E828&lt;='PAINEL DE CONTROLE'!$C$5*(1+CONFIGURAÇÕES!$D$7)), "DENTRO", "FORA"))</f>
        <v/>
      </c>
    </row>
    <row r="829" spans="2:6" x14ac:dyDescent="0.2">
      <c r="B829" s="44"/>
      <c r="C829" s="44"/>
      <c r="D829" s="44"/>
      <c r="E829" s="42"/>
      <c r="F829" s="43" t="str">
        <f>IF(E829="", "", IF(AND(E829&gt;='PAINEL DE CONTROLE'!$C$5*(1-CONFIGURAÇÕES!$D$7), E829&lt;='PAINEL DE CONTROLE'!$C$5*(1+CONFIGURAÇÕES!$D$7)), "DENTRO", "FORA"))</f>
        <v/>
      </c>
    </row>
    <row r="830" spans="2:6" x14ac:dyDescent="0.2">
      <c r="B830" s="44"/>
      <c r="C830" s="44"/>
      <c r="D830" s="44"/>
      <c r="E830" s="42"/>
      <c r="F830" s="43" t="str">
        <f>IF(E830="", "", IF(AND(E830&gt;='PAINEL DE CONTROLE'!$C$5*(1-CONFIGURAÇÕES!$D$7), E830&lt;='PAINEL DE CONTROLE'!$C$5*(1+CONFIGURAÇÕES!$D$7)), "DENTRO", "FORA"))</f>
        <v/>
      </c>
    </row>
    <row r="831" spans="2:6" x14ac:dyDescent="0.2">
      <c r="B831" s="44"/>
      <c r="C831" s="44"/>
      <c r="D831" s="44"/>
      <c r="E831" s="42"/>
      <c r="F831" s="43" t="str">
        <f>IF(E831="", "", IF(AND(E831&gt;='PAINEL DE CONTROLE'!$C$5*(1-CONFIGURAÇÕES!$D$7), E831&lt;='PAINEL DE CONTROLE'!$C$5*(1+CONFIGURAÇÕES!$D$7)), "DENTRO", "FORA"))</f>
        <v/>
      </c>
    </row>
    <row r="832" spans="2:6" x14ac:dyDescent="0.2">
      <c r="B832" s="44"/>
      <c r="C832" s="44"/>
      <c r="D832" s="44"/>
      <c r="E832" s="42"/>
      <c r="F832" s="43" t="str">
        <f>IF(E832="", "", IF(AND(E832&gt;='PAINEL DE CONTROLE'!$C$5*(1-CONFIGURAÇÕES!$D$7), E832&lt;='PAINEL DE CONTROLE'!$C$5*(1+CONFIGURAÇÕES!$D$7)), "DENTRO", "FORA"))</f>
        <v/>
      </c>
    </row>
    <row r="833" spans="2:6" x14ac:dyDescent="0.2">
      <c r="B833" s="44"/>
      <c r="C833" s="44"/>
      <c r="D833" s="44"/>
      <c r="E833" s="42"/>
      <c r="F833" s="43" t="str">
        <f>IF(E833="", "", IF(AND(E833&gt;='PAINEL DE CONTROLE'!$C$5*(1-CONFIGURAÇÕES!$D$7), E833&lt;='PAINEL DE CONTROLE'!$C$5*(1+CONFIGURAÇÕES!$D$7)), "DENTRO", "FORA"))</f>
        <v/>
      </c>
    </row>
    <row r="834" spans="2:6" x14ac:dyDescent="0.2">
      <c r="B834" s="44"/>
      <c r="C834" s="44"/>
      <c r="D834" s="44"/>
      <c r="E834" s="42"/>
      <c r="F834" s="43" t="str">
        <f>IF(E834="", "", IF(AND(E834&gt;='PAINEL DE CONTROLE'!$C$5*(1-CONFIGURAÇÕES!$D$7), E834&lt;='PAINEL DE CONTROLE'!$C$5*(1+CONFIGURAÇÕES!$D$7)), "DENTRO", "FORA"))</f>
        <v/>
      </c>
    </row>
    <row r="835" spans="2:6" x14ac:dyDescent="0.2">
      <c r="B835" s="44"/>
      <c r="C835" s="44"/>
      <c r="D835" s="44"/>
      <c r="E835" s="42"/>
      <c r="F835" s="43" t="str">
        <f>IF(E835="", "", IF(AND(E835&gt;='PAINEL DE CONTROLE'!$C$5*(1-CONFIGURAÇÕES!$D$7), E835&lt;='PAINEL DE CONTROLE'!$C$5*(1+CONFIGURAÇÕES!$D$7)), "DENTRO", "FORA"))</f>
        <v/>
      </c>
    </row>
    <row r="836" spans="2:6" x14ac:dyDescent="0.2">
      <c r="B836" s="44"/>
      <c r="C836" s="44"/>
      <c r="D836" s="44"/>
      <c r="E836" s="42"/>
      <c r="F836" s="43" t="str">
        <f>IF(E836="", "", IF(AND(E836&gt;='PAINEL DE CONTROLE'!$C$5*(1-CONFIGURAÇÕES!$D$7), E836&lt;='PAINEL DE CONTROLE'!$C$5*(1+CONFIGURAÇÕES!$D$7)), "DENTRO", "FORA"))</f>
        <v/>
      </c>
    </row>
    <row r="837" spans="2:6" x14ac:dyDescent="0.2">
      <c r="B837" s="44"/>
      <c r="C837" s="44"/>
      <c r="D837" s="44"/>
      <c r="E837" s="42"/>
      <c r="F837" s="43" t="str">
        <f>IF(E837="", "", IF(AND(E837&gt;='PAINEL DE CONTROLE'!$C$5*(1-CONFIGURAÇÕES!$D$7), E837&lt;='PAINEL DE CONTROLE'!$C$5*(1+CONFIGURAÇÕES!$D$7)), "DENTRO", "FORA"))</f>
        <v/>
      </c>
    </row>
    <row r="838" spans="2:6" x14ac:dyDescent="0.2">
      <c r="B838" s="44"/>
      <c r="C838" s="44"/>
      <c r="D838" s="44"/>
      <c r="E838" s="42"/>
      <c r="F838" s="43" t="str">
        <f>IF(E838="", "", IF(AND(E838&gt;='PAINEL DE CONTROLE'!$C$5*(1-CONFIGURAÇÕES!$D$7), E838&lt;='PAINEL DE CONTROLE'!$C$5*(1+CONFIGURAÇÕES!$D$7)), "DENTRO", "FORA"))</f>
        <v/>
      </c>
    </row>
    <row r="839" spans="2:6" x14ac:dyDescent="0.2">
      <c r="B839" s="44"/>
      <c r="C839" s="44"/>
      <c r="D839" s="44"/>
      <c r="E839" s="42"/>
      <c r="F839" s="43" t="str">
        <f>IF(E839="", "", IF(AND(E839&gt;='PAINEL DE CONTROLE'!$C$5*(1-CONFIGURAÇÕES!$D$7), E839&lt;='PAINEL DE CONTROLE'!$C$5*(1+CONFIGURAÇÕES!$D$7)), "DENTRO", "FORA"))</f>
        <v/>
      </c>
    </row>
    <row r="840" spans="2:6" x14ac:dyDescent="0.2">
      <c r="B840" s="44"/>
      <c r="C840" s="44"/>
      <c r="D840" s="44"/>
      <c r="E840" s="42"/>
      <c r="F840" s="43" t="str">
        <f>IF(E840="", "", IF(AND(E840&gt;='PAINEL DE CONTROLE'!$C$5*(1-CONFIGURAÇÕES!$D$7), E840&lt;='PAINEL DE CONTROLE'!$C$5*(1+CONFIGURAÇÕES!$D$7)), "DENTRO", "FORA"))</f>
        <v/>
      </c>
    </row>
    <row r="841" spans="2:6" x14ac:dyDescent="0.2">
      <c r="B841" s="44"/>
      <c r="C841" s="44"/>
      <c r="D841" s="44"/>
      <c r="E841" s="42"/>
      <c r="F841" s="43" t="str">
        <f>IF(E841="", "", IF(AND(E841&gt;='PAINEL DE CONTROLE'!$C$5*(1-CONFIGURAÇÕES!$D$7), E841&lt;='PAINEL DE CONTROLE'!$C$5*(1+CONFIGURAÇÕES!$D$7)), "DENTRO", "FORA"))</f>
        <v/>
      </c>
    </row>
    <row r="842" spans="2:6" x14ac:dyDescent="0.2">
      <c r="B842" s="44"/>
      <c r="C842" s="44"/>
      <c r="D842" s="44"/>
      <c r="E842" s="42"/>
      <c r="F842" s="43" t="str">
        <f>IF(E842="", "", IF(AND(E842&gt;='PAINEL DE CONTROLE'!$C$5*(1-CONFIGURAÇÕES!$D$7), E842&lt;='PAINEL DE CONTROLE'!$C$5*(1+CONFIGURAÇÕES!$D$7)), "DENTRO", "FORA"))</f>
        <v/>
      </c>
    </row>
    <row r="843" spans="2:6" x14ac:dyDescent="0.2">
      <c r="B843" s="44"/>
      <c r="C843" s="44"/>
      <c r="D843" s="44"/>
      <c r="E843" s="42"/>
      <c r="F843" s="43" t="str">
        <f>IF(E843="", "", IF(AND(E843&gt;='PAINEL DE CONTROLE'!$C$5*(1-CONFIGURAÇÕES!$D$7), E843&lt;='PAINEL DE CONTROLE'!$C$5*(1+CONFIGURAÇÕES!$D$7)), "DENTRO", "FORA"))</f>
        <v/>
      </c>
    </row>
    <row r="844" spans="2:6" x14ac:dyDescent="0.2">
      <c r="B844" s="44"/>
      <c r="C844" s="44"/>
      <c r="D844" s="44"/>
      <c r="E844" s="42"/>
      <c r="F844" s="43" t="str">
        <f>IF(E844="", "", IF(AND(E844&gt;='PAINEL DE CONTROLE'!$C$5*(1-CONFIGURAÇÕES!$D$7), E844&lt;='PAINEL DE CONTROLE'!$C$5*(1+CONFIGURAÇÕES!$D$7)), "DENTRO", "FORA"))</f>
        <v/>
      </c>
    </row>
    <row r="845" spans="2:6" x14ac:dyDescent="0.2">
      <c r="B845" s="44"/>
      <c r="C845" s="44"/>
      <c r="D845" s="44"/>
      <c r="E845" s="42"/>
      <c r="F845" s="43" t="str">
        <f>IF(E845="", "", IF(AND(E845&gt;='PAINEL DE CONTROLE'!$C$5*(1-CONFIGURAÇÕES!$D$7), E845&lt;='PAINEL DE CONTROLE'!$C$5*(1+CONFIGURAÇÕES!$D$7)), "DENTRO", "FORA"))</f>
        <v/>
      </c>
    </row>
    <row r="846" spans="2:6" x14ac:dyDescent="0.2">
      <c r="B846" s="44"/>
      <c r="C846" s="44"/>
      <c r="D846" s="44"/>
      <c r="E846" s="42"/>
      <c r="F846" s="43" t="str">
        <f>IF(E846="", "", IF(AND(E846&gt;='PAINEL DE CONTROLE'!$C$5*(1-CONFIGURAÇÕES!$D$7), E846&lt;='PAINEL DE CONTROLE'!$C$5*(1+CONFIGURAÇÕES!$D$7)), "DENTRO", "FORA"))</f>
        <v/>
      </c>
    </row>
    <row r="847" spans="2:6" x14ac:dyDescent="0.2">
      <c r="B847" s="44"/>
      <c r="C847" s="44"/>
      <c r="D847" s="44"/>
      <c r="E847" s="42"/>
      <c r="F847" s="43" t="str">
        <f>IF(E847="", "", IF(AND(E847&gt;='PAINEL DE CONTROLE'!$C$5*(1-CONFIGURAÇÕES!$D$7), E847&lt;='PAINEL DE CONTROLE'!$C$5*(1+CONFIGURAÇÕES!$D$7)), "DENTRO", "FORA"))</f>
        <v/>
      </c>
    </row>
    <row r="848" spans="2:6" x14ac:dyDescent="0.2">
      <c r="B848" s="44"/>
      <c r="C848" s="44"/>
      <c r="D848" s="44"/>
      <c r="E848" s="42"/>
      <c r="F848" s="43" t="str">
        <f>IF(E848="", "", IF(AND(E848&gt;='PAINEL DE CONTROLE'!$C$5*(1-CONFIGURAÇÕES!$D$7), E848&lt;='PAINEL DE CONTROLE'!$C$5*(1+CONFIGURAÇÕES!$D$7)), "DENTRO", "FORA"))</f>
        <v/>
      </c>
    </row>
    <row r="849" spans="2:6" x14ac:dyDescent="0.2">
      <c r="B849" s="44"/>
      <c r="C849" s="44"/>
      <c r="D849" s="44"/>
      <c r="E849" s="42"/>
      <c r="F849" s="43" t="str">
        <f>IF(E849="", "", IF(AND(E849&gt;='PAINEL DE CONTROLE'!$C$5*(1-CONFIGURAÇÕES!$D$7), E849&lt;='PAINEL DE CONTROLE'!$C$5*(1+CONFIGURAÇÕES!$D$7)), "DENTRO", "FORA"))</f>
        <v/>
      </c>
    </row>
    <row r="850" spans="2:6" x14ac:dyDescent="0.2">
      <c r="B850" s="44"/>
      <c r="C850" s="44"/>
      <c r="D850" s="44"/>
      <c r="E850" s="42"/>
      <c r="F850" s="43" t="str">
        <f>IF(E850="", "", IF(AND(E850&gt;='PAINEL DE CONTROLE'!$C$5*(1-CONFIGURAÇÕES!$D$7), E850&lt;='PAINEL DE CONTROLE'!$C$5*(1+CONFIGURAÇÕES!$D$7)), "DENTRO", "FORA"))</f>
        <v/>
      </c>
    </row>
    <row r="851" spans="2:6" x14ac:dyDescent="0.2">
      <c r="B851" s="44"/>
      <c r="C851" s="44"/>
      <c r="D851" s="44"/>
      <c r="E851" s="42"/>
      <c r="F851" s="43" t="str">
        <f>IF(E851="", "", IF(AND(E851&gt;='PAINEL DE CONTROLE'!$C$5*(1-CONFIGURAÇÕES!$D$7), E851&lt;='PAINEL DE CONTROLE'!$C$5*(1+CONFIGURAÇÕES!$D$7)), "DENTRO", "FORA"))</f>
        <v/>
      </c>
    </row>
    <row r="852" spans="2:6" x14ac:dyDescent="0.2">
      <c r="B852" s="44"/>
      <c r="C852" s="44"/>
      <c r="D852" s="44"/>
      <c r="E852" s="42"/>
      <c r="F852" s="43" t="str">
        <f>IF(E852="", "", IF(AND(E852&gt;='PAINEL DE CONTROLE'!$C$5*(1-CONFIGURAÇÕES!$D$7), E852&lt;='PAINEL DE CONTROLE'!$C$5*(1+CONFIGURAÇÕES!$D$7)), "DENTRO", "FORA"))</f>
        <v/>
      </c>
    </row>
    <row r="853" spans="2:6" x14ac:dyDescent="0.2">
      <c r="B853" s="44"/>
      <c r="C853" s="44"/>
      <c r="D853" s="44"/>
      <c r="E853" s="42"/>
      <c r="F853" s="43" t="str">
        <f>IF(E853="", "", IF(AND(E853&gt;='PAINEL DE CONTROLE'!$C$5*(1-CONFIGURAÇÕES!$D$7), E853&lt;='PAINEL DE CONTROLE'!$C$5*(1+CONFIGURAÇÕES!$D$7)), "DENTRO", "FORA"))</f>
        <v/>
      </c>
    </row>
    <row r="854" spans="2:6" x14ac:dyDescent="0.2">
      <c r="B854" s="44"/>
      <c r="C854" s="44"/>
      <c r="D854" s="44"/>
      <c r="E854" s="42"/>
      <c r="F854" s="43" t="str">
        <f>IF(E854="", "", IF(AND(E854&gt;='PAINEL DE CONTROLE'!$C$5*(1-CONFIGURAÇÕES!$D$7), E854&lt;='PAINEL DE CONTROLE'!$C$5*(1+CONFIGURAÇÕES!$D$7)), "DENTRO", "FORA"))</f>
        <v/>
      </c>
    </row>
    <row r="855" spans="2:6" x14ac:dyDescent="0.2">
      <c r="B855" s="44"/>
      <c r="C855" s="44"/>
      <c r="D855" s="44"/>
      <c r="E855" s="42"/>
      <c r="F855" s="43" t="str">
        <f>IF(E855="", "", IF(AND(E855&gt;='PAINEL DE CONTROLE'!$C$5*(1-CONFIGURAÇÕES!$D$7), E855&lt;='PAINEL DE CONTROLE'!$C$5*(1+CONFIGURAÇÕES!$D$7)), "DENTRO", "FORA"))</f>
        <v/>
      </c>
    </row>
    <row r="856" spans="2:6" x14ac:dyDescent="0.2">
      <c r="B856" s="44"/>
      <c r="C856" s="44"/>
      <c r="D856" s="44"/>
      <c r="E856" s="42"/>
      <c r="F856" s="43" t="str">
        <f>IF(E856="", "", IF(AND(E856&gt;='PAINEL DE CONTROLE'!$C$5*(1-CONFIGURAÇÕES!$D$7), E856&lt;='PAINEL DE CONTROLE'!$C$5*(1+CONFIGURAÇÕES!$D$7)), "DENTRO", "FORA"))</f>
        <v/>
      </c>
    </row>
    <row r="857" spans="2:6" x14ac:dyDescent="0.2">
      <c r="B857" s="44"/>
      <c r="C857" s="44"/>
      <c r="D857" s="44"/>
      <c r="E857" s="42"/>
      <c r="F857" s="43" t="str">
        <f>IF(E857="", "", IF(AND(E857&gt;='PAINEL DE CONTROLE'!$C$5*(1-CONFIGURAÇÕES!$D$7), E857&lt;='PAINEL DE CONTROLE'!$C$5*(1+CONFIGURAÇÕES!$D$7)), "DENTRO", "FORA"))</f>
        <v/>
      </c>
    </row>
    <row r="858" spans="2:6" x14ac:dyDescent="0.2">
      <c r="B858" s="44"/>
      <c r="C858" s="44"/>
      <c r="D858" s="44"/>
      <c r="E858" s="42"/>
      <c r="F858" s="43" t="str">
        <f>IF(E858="", "", IF(AND(E858&gt;='PAINEL DE CONTROLE'!$C$5*(1-CONFIGURAÇÕES!$D$7), E858&lt;='PAINEL DE CONTROLE'!$C$5*(1+CONFIGURAÇÕES!$D$7)), "DENTRO", "FORA"))</f>
        <v/>
      </c>
    </row>
    <row r="859" spans="2:6" x14ac:dyDescent="0.2">
      <c r="B859" s="44"/>
      <c r="C859" s="44"/>
      <c r="D859" s="44"/>
      <c r="E859" s="42"/>
      <c r="F859" s="43" t="str">
        <f>IF(E859="", "", IF(AND(E859&gt;='PAINEL DE CONTROLE'!$C$5*(1-CONFIGURAÇÕES!$D$7), E859&lt;='PAINEL DE CONTROLE'!$C$5*(1+CONFIGURAÇÕES!$D$7)), "DENTRO", "FORA"))</f>
        <v/>
      </c>
    </row>
    <row r="860" spans="2:6" x14ac:dyDescent="0.2">
      <c r="B860" s="44"/>
      <c r="C860" s="44"/>
      <c r="D860" s="44"/>
      <c r="E860" s="42"/>
      <c r="F860" s="43" t="str">
        <f>IF(E860="", "", IF(AND(E860&gt;='PAINEL DE CONTROLE'!$C$5*(1-CONFIGURAÇÕES!$D$7), E860&lt;='PAINEL DE CONTROLE'!$C$5*(1+CONFIGURAÇÕES!$D$7)), "DENTRO", "FORA"))</f>
        <v/>
      </c>
    </row>
    <row r="861" spans="2:6" x14ac:dyDescent="0.2">
      <c r="B861" s="44"/>
      <c r="C861" s="44"/>
      <c r="D861" s="44"/>
      <c r="E861" s="42"/>
      <c r="F861" s="43" t="str">
        <f>IF(E861="", "", IF(AND(E861&gt;='PAINEL DE CONTROLE'!$C$5*(1-CONFIGURAÇÕES!$D$7), E861&lt;='PAINEL DE CONTROLE'!$C$5*(1+CONFIGURAÇÕES!$D$7)), "DENTRO", "FORA"))</f>
        <v/>
      </c>
    </row>
    <row r="862" spans="2:6" x14ac:dyDescent="0.2">
      <c r="B862" s="44"/>
      <c r="C862" s="44"/>
      <c r="D862" s="44"/>
      <c r="E862" s="42"/>
      <c r="F862" s="43" t="str">
        <f>IF(E862="", "", IF(AND(E862&gt;='PAINEL DE CONTROLE'!$C$5*(1-CONFIGURAÇÕES!$D$7), E862&lt;='PAINEL DE CONTROLE'!$C$5*(1+CONFIGURAÇÕES!$D$7)), "DENTRO", "FORA"))</f>
        <v/>
      </c>
    </row>
    <row r="863" spans="2:6" x14ac:dyDescent="0.2">
      <c r="B863" s="44"/>
      <c r="C863" s="44"/>
      <c r="D863" s="44"/>
      <c r="E863" s="42"/>
      <c r="F863" s="43" t="str">
        <f>IF(E863="", "", IF(AND(E863&gt;='PAINEL DE CONTROLE'!$C$5*(1-CONFIGURAÇÕES!$D$7), E863&lt;='PAINEL DE CONTROLE'!$C$5*(1+CONFIGURAÇÕES!$D$7)), "DENTRO", "FORA"))</f>
        <v/>
      </c>
    </row>
    <row r="864" spans="2:6" x14ac:dyDescent="0.2">
      <c r="B864" s="44"/>
      <c r="C864" s="44"/>
      <c r="D864" s="44"/>
      <c r="E864" s="42"/>
      <c r="F864" s="43" t="str">
        <f>IF(E864="", "", IF(AND(E864&gt;='PAINEL DE CONTROLE'!$C$5*(1-CONFIGURAÇÕES!$D$7), E864&lt;='PAINEL DE CONTROLE'!$C$5*(1+CONFIGURAÇÕES!$D$7)), "DENTRO", "FORA"))</f>
        <v/>
      </c>
    </row>
    <row r="865" spans="2:6" x14ac:dyDescent="0.2">
      <c r="B865" s="44"/>
      <c r="C865" s="44"/>
      <c r="D865" s="44"/>
      <c r="E865" s="42"/>
      <c r="F865" s="43" t="str">
        <f>IF(E865="", "", IF(AND(E865&gt;='PAINEL DE CONTROLE'!$C$5*(1-CONFIGURAÇÕES!$D$7), E865&lt;='PAINEL DE CONTROLE'!$C$5*(1+CONFIGURAÇÕES!$D$7)), "DENTRO", "FORA"))</f>
        <v/>
      </c>
    </row>
    <row r="866" spans="2:6" x14ac:dyDescent="0.2">
      <c r="B866" s="44"/>
      <c r="C866" s="44"/>
      <c r="D866" s="44"/>
      <c r="E866" s="42"/>
      <c r="F866" s="43" t="str">
        <f>IF(E866="", "", IF(AND(E866&gt;='PAINEL DE CONTROLE'!$C$5*(1-CONFIGURAÇÕES!$D$7), E866&lt;='PAINEL DE CONTROLE'!$C$5*(1+CONFIGURAÇÕES!$D$7)), "DENTRO", "FORA"))</f>
        <v/>
      </c>
    </row>
    <row r="867" spans="2:6" x14ac:dyDescent="0.2">
      <c r="B867" s="44"/>
      <c r="C867" s="44"/>
      <c r="D867" s="44"/>
      <c r="E867" s="42"/>
      <c r="F867" s="43" t="str">
        <f>IF(E867="", "", IF(AND(E867&gt;='PAINEL DE CONTROLE'!$C$5*(1-CONFIGURAÇÕES!$D$7), E867&lt;='PAINEL DE CONTROLE'!$C$5*(1+CONFIGURAÇÕES!$D$7)), "DENTRO", "FORA"))</f>
        <v/>
      </c>
    </row>
    <row r="868" spans="2:6" x14ac:dyDescent="0.2">
      <c r="B868" s="44"/>
      <c r="C868" s="44"/>
      <c r="D868" s="44"/>
      <c r="E868" s="42"/>
      <c r="F868" s="43" t="str">
        <f>IF(E868="", "", IF(AND(E868&gt;='PAINEL DE CONTROLE'!$C$5*(1-CONFIGURAÇÕES!$D$7), E868&lt;='PAINEL DE CONTROLE'!$C$5*(1+CONFIGURAÇÕES!$D$7)), "DENTRO", "FORA"))</f>
        <v/>
      </c>
    </row>
    <row r="869" spans="2:6" x14ac:dyDescent="0.2">
      <c r="B869" s="44"/>
      <c r="C869" s="44"/>
      <c r="D869" s="44"/>
      <c r="E869" s="42"/>
      <c r="F869" s="43" t="str">
        <f>IF(E869="", "", IF(AND(E869&gt;='PAINEL DE CONTROLE'!$C$5*(1-CONFIGURAÇÕES!$D$7), E869&lt;='PAINEL DE CONTROLE'!$C$5*(1+CONFIGURAÇÕES!$D$7)), "DENTRO", "FORA"))</f>
        <v/>
      </c>
    </row>
    <row r="870" spans="2:6" x14ac:dyDescent="0.2">
      <c r="B870" s="44"/>
      <c r="C870" s="44"/>
      <c r="D870" s="44"/>
      <c r="E870" s="42"/>
      <c r="F870" s="43" t="str">
        <f>IF(E870="", "", IF(AND(E870&gt;='PAINEL DE CONTROLE'!$C$5*(1-CONFIGURAÇÕES!$D$7), E870&lt;='PAINEL DE CONTROLE'!$C$5*(1+CONFIGURAÇÕES!$D$7)), "DENTRO", "FORA"))</f>
        <v/>
      </c>
    </row>
    <row r="871" spans="2:6" x14ac:dyDescent="0.2">
      <c r="B871" s="44"/>
      <c r="C871" s="44"/>
      <c r="D871" s="44"/>
      <c r="E871" s="42"/>
      <c r="F871" s="43" t="str">
        <f>IF(E871="", "", IF(AND(E871&gt;='PAINEL DE CONTROLE'!$C$5*(1-CONFIGURAÇÕES!$D$7), E871&lt;='PAINEL DE CONTROLE'!$C$5*(1+CONFIGURAÇÕES!$D$7)), "DENTRO", "FORA"))</f>
        <v/>
      </c>
    </row>
    <row r="872" spans="2:6" x14ac:dyDescent="0.2">
      <c r="B872" s="44"/>
      <c r="C872" s="44"/>
      <c r="D872" s="44"/>
      <c r="E872" s="42"/>
      <c r="F872" s="43" t="str">
        <f>IF(E872="", "", IF(AND(E872&gt;='PAINEL DE CONTROLE'!$C$5*(1-CONFIGURAÇÕES!$D$7), E872&lt;='PAINEL DE CONTROLE'!$C$5*(1+CONFIGURAÇÕES!$D$7)), "DENTRO", "FORA"))</f>
        <v/>
      </c>
    </row>
    <row r="873" spans="2:6" x14ac:dyDescent="0.2">
      <c r="B873" s="44"/>
      <c r="C873" s="44"/>
      <c r="D873" s="44"/>
      <c r="E873" s="42"/>
      <c r="F873" s="43" t="str">
        <f>IF(E873="", "", IF(AND(E873&gt;='PAINEL DE CONTROLE'!$C$5*(1-CONFIGURAÇÕES!$D$7), E873&lt;='PAINEL DE CONTROLE'!$C$5*(1+CONFIGURAÇÕES!$D$7)), "DENTRO", "FORA"))</f>
        <v/>
      </c>
    </row>
    <row r="874" spans="2:6" x14ac:dyDescent="0.2">
      <c r="B874" s="44"/>
      <c r="C874" s="44"/>
      <c r="D874" s="44"/>
      <c r="E874" s="42"/>
      <c r="F874" s="43" t="str">
        <f>IF(E874="", "", IF(AND(E874&gt;='PAINEL DE CONTROLE'!$C$5*(1-CONFIGURAÇÕES!$D$7), E874&lt;='PAINEL DE CONTROLE'!$C$5*(1+CONFIGURAÇÕES!$D$7)), "DENTRO", "FORA"))</f>
        <v/>
      </c>
    </row>
    <row r="875" spans="2:6" x14ac:dyDescent="0.2">
      <c r="B875" s="44"/>
      <c r="C875" s="44"/>
      <c r="D875" s="44"/>
      <c r="E875" s="42"/>
      <c r="F875" s="43" t="str">
        <f>IF(E875="", "", IF(AND(E875&gt;='PAINEL DE CONTROLE'!$C$5*(1-CONFIGURAÇÕES!$D$7), E875&lt;='PAINEL DE CONTROLE'!$C$5*(1+CONFIGURAÇÕES!$D$7)), "DENTRO", "FORA"))</f>
        <v/>
      </c>
    </row>
    <row r="876" spans="2:6" x14ac:dyDescent="0.2">
      <c r="B876" s="44"/>
      <c r="C876" s="44"/>
      <c r="D876" s="44"/>
      <c r="E876" s="42"/>
      <c r="F876" s="43" t="str">
        <f>IF(E876="", "", IF(AND(E876&gt;='PAINEL DE CONTROLE'!$C$5*(1-CONFIGURAÇÕES!$D$7), E876&lt;='PAINEL DE CONTROLE'!$C$5*(1+CONFIGURAÇÕES!$D$7)), "DENTRO", "FORA"))</f>
        <v/>
      </c>
    </row>
    <row r="877" spans="2:6" x14ac:dyDescent="0.2">
      <c r="B877" s="44"/>
      <c r="C877" s="44"/>
      <c r="D877" s="44"/>
      <c r="E877" s="42"/>
      <c r="F877" s="43" t="str">
        <f>IF(E877="", "", IF(AND(E877&gt;='PAINEL DE CONTROLE'!$C$5*(1-CONFIGURAÇÕES!$D$7), E877&lt;='PAINEL DE CONTROLE'!$C$5*(1+CONFIGURAÇÕES!$D$7)), "DENTRO", "FORA"))</f>
        <v/>
      </c>
    </row>
    <row r="878" spans="2:6" x14ac:dyDescent="0.2">
      <c r="B878" s="44"/>
      <c r="C878" s="44"/>
      <c r="D878" s="44"/>
      <c r="E878" s="42"/>
      <c r="F878" s="43" t="str">
        <f>IF(E878="", "", IF(AND(E878&gt;='PAINEL DE CONTROLE'!$C$5*(1-CONFIGURAÇÕES!$D$7), E878&lt;='PAINEL DE CONTROLE'!$C$5*(1+CONFIGURAÇÕES!$D$7)), "DENTRO", "FORA"))</f>
        <v/>
      </c>
    </row>
    <row r="879" spans="2:6" x14ac:dyDescent="0.2">
      <c r="B879" s="44"/>
      <c r="C879" s="44"/>
      <c r="D879" s="44"/>
      <c r="E879" s="42"/>
      <c r="F879" s="43" t="str">
        <f>IF(E879="", "", IF(AND(E879&gt;='PAINEL DE CONTROLE'!$C$5*(1-CONFIGURAÇÕES!$D$7), E879&lt;='PAINEL DE CONTROLE'!$C$5*(1+CONFIGURAÇÕES!$D$7)), "DENTRO", "FORA"))</f>
        <v/>
      </c>
    </row>
    <row r="880" spans="2:6" x14ac:dyDescent="0.2">
      <c r="B880" s="44"/>
      <c r="C880" s="44"/>
      <c r="D880" s="44"/>
      <c r="E880" s="42"/>
      <c r="F880" s="43" t="str">
        <f>IF(E880="", "", IF(AND(E880&gt;='PAINEL DE CONTROLE'!$C$5*(1-CONFIGURAÇÕES!$D$7), E880&lt;='PAINEL DE CONTROLE'!$C$5*(1+CONFIGURAÇÕES!$D$7)), "DENTRO", "FORA"))</f>
        <v/>
      </c>
    </row>
    <row r="881" spans="2:6" x14ac:dyDescent="0.2">
      <c r="B881" s="44"/>
      <c r="C881" s="44"/>
      <c r="D881" s="44"/>
      <c r="E881" s="42"/>
      <c r="F881" s="43" t="str">
        <f>IF(E881="", "", IF(AND(E881&gt;='PAINEL DE CONTROLE'!$C$5*(1-CONFIGURAÇÕES!$D$7), E881&lt;='PAINEL DE CONTROLE'!$C$5*(1+CONFIGURAÇÕES!$D$7)), "DENTRO", "FORA"))</f>
        <v/>
      </c>
    </row>
    <row r="882" spans="2:6" x14ac:dyDescent="0.2">
      <c r="B882" s="44"/>
      <c r="C882" s="44"/>
      <c r="D882" s="44"/>
      <c r="E882" s="42"/>
      <c r="F882" s="43" t="str">
        <f>IF(E882="", "", IF(AND(E882&gt;='PAINEL DE CONTROLE'!$C$5*(1-CONFIGURAÇÕES!$D$7), E882&lt;='PAINEL DE CONTROLE'!$C$5*(1+CONFIGURAÇÕES!$D$7)), "DENTRO", "FORA"))</f>
        <v/>
      </c>
    </row>
    <row r="883" spans="2:6" x14ac:dyDescent="0.2">
      <c r="B883" s="44"/>
      <c r="C883" s="44"/>
      <c r="D883" s="44"/>
      <c r="E883" s="42"/>
      <c r="F883" s="43" t="str">
        <f>IF(E883="", "", IF(AND(E883&gt;='PAINEL DE CONTROLE'!$C$5*(1-CONFIGURAÇÕES!$D$7), E883&lt;='PAINEL DE CONTROLE'!$C$5*(1+CONFIGURAÇÕES!$D$7)), "DENTRO", "FORA"))</f>
        <v/>
      </c>
    </row>
    <row r="884" spans="2:6" x14ac:dyDescent="0.2">
      <c r="B884" s="44"/>
      <c r="C884" s="44"/>
      <c r="D884" s="44"/>
      <c r="E884" s="42"/>
      <c r="F884" s="43" t="str">
        <f>IF(E884="", "", IF(AND(E884&gt;='PAINEL DE CONTROLE'!$C$5*(1-CONFIGURAÇÕES!$D$7), E884&lt;='PAINEL DE CONTROLE'!$C$5*(1+CONFIGURAÇÕES!$D$7)), "DENTRO", "FORA"))</f>
        <v/>
      </c>
    </row>
    <row r="885" spans="2:6" x14ac:dyDescent="0.2">
      <c r="B885" s="44"/>
      <c r="C885" s="44"/>
      <c r="D885" s="44"/>
      <c r="E885" s="42"/>
      <c r="F885" s="43" t="str">
        <f>IF(E885="", "", IF(AND(E885&gt;='PAINEL DE CONTROLE'!$C$5*(1-CONFIGURAÇÕES!$D$7), E885&lt;='PAINEL DE CONTROLE'!$C$5*(1+CONFIGURAÇÕES!$D$7)), "DENTRO", "FORA"))</f>
        <v/>
      </c>
    </row>
    <row r="886" spans="2:6" x14ac:dyDescent="0.2">
      <c r="B886" s="44"/>
      <c r="C886" s="44"/>
      <c r="D886" s="44"/>
      <c r="E886" s="42"/>
      <c r="F886" s="43" t="str">
        <f>IF(E886="", "", IF(AND(E886&gt;='PAINEL DE CONTROLE'!$C$5*(1-CONFIGURAÇÕES!$D$7), E886&lt;='PAINEL DE CONTROLE'!$C$5*(1+CONFIGURAÇÕES!$D$7)), "DENTRO", "FORA"))</f>
        <v/>
      </c>
    </row>
    <row r="887" spans="2:6" x14ac:dyDescent="0.2">
      <c r="B887" s="44"/>
      <c r="C887" s="44"/>
      <c r="D887" s="44"/>
      <c r="E887" s="42"/>
      <c r="F887" s="43" t="str">
        <f>IF(E887="", "", IF(AND(E887&gt;='PAINEL DE CONTROLE'!$C$5*(1-CONFIGURAÇÕES!$D$7), E887&lt;='PAINEL DE CONTROLE'!$C$5*(1+CONFIGURAÇÕES!$D$7)), "DENTRO", "FORA"))</f>
        <v/>
      </c>
    </row>
    <row r="888" spans="2:6" x14ac:dyDescent="0.2">
      <c r="B888" s="44"/>
      <c r="C888" s="44"/>
      <c r="D888" s="44"/>
      <c r="E888" s="42"/>
      <c r="F888" s="43" t="str">
        <f>IF(E888="", "", IF(AND(E888&gt;='PAINEL DE CONTROLE'!$C$5*(1-CONFIGURAÇÕES!$D$7), E888&lt;='PAINEL DE CONTROLE'!$C$5*(1+CONFIGURAÇÕES!$D$7)), "DENTRO", "FORA"))</f>
        <v/>
      </c>
    </row>
    <row r="889" spans="2:6" x14ac:dyDescent="0.2">
      <c r="B889" s="44"/>
      <c r="C889" s="44"/>
      <c r="D889" s="44"/>
      <c r="E889" s="42"/>
      <c r="F889" s="43" t="str">
        <f>IF(E889="", "", IF(AND(E889&gt;='PAINEL DE CONTROLE'!$C$5*(1-CONFIGURAÇÕES!$D$7), E889&lt;='PAINEL DE CONTROLE'!$C$5*(1+CONFIGURAÇÕES!$D$7)), "DENTRO", "FORA"))</f>
        <v/>
      </c>
    </row>
    <row r="890" spans="2:6" x14ac:dyDescent="0.2">
      <c r="B890" s="44"/>
      <c r="C890" s="44"/>
      <c r="D890" s="44"/>
      <c r="E890" s="42"/>
      <c r="F890" s="43" t="str">
        <f>IF(E890="", "", IF(AND(E890&gt;='PAINEL DE CONTROLE'!$C$5*(1-CONFIGURAÇÕES!$D$7), E890&lt;='PAINEL DE CONTROLE'!$C$5*(1+CONFIGURAÇÕES!$D$7)), "DENTRO", "FORA"))</f>
        <v/>
      </c>
    </row>
    <row r="891" spans="2:6" x14ac:dyDescent="0.2">
      <c r="B891" s="44"/>
      <c r="C891" s="44"/>
      <c r="D891" s="44"/>
      <c r="E891" s="42"/>
      <c r="F891" s="43" t="str">
        <f>IF(E891="", "", IF(AND(E891&gt;='PAINEL DE CONTROLE'!$C$5*(1-CONFIGURAÇÕES!$D$7), E891&lt;='PAINEL DE CONTROLE'!$C$5*(1+CONFIGURAÇÕES!$D$7)), "DENTRO", "FORA"))</f>
        <v/>
      </c>
    </row>
    <row r="892" spans="2:6" x14ac:dyDescent="0.2">
      <c r="B892" s="44"/>
      <c r="C892" s="44"/>
      <c r="D892" s="44"/>
      <c r="E892" s="42"/>
      <c r="F892" s="43" t="str">
        <f>IF(E892="", "", IF(AND(E892&gt;='PAINEL DE CONTROLE'!$C$5*(1-CONFIGURAÇÕES!$D$7), E892&lt;='PAINEL DE CONTROLE'!$C$5*(1+CONFIGURAÇÕES!$D$7)), "DENTRO", "FORA"))</f>
        <v/>
      </c>
    </row>
    <row r="893" spans="2:6" x14ac:dyDescent="0.2">
      <c r="B893" s="44"/>
      <c r="C893" s="44"/>
      <c r="D893" s="44"/>
      <c r="E893" s="42"/>
      <c r="F893" s="43" t="str">
        <f>IF(E893="", "", IF(AND(E893&gt;='PAINEL DE CONTROLE'!$C$5*(1-CONFIGURAÇÕES!$D$7), E893&lt;='PAINEL DE CONTROLE'!$C$5*(1+CONFIGURAÇÕES!$D$7)), "DENTRO", "FORA"))</f>
        <v/>
      </c>
    </row>
    <row r="894" spans="2:6" x14ac:dyDescent="0.2">
      <c r="B894" s="44"/>
      <c r="C894" s="44"/>
      <c r="D894" s="44"/>
      <c r="E894" s="42"/>
      <c r="F894" s="43" t="str">
        <f>IF(E894="", "", IF(AND(E894&gt;='PAINEL DE CONTROLE'!$C$5*(1-CONFIGURAÇÕES!$D$7), E894&lt;='PAINEL DE CONTROLE'!$C$5*(1+CONFIGURAÇÕES!$D$7)), "DENTRO", "FORA"))</f>
        <v/>
      </c>
    </row>
    <row r="895" spans="2:6" x14ac:dyDescent="0.2">
      <c r="B895" s="44"/>
      <c r="C895" s="44"/>
      <c r="D895" s="44"/>
      <c r="E895" s="42"/>
      <c r="F895" s="43" t="str">
        <f>IF(E895="", "", IF(AND(E895&gt;='PAINEL DE CONTROLE'!$C$5*(1-CONFIGURAÇÕES!$D$7), E895&lt;='PAINEL DE CONTROLE'!$C$5*(1+CONFIGURAÇÕES!$D$7)), "DENTRO", "FORA"))</f>
        <v/>
      </c>
    </row>
    <row r="896" spans="2:6" x14ac:dyDescent="0.2">
      <c r="B896" s="44"/>
      <c r="C896" s="44"/>
      <c r="D896" s="44"/>
      <c r="E896" s="42"/>
      <c r="F896" s="43" t="str">
        <f>IF(E896="", "", IF(AND(E896&gt;='PAINEL DE CONTROLE'!$C$5*(1-CONFIGURAÇÕES!$D$7), E896&lt;='PAINEL DE CONTROLE'!$C$5*(1+CONFIGURAÇÕES!$D$7)), "DENTRO", "FORA"))</f>
        <v/>
      </c>
    </row>
    <row r="897" spans="2:6" x14ac:dyDescent="0.2">
      <c r="B897" s="44"/>
      <c r="C897" s="44"/>
      <c r="D897" s="44"/>
      <c r="E897" s="42"/>
      <c r="F897" s="43" t="str">
        <f>IF(E897="", "", IF(AND(E897&gt;='PAINEL DE CONTROLE'!$C$5*(1-CONFIGURAÇÕES!$D$7), E897&lt;='PAINEL DE CONTROLE'!$C$5*(1+CONFIGURAÇÕES!$D$7)), "DENTRO", "FORA"))</f>
        <v/>
      </c>
    </row>
    <row r="898" spans="2:6" x14ac:dyDescent="0.2">
      <c r="B898" s="44"/>
      <c r="C898" s="44"/>
      <c r="D898" s="44"/>
      <c r="E898" s="42"/>
      <c r="F898" s="43" t="str">
        <f>IF(E898="", "", IF(AND(E898&gt;='PAINEL DE CONTROLE'!$C$5*(1-CONFIGURAÇÕES!$D$7), E898&lt;='PAINEL DE CONTROLE'!$C$5*(1+CONFIGURAÇÕES!$D$7)), "DENTRO", "FORA"))</f>
        <v/>
      </c>
    </row>
    <row r="899" spans="2:6" x14ac:dyDescent="0.2">
      <c r="B899" s="44"/>
      <c r="C899" s="44"/>
      <c r="D899" s="44"/>
      <c r="E899" s="42"/>
      <c r="F899" s="43" t="str">
        <f>IF(E899="", "", IF(AND(E899&gt;='PAINEL DE CONTROLE'!$C$5*(1-CONFIGURAÇÕES!$D$7), E899&lt;='PAINEL DE CONTROLE'!$C$5*(1+CONFIGURAÇÕES!$D$7)), "DENTRO", "FORA"))</f>
        <v/>
      </c>
    </row>
    <row r="900" spans="2:6" x14ac:dyDescent="0.2">
      <c r="B900" s="44"/>
      <c r="C900" s="44"/>
      <c r="D900" s="44"/>
      <c r="E900" s="42"/>
      <c r="F900" s="43" t="str">
        <f>IF(E900="", "", IF(AND(E900&gt;='PAINEL DE CONTROLE'!$C$5*(1-CONFIGURAÇÕES!$D$7), E900&lt;='PAINEL DE CONTROLE'!$C$5*(1+CONFIGURAÇÕES!$D$7)), "DENTRO", "FORA"))</f>
        <v/>
      </c>
    </row>
    <row r="901" spans="2:6" x14ac:dyDescent="0.2">
      <c r="B901" s="44"/>
      <c r="C901" s="44"/>
      <c r="D901" s="44"/>
      <c r="E901" s="42"/>
      <c r="F901" s="43" t="str">
        <f>IF(E901="", "", IF(AND(E901&gt;='PAINEL DE CONTROLE'!$C$5*(1-CONFIGURAÇÕES!$D$7), E901&lt;='PAINEL DE CONTROLE'!$C$5*(1+CONFIGURAÇÕES!$D$7)), "DENTRO", "FORA"))</f>
        <v/>
      </c>
    </row>
    <row r="902" spans="2:6" x14ac:dyDescent="0.2">
      <c r="B902" s="44"/>
      <c r="C902" s="44"/>
      <c r="D902" s="44"/>
      <c r="E902" s="42"/>
      <c r="F902" s="43" t="str">
        <f>IF(E902="", "", IF(AND(E902&gt;='PAINEL DE CONTROLE'!$C$5*(1-CONFIGURAÇÕES!$D$7), E902&lt;='PAINEL DE CONTROLE'!$C$5*(1+CONFIGURAÇÕES!$D$7)), "DENTRO", "FORA"))</f>
        <v/>
      </c>
    </row>
    <row r="903" spans="2:6" x14ac:dyDescent="0.2">
      <c r="B903" s="44"/>
      <c r="C903" s="44"/>
      <c r="D903" s="44"/>
      <c r="E903" s="42"/>
      <c r="F903" s="43" t="str">
        <f>IF(E903="", "", IF(AND(E903&gt;='PAINEL DE CONTROLE'!$C$5*(1-CONFIGURAÇÕES!$D$7), E903&lt;='PAINEL DE CONTROLE'!$C$5*(1+CONFIGURAÇÕES!$D$7)), "DENTRO", "FORA"))</f>
        <v/>
      </c>
    </row>
    <row r="904" spans="2:6" x14ac:dyDescent="0.2">
      <c r="B904" s="44"/>
      <c r="C904" s="44"/>
      <c r="D904" s="44"/>
      <c r="E904" s="42"/>
      <c r="F904" s="43" t="str">
        <f>IF(E904="", "", IF(AND(E904&gt;='PAINEL DE CONTROLE'!$C$5*(1-CONFIGURAÇÕES!$D$7), E904&lt;='PAINEL DE CONTROLE'!$C$5*(1+CONFIGURAÇÕES!$D$7)), "DENTRO", "FORA"))</f>
        <v/>
      </c>
    </row>
    <row r="905" spans="2:6" x14ac:dyDescent="0.2">
      <c r="B905" s="44"/>
      <c r="C905" s="44"/>
      <c r="D905" s="44"/>
      <c r="E905" s="42"/>
      <c r="F905" s="43" t="str">
        <f>IF(E905="", "", IF(AND(E905&gt;='PAINEL DE CONTROLE'!$C$5*(1-CONFIGURAÇÕES!$D$7), E905&lt;='PAINEL DE CONTROLE'!$C$5*(1+CONFIGURAÇÕES!$D$7)), "DENTRO", "FORA"))</f>
        <v/>
      </c>
    </row>
    <row r="906" spans="2:6" x14ac:dyDescent="0.2">
      <c r="B906" s="44"/>
      <c r="C906" s="44"/>
      <c r="D906" s="44"/>
      <c r="E906" s="42"/>
      <c r="F906" s="43" t="str">
        <f>IF(E906="", "", IF(AND(E906&gt;='PAINEL DE CONTROLE'!$C$5*(1-CONFIGURAÇÕES!$D$7), E906&lt;='PAINEL DE CONTROLE'!$C$5*(1+CONFIGURAÇÕES!$D$7)), "DENTRO", "FORA"))</f>
        <v/>
      </c>
    </row>
    <row r="907" spans="2:6" x14ac:dyDescent="0.2">
      <c r="B907" s="44"/>
      <c r="C907" s="44"/>
      <c r="D907" s="44"/>
      <c r="E907" s="42"/>
      <c r="F907" s="43" t="str">
        <f>IF(E907="", "", IF(AND(E907&gt;='PAINEL DE CONTROLE'!$C$5*(1-CONFIGURAÇÕES!$D$7), E907&lt;='PAINEL DE CONTROLE'!$C$5*(1+CONFIGURAÇÕES!$D$7)), "DENTRO", "FORA"))</f>
        <v/>
      </c>
    </row>
    <row r="908" spans="2:6" x14ac:dyDescent="0.2">
      <c r="B908" s="44"/>
      <c r="C908" s="44"/>
      <c r="D908" s="44"/>
      <c r="E908" s="42"/>
      <c r="F908" s="43" t="str">
        <f>IF(E908="", "", IF(AND(E908&gt;='PAINEL DE CONTROLE'!$C$5*(1-CONFIGURAÇÕES!$D$7), E908&lt;='PAINEL DE CONTROLE'!$C$5*(1+CONFIGURAÇÕES!$D$7)), "DENTRO", "FORA"))</f>
        <v/>
      </c>
    </row>
    <row r="909" spans="2:6" x14ac:dyDescent="0.2">
      <c r="B909" s="44"/>
      <c r="C909" s="44"/>
      <c r="D909" s="44"/>
      <c r="E909" s="42"/>
      <c r="F909" s="43" t="str">
        <f>IF(E909="", "", IF(AND(E909&gt;='PAINEL DE CONTROLE'!$C$5*(1-CONFIGURAÇÕES!$D$7), E909&lt;='PAINEL DE CONTROLE'!$C$5*(1+CONFIGURAÇÕES!$D$7)), "DENTRO", "FORA"))</f>
        <v/>
      </c>
    </row>
    <row r="910" spans="2:6" x14ac:dyDescent="0.2">
      <c r="B910" s="44"/>
      <c r="C910" s="44"/>
      <c r="D910" s="44"/>
      <c r="E910" s="42"/>
      <c r="F910" s="43" t="str">
        <f>IF(E910="", "", IF(AND(E910&gt;='PAINEL DE CONTROLE'!$C$5*(1-CONFIGURAÇÕES!$D$7), E910&lt;='PAINEL DE CONTROLE'!$C$5*(1+CONFIGURAÇÕES!$D$7)), "DENTRO", "FORA"))</f>
        <v/>
      </c>
    </row>
    <row r="911" spans="2:6" x14ac:dyDescent="0.2">
      <c r="B911" s="44"/>
      <c r="C911" s="44"/>
      <c r="D911" s="44"/>
      <c r="E911" s="42"/>
      <c r="F911" s="43" t="str">
        <f>IF(E911="", "", IF(AND(E911&gt;='PAINEL DE CONTROLE'!$C$5*(1-CONFIGURAÇÕES!$D$7), E911&lt;='PAINEL DE CONTROLE'!$C$5*(1+CONFIGURAÇÕES!$D$7)), "DENTRO", "FORA"))</f>
        <v/>
      </c>
    </row>
    <row r="912" spans="2:6" x14ac:dyDescent="0.2">
      <c r="B912" s="44"/>
      <c r="C912" s="44"/>
      <c r="D912" s="44"/>
      <c r="E912" s="42"/>
      <c r="F912" s="43" t="str">
        <f>IF(E912="", "", IF(AND(E912&gt;='PAINEL DE CONTROLE'!$C$5*(1-CONFIGURAÇÕES!$D$7), E912&lt;='PAINEL DE CONTROLE'!$C$5*(1+CONFIGURAÇÕES!$D$7)), "DENTRO", "FORA"))</f>
        <v/>
      </c>
    </row>
    <row r="913" spans="2:6" x14ac:dyDescent="0.2">
      <c r="B913" s="44"/>
      <c r="C913" s="44"/>
      <c r="D913" s="44"/>
      <c r="E913" s="42"/>
      <c r="F913" s="43" t="str">
        <f>IF(E913="", "", IF(AND(E913&gt;='PAINEL DE CONTROLE'!$C$5*(1-CONFIGURAÇÕES!$D$7), E913&lt;='PAINEL DE CONTROLE'!$C$5*(1+CONFIGURAÇÕES!$D$7)), "DENTRO", "FORA"))</f>
        <v/>
      </c>
    </row>
    <row r="914" spans="2:6" x14ac:dyDescent="0.2">
      <c r="B914" s="44"/>
      <c r="C914" s="44"/>
      <c r="D914" s="44"/>
      <c r="E914" s="42"/>
      <c r="F914" s="43" t="str">
        <f>IF(E914="", "", IF(AND(E914&gt;='PAINEL DE CONTROLE'!$C$5*(1-CONFIGURAÇÕES!$D$7), E914&lt;='PAINEL DE CONTROLE'!$C$5*(1+CONFIGURAÇÕES!$D$7)), "DENTRO", "FORA"))</f>
        <v/>
      </c>
    </row>
    <row r="915" spans="2:6" x14ac:dyDescent="0.2">
      <c r="B915" s="44"/>
      <c r="C915" s="44"/>
      <c r="D915" s="44"/>
      <c r="E915" s="42"/>
      <c r="F915" s="43" t="str">
        <f>IF(E915="", "", IF(AND(E915&gt;='PAINEL DE CONTROLE'!$C$5*(1-CONFIGURAÇÕES!$D$7), E915&lt;='PAINEL DE CONTROLE'!$C$5*(1+CONFIGURAÇÕES!$D$7)), "DENTRO", "FORA"))</f>
        <v/>
      </c>
    </row>
    <row r="916" spans="2:6" x14ac:dyDescent="0.2">
      <c r="B916" s="44"/>
      <c r="C916" s="44"/>
      <c r="D916" s="44"/>
      <c r="E916" s="42"/>
      <c r="F916" s="43" t="str">
        <f>IF(E916="", "", IF(AND(E916&gt;='PAINEL DE CONTROLE'!$C$5*(1-CONFIGURAÇÕES!$D$7), E916&lt;='PAINEL DE CONTROLE'!$C$5*(1+CONFIGURAÇÕES!$D$7)), "DENTRO", "FORA"))</f>
        <v/>
      </c>
    </row>
    <row r="917" spans="2:6" x14ac:dyDescent="0.2">
      <c r="B917" s="44"/>
      <c r="C917" s="44"/>
      <c r="D917" s="44"/>
      <c r="E917" s="42"/>
      <c r="F917" s="43" t="str">
        <f>IF(E917="", "", IF(AND(E917&gt;='PAINEL DE CONTROLE'!$C$5*(1-CONFIGURAÇÕES!$D$7), E917&lt;='PAINEL DE CONTROLE'!$C$5*(1+CONFIGURAÇÕES!$D$7)), "DENTRO", "FORA"))</f>
        <v/>
      </c>
    </row>
    <row r="918" spans="2:6" x14ac:dyDescent="0.2">
      <c r="B918" s="44"/>
      <c r="C918" s="44"/>
      <c r="D918" s="44"/>
      <c r="E918" s="42"/>
      <c r="F918" s="43" t="str">
        <f>IF(E918="", "", IF(AND(E918&gt;='PAINEL DE CONTROLE'!$C$5*(1-CONFIGURAÇÕES!$D$7), E918&lt;='PAINEL DE CONTROLE'!$C$5*(1+CONFIGURAÇÕES!$D$7)), "DENTRO", "FORA"))</f>
        <v/>
      </c>
    </row>
    <row r="919" spans="2:6" x14ac:dyDescent="0.2">
      <c r="B919" s="44"/>
      <c r="C919" s="44"/>
      <c r="D919" s="44"/>
      <c r="E919" s="42"/>
      <c r="F919" s="43" t="str">
        <f>IF(E919="", "", IF(AND(E919&gt;='PAINEL DE CONTROLE'!$C$5*(1-CONFIGURAÇÕES!$D$7), E919&lt;='PAINEL DE CONTROLE'!$C$5*(1+CONFIGURAÇÕES!$D$7)), "DENTRO", "FORA"))</f>
        <v/>
      </c>
    </row>
    <row r="920" spans="2:6" x14ac:dyDescent="0.2">
      <c r="B920" s="44"/>
      <c r="C920" s="44"/>
      <c r="D920" s="44"/>
      <c r="E920" s="42"/>
      <c r="F920" s="43" t="str">
        <f>IF(E920="", "", IF(AND(E920&gt;='PAINEL DE CONTROLE'!$C$5*(1-CONFIGURAÇÕES!$D$7), E920&lt;='PAINEL DE CONTROLE'!$C$5*(1+CONFIGURAÇÕES!$D$7)), "DENTRO", "FORA"))</f>
        <v/>
      </c>
    </row>
    <row r="921" spans="2:6" x14ac:dyDescent="0.2">
      <c r="B921" s="44"/>
      <c r="C921" s="44"/>
      <c r="D921" s="44"/>
      <c r="E921" s="42"/>
      <c r="F921" s="43" t="str">
        <f>IF(E921="", "", IF(AND(E921&gt;='PAINEL DE CONTROLE'!$C$5*(1-CONFIGURAÇÕES!$D$7), E921&lt;='PAINEL DE CONTROLE'!$C$5*(1+CONFIGURAÇÕES!$D$7)), "DENTRO", "FORA"))</f>
        <v/>
      </c>
    </row>
    <row r="922" spans="2:6" x14ac:dyDescent="0.2">
      <c r="B922" s="44"/>
      <c r="C922" s="44"/>
      <c r="D922" s="44"/>
      <c r="E922" s="42"/>
      <c r="F922" s="43" t="str">
        <f>IF(E922="", "", IF(AND(E922&gt;='PAINEL DE CONTROLE'!$C$5*(1-CONFIGURAÇÕES!$D$7), E922&lt;='PAINEL DE CONTROLE'!$C$5*(1+CONFIGURAÇÕES!$D$7)), "DENTRO", "FORA"))</f>
        <v/>
      </c>
    </row>
    <row r="923" spans="2:6" x14ac:dyDescent="0.2">
      <c r="B923" s="44"/>
      <c r="C923" s="44"/>
      <c r="D923" s="44"/>
      <c r="E923" s="42"/>
      <c r="F923" s="43" t="str">
        <f>IF(E923="", "", IF(AND(E923&gt;='PAINEL DE CONTROLE'!$C$5*(1-CONFIGURAÇÕES!$D$7), E923&lt;='PAINEL DE CONTROLE'!$C$5*(1+CONFIGURAÇÕES!$D$7)), "DENTRO", "FORA"))</f>
        <v/>
      </c>
    </row>
    <row r="924" spans="2:6" x14ac:dyDescent="0.2">
      <c r="B924" s="44"/>
      <c r="C924" s="44"/>
      <c r="D924" s="44"/>
      <c r="E924" s="42"/>
      <c r="F924" s="43" t="str">
        <f>IF(E924="", "", IF(AND(E924&gt;='PAINEL DE CONTROLE'!$C$5*(1-CONFIGURAÇÕES!$D$7), E924&lt;='PAINEL DE CONTROLE'!$C$5*(1+CONFIGURAÇÕES!$D$7)), "DENTRO", "FORA"))</f>
        <v/>
      </c>
    </row>
    <row r="925" spans="2:6" x14ac:dyDescent="0.2">
      <c r="B925" s="44"/>
      <c r="C925" s="44"/>
      <c r="D925" s="44"/>
      <c r="E925" s="42"/>
      <c r="F925" s="43" t="str">
        <f>IF(E925="", "", IF(AND(E925&gt;='PAINEL DE CONTROLE'!$C$5*(1-CONFIGURAÇÕES!$D$7), E925&lt;='PAINEL DE CONTROLE'!$C$5*(1+CONFIGURAÇÕES!$D$7)), "DENTRO", "FORA"))</f>
        <v/>
      </c>
    </row>
    <row r="926" spans="2:6" x14ac:dyDescent="0.2">
      <c r="B926" s="44"/>
      <c r="C926" s="44"/>
      <c r="D926" s="44"/>
      <c r="E926" s="42"/>
      <c r="F926" s="43" t="str">
        <f>IF(E926="", "", IF(AND(E926&gt;='PAINEL DE CONTROLE'!$C$5*(1-CONFIGURAÇÕES!$D$7), E926&lt;='PAINEL DE CONTROLE'!$C$5*(1+CONFIGURAÇÕES!$D$7)), "DENTRO", "FORA"))</f>
        <v/>
      </c>
    </row>
    <row r="927" spans="2:6" x14ac:dyDescent="0.2">
      <c r="B927" s="44"/>
      <c r="C927" s="44"/>
      <c r="D927" s="44"/>
      <c r="E927" s="42"/>
      <c r="F927" s="43" t="str">
        <f>IF(E927="", "", IF(AND(E927&gt;='PAINEL DE CONTROLE'!$C$5*(1-CONFIGURAÇÕES!$D$7), E927&lt;='PAINEL DE CONTROLE'!$C$5*(1+CONFIGURAÇÕES!$D$7)), "DENTRO", "FORA"))</f>
        <v/>
      </c>
    </row>
    <row r="928" spans="2:6" x14ac:dyDescent="0.2">
      <c r="B928" s="44"/>
      <c r="C928" s="44"/>
      <c r="D928" s="44"/>
      <c r="E928" s="42"/>
      <c r="F928" s="43" t="str">
        <f>IF(E928="", "", IF(AND(E928&gt;='PAINEL DE CONTROLE'!$C$5*(1-CONFIGURAÇÕES!$D$7), E928&lt;='PAINEL DE CONTROLE'!$C$5*(1+CONFIGURAÇÕES!$D$7)), "DENTRO", "FORA"))</f>
        <v/>
      </c>
    </row>
    <row r="929" spans="2:6" x14ac:dyDescent="0.2">
      <c r="B929" s="44"/>
      <c r="C929" s="44"/>
      <c r="D929" s="44"/>
      <c r="E929" s="42"/>
      <c r="F929" s="43" t="str">
        <f>IF(E929="", "", IF(AND(E929&gt;='PAINEL DE CONTROLE'!$C$5*(1-CONFIGURAÇÕES!$D$7), E929&lt;='PAINEL DE CONTROLE'!$C$5*(1+CONFIGURAÇÕES!$D$7)), "DENTRO", "FORA"))</f>
        <v/>
      </c>
    </row>
    <row r="930" spans="2:6" x14ac:dyDescent="0.2">
      <c r="B930" s="44"/>
      <c r="C930" s="44"/>
      <c r="D930" s="44"/>
      <c r="E930" s="42"/>
      <c r="F930" s="43" t="str">
        <f>IF(E930="", "", IF(AND(E930&gt;='PAINEL DE CONTROLE'!$C$5*(1-CONFIGURAÇÕES!$D$7), E930&lt;='PAINEL DE CONTROLE'!$C$5*(1+CONFIGURAÇÕES!$D$7)), "DENTRO", "FORA"))</f>
        <v/>
      </c>
    </row>
    <row r="931" spans="2:6" x14ac:dyDescent="0.2">
      <c r="B931" s="44"/>
      <c r="C931" s="44"/>
      <c r="D931" s="44"/>
      <c r="E931" s="42"/>
      <c r="F931" s="43" t="str">
        <f>IF(E931="", "", IF(AND(E931&gt;='PAINEL DE CONTROLE'!$C$5*(1-CONFIGURAÇÕES!$D$7), E931&lt;='PAINEL DE CONTROLE'!$C$5*(1+CONFIGURAÇÕES!$D$7)), "DENTRO", "FORA"))</f>
        <v/>
      </c>
    </row>
    <row r="932" spans="2:6" x14ac:dyDescent="0.2">
      <c r="B932" s="44"/>
      <c r="C932" s="44"/>
      <c r="D932" s="44"/>
      <c r="E932" s="42"/>
      <c r="F932" s="43" t="str">
        <f>IF(E932="", "", IF(AND(E932&gt;='PAINEL DE CONTROLE'!$C$5*(1-CONFIGURAÇÕES!$D$7), E932&lt;='PAINEL DE CONTROLE'!$C$5*(1+CONFIGURAÇÕES!$D$7)), "DENTRO", "FORA"))</f>
        <v/>
      </c>
    </row>
    <row r="933" spans="2:6" x14ac:dyDescent="0.2">
      <c r="B933" s="44"/>
      <c r="C933" s="44"/>
      <c r="D933" s="44"/>
      <c r="E933" s="42"/>
      <c r="F933" s="43" t="str">
        <f>IF(E933="", "", IF(AND(E933&gt;='PAINEL DE CONTROLE'!$C$5*(1-CONFIGURAÇÕES!$D$7), E933&lt;='PAINEL DE CONTROLE'!$C$5*(1+CONFIGURAÇÕES!$D$7)), "DENTRO", "FORA"))</f>
        <v/>
      </c>
    </row>
    <row r="934" spans="2:6" x14ac:dyDescent="0.2">
      <c r="B934" s="44"/>
      <c r="C934" s="44"/>
      <c r="D934" s="44"/>
      <c r="E934" s="42"/>
      <c r="F934" s="43" t="str">
        <f>IF(E934="", "", IF(AND(E934&gt;='PAINEL DE CONTROLE'!$C$5*(1-CONFIGURAÇÕES!$D$7), E934&lt;='PAINEL DE CONTROLE'!$C$5*(1+CONFIGURAÇÕES!$D$7)), "DENTRO", "FORA"))</f>
        <v/>
      </c>
    </row>
    <row r="935" spans="2:6" x14ac:dyDescent="0.2">
      <c r="B935" s="44"/>
      <c r="C935" s="44"/>
      <c r="D935" s="44"/>
      <c r="E935" s="42"/>
      <c r="F935" s="43" t="str">
        <f>IF(E935="", "", IF(AND(E935&gt;='PAINEL DE CONTROLE'!$C$5*(1-CONFIGURAÇÕES!$D$7), E935&lt;='PAINEL DE CONTROLE'!$C$5*(1+CONFIGURAÇÕES!$D$7)), "DENTRO", "FORA"))</f>
        <v/>
      </c>
    </row>
    <row r="936" spans="2:6" x14ac:dyDescent="0.2">
      <c r="B936" s="44"/>
      <c r="C936" s="44"/>
      <c r="D936" s="44"/>
      <c r="E936" s="42"/>
      <c r="F936" s="43" t="str">
        <f>IF(E936="", "", IF(AND(E936&gt;='PAINEL DE CONTROLE'!$C$5*(1-CONFIGURAÇÕES!$D$7), E936&lt;='PAINEL DE CONTROLE'!$C$5*(1+CONFIGURAÇÕES!$D$7)), "DENTRO", "FORA"))</f>
        <v/>
      </c>
    </row>
    <row r="937" spans="2:6" x14ac:dyDescent="0.2">
      <c r="B937" s="44"/>
      <c r="C937" s="44"/>
      <c r="D937" s="44"/>
      <c r="E937" s="42"/>
      <c r="F937" s="43" t="str">
        <f>IF(E937="", "", IF(AND(E937&gt;='PAINEL DE CONTROLE'!$C$5*(1-CONFIGURAÇÕES!$D$7), E937&lt;='PAINEL DE CONTROLE'!$C$5*(1+CONFIGURAÇÕES!$D$7)), "DENTRO", "FORA"))</f>
        <v/>
      </c>
    </row>
    <row r="938" spans="2:6" x14ac:dyDescent="0.2">
      <c r="B938" s="44"/>
      <c r="C938" s="44"/>
      <c r="D938" s="44"/>
      <c r="E938" s="42"/>
      <c r="F938" s="43" t="str">
        <f>IF(E938="", "", IF(AND(E938&gt;='PAINEL DE CONTROLE'!$C$5*(1-CONFIGURAÇÕES!$D$7), E938&lt;='PAINEL DE CONTROLE'!$C$5*(1+CONFIGURAÇÕES!$D$7)), "DENTRO", "FORA"))</f>
        <v/>
      </c>
    </row>
    <row r="939" spans="2:6" x14ac:dyDescent="0.2">
      <c r="B939" s="44"/>
      <c r="C939" s="44"/>
      <c r="D939" s="44"/>
      <c r="E939" s="42"/>
      <c r="F939" s="43" t="str">
        <f>IF(E939="", "", IF(AND(E939&gt;='PAINEL DE CONTROLE'!$C$5*(1-CONFIGURAÇÕES!$D$7), E939&lt;='PAINEL DE CONTROLE'!$C$5*(1+CONFIGURAÇÕES!$D$7)), "DENTRO", "FORA"))</f>
        <v/>
      </c>
    </row>
    <row r="940" spans="2:6" x14ac:dyDescent="0.2">
      <c r="B940" s="44"/>
      <c r="C940" s="44"/>
      <c r="D940" s="44"/>
      <c r="E940" s="42"/>
      <c r="F940" s="43" t="str">
        <f>IF(E940="", "", IF(AND(E940&gt;='PAINEL DE CONTROLE'!$C$5*(1-CONFIGURAÇÕES!$D$7), E940&lt;='PAINEL DE CONTROLE'!$C$5*(1+CONFIGURAÇÕES!$D$7)), "DENTRO", "FORA"))</f>
        <v/>
      </c>
    </row>
    <row r="941" spans="2:6" x14ac:dyDescent="0.2">
      <c r="B941" s="44"/>
      <c r="C941" s="44"/>
      <c r="D941" s="44"/>
      <c r="E941" s="42"/>
      <c r="F941" s="43" t="str">
        <f>IF(E941="", "", IF(AND(E941&gt;='PAINEL DE CONTROLE'!$C$5*(1-CONFIGURAÇÕES!$D$7), E941&lt;='PAINEL DE CONTROLE'!$C$5*(1+CONFIGURAÇÕES!$D$7)), "DENTRO", "FORA"))</f>
        <v/>
      </c>
    </row>
    <row r="942" spans="2:6" x14ac:dyDescent="0.2">
      <c r="B942" s="44"/>
      <c r="C942" s="44"/>
      <c r="D942" s="44"/>
      <c r="E942" s="42"/>
      <c r="F942" s="43" t="str">
        <f>IF(E942="", "", IF(AND(E942&gt;='PAINEL DE CONTROLE'!$C$5*(1-CONFIGURAÇÕES!$D$7), E942&lt;='PAINEL DE CONTROLE'!$C$5*(1+CONFIGURAÇÕES!$D$7)), "DENTRO", "FORA"))</f>
        <v/>
      </c>
    </row>
    <row r="943" spans="2:6" x14ac:dyDescent="0.2">
      <c r="B943" s="44"/>
      <c r="C943" s="44"/>
      <c r="D943" s="44"/>
      <c r="E943" s="42"/>
      <c r="F943" s="43" t="str">
        <f>IF(E943="", "", IF(AND(E943&gt;='PAINEL DE CONTROLE'!$C$5*(1-CONFIGURAÇÕES!$D$7), E943&lt;='PAINEL DE CONTROLE'!$C$5*(1+CONFIGURAÇÕES!$D$7)), "DENTRO", "FORA"))</f>
        <v/>
      </c>
    </row>
    <row r="944" spans="2:6" x14ac:dyDescent="0.2">
      <c r="B944" s="44"/>
      <c r="C944" s="44"/>
      <c r="D944" s="44"/>
      <c r="E944" s="42"/>
      <c r="F944" s="43" t="str">
        <f>IF(E944="", "", IF(AND(E944&gt;='PAINEL DE CONTROLE'!$C$5*(1-CONFIGURAÇÕES!$D$7), E944&lt;='PAINEL DE CONTROLE'!$C$5*(1+CONFIGURAÇÕES!$D$7)), "DENTRO", "FORA"))</f>
        <v/>
      </c>
    </row>
    <row r="945" spans="2:6" x14ac:dyDescent="0.2">
      <c r="B945" s="44"/>
      <c r="C945" s="44"/>
      <c r="D945" s="44"/>
      <c r="E945" s="42"/>
      <c r="F945" s="43" t="str">
        <f>IF(E945="", "", IF(AND(E945&gt;='PAINEL DE CONTROLE'!$C$5*(1-CONFIGURAÇÕES!$D$7), E945&lt;='PAINEL DE CONTROLE'!$C$5*(1+CONFIGURAÇÕES!$D$7)), "DENTRO", "FORA"))</f>
        <v/>
      </c>
    </row>
    <row r="946" spans="2:6" x14ac:dyDescent="0.2">
      <c r="B946" s="44"/>
      <c r="C946" s="44"/>
      <c r="D946" s="44"/>
      <c r="E946" s="42"/>
      <c r="F946" s="43" t="str">
        <f>IF(E946="", "", IF(AND(E946&gt;='PAINEL DE CONTROLE'!$C$5*(1-CONFIGURAÇÕES!$D$7), E946&lt;='PAINEL DE CONTROLE'!$C$5*(1+CONFIGURAÇÕES!$D$7)), "DENTRO", "FORA"))</f>
        <v/>
      </c>
    </row>
    <row r="947" spans="2:6" x14ac:dyDescent="0.2">
      <c r="B947" s="44"/>
      <c r="C947" s="44"/>
      <c r="D947" s="44"/>
      <c r="E947" s="42"/>
      <c r="F947" s="43" t="str">
        <f>IF(E947="", "", IF(AND(E947&gt;='PAINEL DE CONTROLE'!$C$5*(1-CONFIGURAÇÕES!$D$7), E947&lt;='PAINEL DE CONTROLE'!$C$5*(1+CONFIGURAÇÕES!$D$7)), "DENTRO", "FORA"))</f>
        <v/>
      </c>
    </row>
    <row r="948" spans="2:6" x14ac:dyDescent="0.2">
      <c r="B948" s="44"/>
      <c r="C948" s="44"/>
      <c r="D948" s="44"/>
      <c r="E948" s="42"/>
      <c r="F948" s="43" t="str">
        <f>IF(E948="", "", IF(AND(E948&gt;='PAINEL DE CONTROLE'!$C$5*(1-CONFIGURAÇÕES!$D$7), E948&lt;='PAINEL DE CONTROLE'!$C$5*(1+CONFIGURAÇÕES!$D$7)), "DENTRO", "FORA"))</f>
        <v/>
      </c>
    </row>
    <row r="949" spans="2:6" x14ac:dyDescent="0.2">
      <c r="B949" s="44"/>
      <c r="C949" s="44"/>
      <c r="D949" s="44"/>
      <c r="E949" s="42"/>
      <c r="F949" s="43" t="str">
        <f>IF(E949="", "", IF(AND(E949&gt;='PAINEL DE CONTROLE'!$C$5*(1-CONFIGURAÇÕES!$D$7), E949&lt;='PAINEL DE CONTROLE'!$C$5*(1+CONFIGURAÇÕES!$D$7)), "DENTRO", "FORA"))</f>
        <v/>
      </c>
    </row>
    <row r="950" spans="2:6" x14ac:dyDescent="0.2">
      <c r="B950" s="44"/>
      <c r="C950" s="44"/>
      <c r="D950" s="44"/>
      <c r="E950" s="42"/>
      <c r="F950" s="43" t="str">
        <f>IF(E950="", "", IF(AND(E950&gt;='PAINEL DE CONTROLE'!$C$5*(1-CONFIGURAÇÕES!$D$7), E950&lt;='PAINEL DE CONTROLE'!$C$5*(1+CONFIGURAÇÕES!$D$7)), "DENTRO", "FORA"))</f>
        <v/>
      </c>
    </row>
    <row r="951" spans="2:6" x14ac:dyDescent="0.2">
      <c r="B951" s="44"/>
      <c r="C951" s="44"/>
      <c r="D951" s="44"/>
      <c r="E951" s="42"/>
      <c r="F951" s="43" t="str">
        <f>IF(E951="", "", IF(AND(E951&gt;='PAINEL DE CONTROLE'!$C$5*(1-CONFIGURAÇÕES!$D$7), E951&lt;='PAINEL DE CONTROLE'!$C$5*(1+CONFIGURAÇÕES!$D$7)), "DENTRO", "FORA"))</f>
        <v/>
      </c>
    </row>
    <row r="952" spans="2:6" x14ac:dyDescent="0.2">
      <c r="B952" s="44"/>
      <c r="C952" s="44"/>
      <c r="D952" s="44"/>
      <c r="E952" s="42"/>
      <c r="F952" s="43" t="str">
        <f>IF(E952="", "", IF(AND(E952&gt;='PAINEL DE CONTROLE'!$C$5*(1-CONFIGURAÇÕES!$D$7), E952&lt;='PAINEL DE CONTROLE'!$C$5*(1+CONFIGURAÇÕES!$D$7)), "DENTRO", "FORA"))</f>
        <v/>
      </c>
    </row>
    <row r="953" spans="2:6" x14ac:dyDescent="0.2">
      <c r="B953" s="44"/>
      <c r="C953" s="44"/>
      <c r="D953" s="44"/>
      <c r="E953" s="42"/>
      <c r="F953" s="43" t="str">
        <f>IF(E953="", "", IF(AND(E953&gt;='PAINEL DE CONTROLE'!$C$5*(1-CONFIGURAÇÕES!$D$7), E953&lt;='PAINEL DE CONTROLE'!$C$5*(1+CONFIGURAÇÕES!$D$7)), "DENTRO", "FORA"))</f>
        <v/>
      </c>
    </row>
    <row r="954" spans="2:6" x14ac:dyDescent="0.2">
      <c r="B954" s="44"/>
      <c r="C954" s="44"/>
      <c r="D954" s="44"/>
      <c r="E954" s="42"/>
      <c r="F954" s="43" t="str">
        <f>IF(E954="", "", IF(AND(E954&gt;='PAINEL DE CONTROLE'!$C$5*(1-CONFIGURAÇÕES!$D$7), E954&lt;='PAINEL DE CONTROLE'!$C$5*(1+CONFIGURAÇÕES!$D$7)), "DENTRO", "FORA"))</f>
        <v/>
      </c>
    </row>
    <row r="955" spans="2:6" x14ac:dyDescent="0.2">
      <c r="B955" s="44"/>
      <c r="C955" s="44"/>
      <c r="D955" s="44"/>
      <c r="E955" s="42"/>
      <c r="F955" s="43" t="str">
        <f>IF(E955="", "", IF(AND(E955&gt;='PAINEL DE CONTROLE'!$C$5*(1-CONFIGURAÇÕES!$D$7), E955&lt;='PAINEL DE CONTROLE'!$C$5*(1+CONFIGURAÇÕES!$D$7)), "DENTRO", "FORA"))</f>
        <v/>
      </c>
    </row>
    <row r="956" spans="2:6" x14ac:dyDescent="0.2">
      <c r="B956" s="44"/>
      <c r="C956" s="44"/>
      <c r="D956" s="44"/>
      <c r="E956" s="42"/>
      <c r="F956" s="43" t="str">
        <f>IF(E956="", "", IF(AND(E956&gt;='PAINEL DE CONTROLE'!$C$5*(1-CONFIGURAÇÕES!$D$7), E956&lt;='PAINEL DE CONTROLE'!$C$5*(1+CONFIGURAÇÕES!$D$7)), "DENTRO", "FORA"))</f>
        <v/>
      </c>
    </row>
    <row r="957" spans="2:6" x14ac:dyDescent="0.2">
      <c r="B957" s="44"/>
      <c r="C957" s="44"/>
      <c r="D957" s="44"/>
      <c r="E957" s="42"/>
      <c r="F957" s="43" t="str">
        <f>IF(E957="", "", IF(AND(E957&gt;='PAINEL DE CONTROLE'!$C$5*(1-CONFIGURAÇÕES!$D$7), E957&lt;='PAINEL DE CONTROLE'!$C$5*(1+CONFIGURAÇÕES!$D$7)), "DENTRO", "FORA"))</f>
        <v/>
      </c>
    </row>
    <row r="958" spans="2:6" x14ac:dyDescent="0.2">
      <c r="B958" s="44"/>
      <c r="C958" s="44"/>
      <c r="D958" s="44"/>
      <c r="E958" s="42"/>
      <c r="F958" s="43" t="str">
        <f>IF(E958="", "", IF(AND(E958&gt;='PAINEL DE CONTROLE'!$C$5*(1-CONFIGURAÇÕES!$D$7), E958&lt;='PAINEL DE CONTROLE'!$C$5*(1+CONFIGURAÇÕES!$D$7)), "DENTRO", "FORA"))</f>
        <v/>
      </c>
    </row>
    <row r="959" spans="2:6" x14ac:dyDescent="0.2">
      <c r="B959" s="44"/>
      <c r="C959" s="44"/>
      <c r="D959" s="44"/>
      <c r="E959" s="42"/>
      <c r="F959" s="43" t="str">
        <f>IF(E959="", "", IF(AND(E959&gt;='PAINEL DE CONTROLE'!$C$5*(1-CONFIGURAÇÕES!$D$7), E959&lt;='PAINEL DE CONTROLE'!$C$5*(1+CONFIGURAÇÕES!$D$7)), "DENTRO", "FORA"))</f>
        <v/>
      </c>
    </row>
    <row r="960" spans="2:6" x14ac:dyDescent="0.2">
      <c r="B960" s="44"/>
      <c r="C960" s="44"/>
      <c r="D960" s="44"/>
      <c r="E960" s="42"/>
      <c r="F960" s="43" t="str">
        <f>IF(E960="", "", IF(AND(E960&gt;='PAINEL DE CONTROLE'!$C$5*(1-CONFIGURAÇÕES!$D$7), E960&lt;='PAINEL DE CONTROLE'!$C$5*(1+CONFIGURAÇÕES!$D$7)), "DENTRO", "FORA"))</f>
        <v/>
      </c>
    </row>
    <row r="961" spans="2:6" x14ac:dyDescent="0.2">
      <c r="B961" s="44"/>
      <c r="C961" s="44"/>
      <c r="D961" s="44"/>
      <c r="E961" s="42"/>
      <c r="F961" s="43" t="str">
        <f>IF(E961="", "", IF(AND(E961&gt;='PAINEL DE CONTROLE'!$C$5*(1-CONFIGURAÇÕES!$D$7), E961&lt;='PAINEL DE CONTROLE'!$C$5*(1+CONFIGURAÇÕES!$D$7)), "DENTRO", "FORA"))</f>
        <v/>
      </c>
    </row>
    <row r="962" spans="2:6" x14ac:dyDescent="0.2">
      <c r="B962" s="44"/>
      <c r="C962" s="44"/>
      <c r="D962" s="44"/>
      <c r="E962" s="42"/>
      <c r="F962" s="43" t="str">
        <f>IF(E962="", "", IF(AND(E962&gt;='PAINEL DE CONTROLE'!$C$5*(1-CONFIGURAÇÕES!$D$7), E962&lt;='PAINEL DE CONTROLE'!$C$5*(1+CONFIGURAÇÕES!$D$7)), "DENTRO", "FORA"))</f>
        <v/>
      </c>
    </row>
    <row r="963" spans="2:6" x14ac:dyDescent="0.2">
      <c r="B963" s="44"/>
      <c r="C963" s="44"/>
      <c r="D963" s="44"/>
      <c r="E963" s="42"/>
      <c r="F963" s="43" t="str">
        <f>IF(E963="", "", IF(AND(E963&gt;='PAINEL DE CONTROLE'!$C$5*(1-CONFIGURAÇÕES!$D$7), E963&lt;='PAINEL DE CONTROLE'!$C$5*(1+CONFIGURAÇÕES!$D$7)), "DENTRO", "FORA"))</f>
        <v/>
      </c>
    </row>
    <row r="964" spans="2:6" x14ac:dyDescent="0.2">
      <c r="B964" s="44"/>
      <c r="C964" s="44"/>
      <c r="D964" s="44"/>
      <c r="E964" s="42"/>
      <c r="F964" s="43" t="str">
        <f>IF(E964="", "", IF(AND(E964&gt;='PAINEL DE CONTROLE'!$C$5*(1-CONFIGURAÇÕES!$D$7), E964&lt;='PAINEL DE CONTROLE'!$C$5*(1+CONFIGURAÇÕES!$D$7)), "DENTRO", "FORA"))</f>
        <v/>
      </c>
    </row>
    <row r="965" spans="2:6" x14ac:dyDescent="0.2">
      <c r="B965" s="44"/>
      <c r="C965" s="44"/>
      <c r="D965" s="44"/>
      <c r="E965" s="42"/>
      <c r="F965" s="43" t="str">
        <f>IF(E965="", "", IF(AND(E965&gt;='PAINEL DE CONTROLE'!$C$5*(1-CONFIGURAÇÕES!$D$7), E965&lt;='PAINEL DE CONTROLE'!$C$5*(1+CONFIGURAÇÕES!$D$7)), "DENTRO", "FORA"))</f>
        <v/>
      </c>
    </row>
    <row r="966" spans="2:6" x14ac:dyDescent="0.2">
      <c r="B966" s="44"/>
      <c r="C966" s="44"/>
      <c r="D966" s="44"/>
      <c r="E966" s="42"/>
      <c r="F966" s="43" t="str">
        <f>IF(E966="", "", IF(AND(E966&gt;='PAINEL DE CONTROLE'!$C$5*(1-CONFIGURAÇÕES!$D$7), E966&lt;='PAINEL DE CONTROLE'!$C$5*(1+CONFIGURAÇÕES!$D$7)), "DENTRO", "FORA"))</f>
        <v/>
      </c>
    </row>
    <row r="967" spans="2:6" x14ac:dyDescent="0.2">
      <c r="B967" s="44"/>
      <c r="C967" s="44"/>
      <c r="D967" s="44"/>
      <c r="E967" s="42"/>
      <c r="F967" s="43" t="str">
        <f>IF(E967="", "", IF(AND(E967&gt;='PAINEL DE CONTROLE'!$C$5*(1-CONFIGURAÇÕES!$D$7), E967&lt;='PAINEL DE CONTROLE'!$C$5*(1+CONFIGURAÇÕES!$D$7)), "DENTRO", "FORA"))</f>
        <v/>
      </c>
    </row>
    <row r="968" spans="2:6" x14ac:dyDescent="0.2">
      <c r="B968" s="44"/>
      <c r="C968" s="44"/>
      <c r="D968" s="44"/>
      <c r="E968" s="42"/>
      <c r="F968" s="43" t="str">
        <f>IF(E968="", "", IF(AND(E968&gt;='PAINEL DE CONTROLE'!$C$5*(1-CONFIGURAÇÕES!$D$7), E968&lt;='PAINEL DE CONTROLE'!$C$5*(1+CONFIGURAÇÕES!$D$7)), "DENTRO", "FORA"))</f>
        <v/>
      </c>
    </row>
    <row r="969" spans="2:6" x14ac:dyDescent="0.2">
      <c r="B969" s="44"/>
      <c r="C969" s="44"/>
      <c r="D969" s="44"/>
      <c r="E969" s="42"/>
      <c r="F969" s="43" t="str">
        <f>IF(E969="", "", IF(AND(E969&gt;='PAINEL DE CONTROLE'!$C$5*(1-CONFIGURAÇÕES!$D$7), E969&lt;='PAINEL DE CONTROLE'!$C$5*(1+CONFIGURAÇÕES!$D$7)), "DENTRO", "FORA"))</f>
        <v/>
      </c>
    </row>
    <row r="970" spans="2:6" x14ac:dyDescent="0.2">
      <c r="B970" s="44"/>
      <c r="C970" s="44"/>
      <c r="D970" s="44"/>
      <c r="E970" s="42"/>
      <c r="F970" s="43" t="str">
        <f>IF(E970="", "", IF(AND(E970&gt;='PAINEL DE CONTROLE'!$C$5*(1-CONFIGURAÇÕES!$D$7), E970&lt;='PAINEL DE CONTROLE'!$C$5*(1+CONFIGURAÇÕES!$D$7)), "DENTRO", "FORA"))</f>
        <v/>
      </c>
    </row>
    <row r="971" spans="2:6" x14ac:dyDescent="0.2">
      <c r="B971" s="44"/>
      <c r="C971" s="44"/>
      <c r="D971" s="44"/>
      <c r="E971" s="42"/>
      <c r="F971" s="43" t="str">
        <f>IF(E971="", "", IF(AND(E971&gt;='PAINEL DE CONTROLE'!$C$5*(1-CONFIGURAÇÕES!$D$7), E971&lt;='PAINEL DE CONTROLE'!$C$5*(1+CONFIGURAÇÕES!$D$7)), "DENTRO", "FORA"))</f>
        <v/>
      </c>
    </row>
    <row r="972" spans="2:6" x14ac:dyDescent="0.2">
      <c r="B972" s="44"/>
      <c r="C972" s="44"/>
      <c r="D972" s="44"/>
      <c r="E972" s="42"/>
      <c r="F972" s="43" t="str">
        <f>IF(E972="", "", IF(AND(E972&gt;='PAINEL DE CONTROLE'!$C$5*(1-CONFIGURAÇÕES!$D$7), E972&lt;='PAINEL DE CONTROLE'!$C$5*(1+CONFIGURAÇÕES!$D$7)), "DENTRO", "FORA"))</f>
        <v/>
      </c>
    </row>
    <row r="973" spans="2:6" x14ac:dyDescent="0.2">
      <c r="B973" s="44"/>
      <c r="C973" s="44"/>
      <c r="D973" s="44"/>
      <c r="E973" s="42"/>
      <c r="F973" s="43" t="str">
        <f>IF(E973="", "", IF(AND(E973&gt;='PAINEL DE CONTROLE'!$C$5*(1-CONFIGURAÇÕES!$D$7), E973&lt;='PAINEL DE CONTROLE'!$C$5*(1+CONFIGURAÇÕES!$D$7)), "DENTRO", "FORA"))</f>
        <v/>
      </c>
    </row>
    <row r="974" spans="2:6" x14ac:dyDescent="0.2">
      <c r="B974" s="44"/>
      <c r="C974" s="44"/>
      <c r="D974" s="44"/>
      <c r="E974" s="42"/>
      <c r="F974" s="43" t="str">
        <f>IF(E974="", "", IF(AND(E974&gt;='PAINEL DE CONTROLE'!$C$5*(1-CONFIGURAÇÕES!$D$7), E974&lt;='PAINEL DE CONTROLE'!$C$5*(1+CONFIGURAÇÕES!$D$7)), "DENTRO", "FORA"))</f>
        <v/>
      </c>
    </row>
    <row r="975" spans="2:6" x14ac:dyDescent="0.2">
      <c r="B975" s="44"/>
      <c r="C975" s="44"/>
      <c r="D975" s="44"/>
      <c r="E975" s="42"/>
      <c r="F975" s="43" t="str">
        <f>IF(E975="", "", IF(AND(E975&gt;='PAINEL DE CONTROLE'!$C$5*(1-CONFIGURAÇÕES!$D$7), E975&lt;='PAINEL DE CONTROLE'!$C$5*(1+CONFIGURAÇÕES!$D$7)), "DENTRO", "FORA"))</f>
        <v/>
      </c>
    </row>
    <row r="976" spans="2:6" x14ac:dyDescent="0.2">
      <c r="B976" s="44"/>
      <c r="C976" s="44"/>
      <c r="D976" s="44"/>
      <c r="E976" s="42"/>
      <c r="F976" s="43" t="str">
        <f>IF(E976="", "", IF(AND(E976&gt;='PAINEL DE CONTROLE'!$C$5*(1-CONFIGURAÇÕES!$D$7), E976&lt;='PAINEL DE CONTROLE'!$C$5*(1+CONFIGURAÇÕES!$D$7)), "DENTRO", "FORA"))</f>
        <v/>
      </c>
    </row>
    <row r="977" spans="2:6" x14ac:dyDescent="0.2">
      <c r="B977" s="44"/>
      <c r="C977" s="44"/>
      <c r="D977" s="44"/>
      <c r="E977" s="42"/>
      <c r="F977" s="43" t="str">
        <f>IF(E977="", "", IF(AND(E977&gt;='PAINEL DE CONTROLE'!$C$5*(1-CONFIGURAÇÕES!$D$7), E977&lt;='PAINEL DE CONTROLE'!$C$5*(1+CONFIGURAÇÕES!$D$7)), "DENTRO", "FORA"))</f>
        <v/>
      </c>
    </row>
    <row r="978" spans="2:6" x14ac:dyDescent="0.2">
      <c r="B978" s="44"/>
      <c r="C978" s="44"/>
      <c r="D978" s="44"/>
      <c r="E978" s="42"/>
      <c r="F978" s="43" t="str">
        <f>IF(E978="", "", IF(AND(E978&gt;='PAINEL DE CONTROLE'!$C$5*(1-CONFIGURAÇÕES!$D$7), E978&lt;='PAINEL DE CONTROLE'!$C$5*(1+CONFIGURAÇÕES!$D$7)), "DENTRO", "FORA"))</f>
        <v/>
      </c>
    </row>
    <row r="979" spans="2:6" x14ac:dyDescent="0.2">
      <c r="B979" s="44"/>
      <c r="C979" s="44"/>
      <c r="D979" s="44"/>
      <c r="E979" s="42"/>
      <c r="F979" s="43" t="str">
        <f>IF(E979="", "", IF(AND(E979&gt;='PAINEL DE CONTROLE'!$C$5*(1-CONFIGURAÇÕES!$D$7), E979&lt;='PAINEL DE CONTROLE'!$C$5*(1+CONFIGURAÇÕES!$D$7)), "DENTRO", "FORA"))</f>
        <v/>
      </c>
    </row>
    <row r="980" spans="2:6" x14ac:dyDescent="0.2">
      <c r="B980" s="44"/>
      <c r="C980" s="44"/>
      <c r="D980" s="44"/>
      <c r="E980" s="42"/>
      <c r="F980" s="43" t="str">
        <f>IF(E980="", "", IF(AND(E980&gt;='PAINEL DE CONTROLE'!$C$5*(1-CONFIGURAÇÕES!$D$7), E980&lt;='PAINEL DE CONTROLE'!$C$5*(1+CONFIGURAÇÕES!$D$7)), "DENTRO", "FORA"))</f>
        <v/>
      </c>
    </row>
    <row r="981" spans="2:6" x14ac:dyDescent="0.2">
      <c r="B981" s="44"/>
      <c r="C981" s="44"/>
      <c r="D981" s="44"/>
      <c r="E981" s="42"/>
      <c r="F981" s="43" t="str">
        <f>IF(E981="", "", IF(AND(E981&gt;='PAINEL DE CONTROLE'!$C$5*(1-CONFIGURAÇÕES!$D$7), E981&lt;='PAINEL DE CONTROLE'!$C$5*(1+CONFIGURAÇÕES!$D$7)), "DENTRO", "FORA"))</f>
        <v/>
      </c>
    </row>
    <row r="982" spans="2:6" x14ac:dyDescent="0.2">
      <c r="B982" s="44"/>
      <c r="C982" s="44"/>
      <c r="D982" s="44"/>
      <c r="E982" s="42"/>
      <c r="F982" s="43" t="str">
        <f>IF(E982="", "", IF(AND(E982&gt;='PAINEL DE CONTROLE'!$C$5*(1-CONFIGURAÇÕES!$D$7), E982&lt;='PAINEL DE CONTROLE'!$C$5*(1+CONFIGURAÇÕES!$D$7)), "DENTRO", "FORA"))</f>
        <v/>
      </c>
    </row>
    <row r="983" spans="2:6" x14ac:dyDescent="0.2">
      <c r="B983" s="44"/>
      <c r="C983" s="44"/>
      <c r="D983" s="44"/>
      <c r="E983" s="42"/>
      <c r="F983" s="43" t="str">
        <f>IF(E983="", "", IF(AND(E983&gt;='PAINEL DE CONTROLE'!$C$5*(1-CONFIGURAÇÕES!$D$7), E983&lt;='PAINEL DE CONTROLE'!$C$5*(1+CONFIGURAÇÕES!$D$7)), "DENTRO", "FORA"))</f>
        <v/>
      </c>
    </row>
    <row r="984" spans="2:6" x14ac:dyDescent="0.2">
      <c r="B984" s="44"/>
      <c r="C984" s="44"/>
      <c r="D984" s="44"/>
      <c r="E984" s="42"/>
      <c r="F984" s="43" t="str">
        <f>IF(E984="", "", IF(AND(E984&gt;='PAINEL DE CONTROLE'!$C$5*(1-CONFIGURAÇÕES!$D$7), E984&lt;='PAINEL DE CONTROLE'!$C$5*(1+CONFIGURAÇÕES!$D$7)), "DENTRO", "FORA"))</f>
        <v/>
      </c>
    </row>
    <row r="985" spans="2:6" x14ac:dyDescent="0.2">
      <c r="B985" s="44"/>
      <c r="C985" s="44"/>
      <c r="D985" s="44"/>
      <c r="E985" s="42"/>
      <c r="F985" s="43" t="str">
        <f>IF(E985="", "", IF(AND(E985&gt;='PAINEL DE CONTROLE'!$C$5*(1-CONFIGURAÇÕES!$D$7), E985&lt;='PAINEL DE CONTROLE'!$C$5*(1+CONFIGURAÇÕES!$D$7)), "DENTRO", "FORA"))</f>
        <v/>
      </c>
    </row>
    <row r="986" spans="2:6" x14ac:dyDescent="0.2">
      <c r="B986" s="44"/>
      <c r="C986" s="44"/>
      <c r="D986" s="44"/>
      <c r="E986" s="42"/>
      <c r="F986" s="43" t="str">
        <f>IF(E986="", "", IF(AND(E986&gt;='PAINEL DE CONTROLE'!$C$5*(1-CONFIGURAÇÕES!$D$7), E986&lt;='PAINEL DE CONTROLE'!$C$5*(1+CONFIGURAÇÕES!$D$7)), "DENTRO", "FORA"))</f>
        <v/>
      </c>
    </row>
    <row r="987" spans="2:6" x14ac:dyDescent="0.2">
      <c r="B987" s="44"/>
      <c r="C987" s="44"/>
      <c r="D987" s="44"/>
      <c r="E987" s="42"/>
      <c r="F987" s="43" t="str">
        <f>IF(E987="", "", IF(AND(E987&gt;='PAINEL DE CONTROLE'!$C$5*(1-CONFIGURAÇÕES!$D$7), E987&lt;='PAINEL DE CONTROLE'!$C$5*(1+CONFIGURAÇÕES!$D$7)), "DENTRO", "FORA"))</f>
        <v/>
      </c>
    </row>
    <row r="988" spans="2:6" x14ac:dyDescent="0.2">
      <c r="B988" s="44"/>
      <c r="C988" s="44"/>
      <c r="D988" s="44"/>
      <c r="E988" s="42"/>
      <c r="F988" s="43" t="str">
        <f>IF(E988="", "", IF(AND(E988&gt;='PAINEL DE CONTROLE'!$C$5*(1-CONFIGURAÇÕES!$D$7), E988&lt;='PAINEL DE CONTROLE'!$C$5*(1+CONFIGURAÇÕES!$D$7)), "DENTRO", "FORA"))</f>
        <v/>
      </c>
    </row>
    <row r="989" spans="2:6" x14ac:dyDescent="0.2">
      <c r="B989" s="44"/>
      <c r="C989" s="44"/>
      <c r="D989" s="44"/>
      <c r="E989" s="42"/>
      <c r="F989" s="43" t="str">
        <f>IF(E989="", "", IF(AND(E989&gt;='PAINEL DE CONTROLE'!$C$5*(1-CONFIGURAÇÕES!$D$7), E989&lt;='PAINEL DE CONTROLE'!$C$5*(1+CONFIGURAÇÕES!$D$7)), "DENTRO", "FORA"))</f>
        <v/>
      </c>
    </row>
    <row r="990" spans="2:6" x14ac:dyDescent="0.2">
      <c r="B990" s="44"/>
      <c r="C990" s="44"/>
      <c r="D990" s="44"/>
      <c r="E990" s="42"/>
      <c r="F990" s="43" t="str">
        <f>IF(E990="", "", IF(AND(E990&gt;='PAINEL DE CONTROLE'!$C$5*(1-CONFIGURAÇÕES!$D$7), E990&lt;='PAINEL DE CONTROLE'!$C$5*(1+CONFIGURAÇÕES!$D$7)), "DENTRO", "FORA"))</f>
        <v/>
      </c>
    </row>
    <row r="991" spans="2:6" x14ac:dyDescent="0.2">
      <c r="B991" s="44"/>
      <c r="C991" s="44"/>
      <c r="D991" s="44"/>
      <c r="E991" s="42"/>
      <c r="F991" s="43" t="str">
        <f>IF(E991="", "", IF(AND(E991&gt;='PAINEL DE CONTROLE'!$C$5*(1-CONFIGURAÇÕES!$D$7), E991&lt;='PAINEL DE CONTROLE'!$C$5*(1+CONFIGURAÇÕES!$D$7)), "DENTRO", "FORA"))</f>
        <v/>
      </c>
    </row>
    <row r="992" spans="2:6" x14ac:dyDescent="0.2">
      <c r="B992" s="44"/>
      <c r="C992" s="44"/>
      <c r="D992" s="44"/>
      <c r="E992" s="42"/>
      <c r="F992" s="43" t="str">
        <f>IF(E992="", "", IF(AND(E992&gt;='PAINEL DE CONTROLE'!$C$5*(1-CONFIGURAÇÕES!$D$7), E992&lt;='PAINEL DE CONTROLE'!$C$5*(1+CONFIGURAÇÕES!$D$7)), "DENTRO", "FORA"))</f>
        <v/>
      </c>
    </row>
    <row r="993" spans="2:6" x14ac:dyDescent="0.2">
      <c r="B993" s="44"/>
      <c r="C993" s="44"/>
      <c r="D993" s="44"/>
      <c r="E993" s="42"/>
      <c r="F993" s="43" t="str">
        <f>IF(E993="", "", IF(AND(E993&gt;='PAINEL DE CONTROLE'!$C$5*(1-CONFIGURAÇÕES!$D$7), E993&lt;='PAINEL DE CONTROLE'!$C$5*(1+CONFIGURAÇÕES!$D$7)), "DENTRO", "FORA"))</f>
        <v/>
      </c>
    </row>
    <row r="994" spans="2:6" x14ac:dyDescent="0.2">
      <c r="B994" s="44"/>
      <c r="C994" s="44"/>
      <c r="D994" s="44"/>
      <c r="E994" s="42"/>
      <c r="F994" s="43" t="str">
        <f>IF(E994="", "", IF(AND(E994&gt;='PAINEL DE CONTROLE'!$C$5*(1-CONFIGURAÇÕES!$D$7), E994&lt;='PAINEL DE CONTROLE'!$C$5*(1+CONFIGURAÇÕES!$D$7)), "DENTRO", "FORA"))</f>
        <v/>
      </c>
    </row>
    <row r="995" spans="2:6" x14ac:dyDescent="0.2">
      <c r="B995" s="44"/>
      <c r="C995" s="44"/>
      <c r="D995" s="44"/>
      <c r="E995" s="42"/>
      <c r="F995" s="43" t="str">
        <f>IF(E995="", "", IF(AND(E995&gt;='PAINEL DE CONTROLE'!$C$5*(1-CONFIGURAÇÕES!$D$7), E995&lt;='PAINEL DE CONTROLE'!$C$5*(1+CONFIGURAÇÕES!$D$7)), "DENTRO", "FORA"))</f>
        <v/>
      </c>
    </row>
    <row r="996" spans="2:6" x14ac:dyDescent="0.2">
      <c r="B996" s="44"/>
      <c r="C996" s="44"/>
      <c r="D996" s="44"/>
      <c r="E996" s="42"/>
      <c r="F996" s="43" t="str">
        <f>IF(E996="", "", IF(AND(E996&gt;='PAINEL DE CONTROLE'!$C$5*(1-CONFIGURAÇÕES!$D$7), E996&lt;='PAINEL DE CONTROLE'!$C$5*(1+CONFIGURAÇÕES!$D$7)), "DENTRO", "FORA"))</f>
        <v/>
      </c>
    </row>
    <row r="997" spans="2:6" x14ac:dyDescent="0.2">
      <c r="B997" s="44"/>
      <c r="C997" s="44"/>
      <c r="D997" s="44"/>
      <c r="E997" s="42"/>
      <c r="F997" s="43" t="str">
        <f>IF(E997="", "", IF(AND(E997&gt;='PAINEL DE CONTROLE'!$C$5*(1-CONFIGURAÇÕES!$D$7), E997&lt;='PAINEL DE CONTROLE'!$C$5*(1+CONFIGURAÇÕES!$D$7)), "DENTRO", "FORA"))</f>
        <v/>
      </c>
    </row>
    <row r="998" spans="2:6" x14ac:dyDescent="0.2">
      <c r="B998" s="44"/>
      <c r="C998" s="44"/>
      <c r="D998" s="44"/>
      <c r="E998" s="42"/>
      <c r="F998" s="43" t="str">
        <f>IF(E998="", "", IF(AND(E998&gt;='PAINEL DE CONTROLE'!$C$5*(1-CONFIGURAÇÕES!$D$7), E998&lt;='PAINEL DE CONTROLE'!$C$5*(1+CONFIGURAÇÕES!$D$7)), "DENTRO", "FORA"))</f>
        <v/>
      </c>
    </row>
    <row r="999" spans="2:6" x14ac:dyDescent="0.2">
      <c r="B999" s="44"/>
      <c r="C999" s="44"/>
      <c r="D999" s="44"/>
      <c r="E999" s="42"/>
      <c r="F999" s="43" t="str">
        <f>IF(E999="", "", IF(AND(E999&gt;='PAINEL DE CONTROLE'!$C$5*(1-CONFIGURAÇÕES!$D$7), E999&lt;='PAINEL DE CONTROLE'!$C$5*(1+CONFIGURAÇÕES!$D$7)), "DENTRO", "FORA"))</f>
        <v/>
      </c>
    </row>
    <row r="1000" spans="2:6" x14ac:dyDescent="0.2">
      <c r="B1000" s="44"/>
      <c r="C1000" s="44"/>
      <c r="D1000" s="44"/>
      <c r="E1000" s="42"/>
      <c r="F1000" s="43" t="str">
        <f>IF(E1000="", "", IF(AND(E1000&gt;='PAINEL DE CONTROLE'!$C$5*(1-CONFIGURAÇÕES!$D$7), E1000&lt;='PAINEL DE CONTROLE'!$C$5*(1+CONFIGURAÇÕES!$D$7)), "DENTRO", "FORA"))</f>
        <v/>
      </c>
    </row>
    <row r="1001" spans="2:6" x14ac:dyDescent="0.2">
      <c r="B1001" s="44"/>
      <c r="C1001" s="44"/>
      <c r="D1001" s="44"/>
      <c r="E1001" s="42"/>
      <c r="F1001" s="43" t="str">
        <f>IF(E1001="", "", IF(AND(E1001&gt;='PAINEL DE CONTROLE'!$C$5*(1-CONFIGURAÇÕES!$D$7), E1001&lt;='PAINEL DE CONTROLE'!$C$5*(1+CONFIGURAÇÕES!$D$7)), "DENTRO", "FORA"))</f>
        <v/>
      </c>
    </row>
    <row r="1002" spans="2:6" x14ac:dyDescent="0.2">
      <c r="B1002" s="44"/>
      <c r="C1002" s="44"/>
      <c r="D1002" s="44"/>
      <c r="E1002" s="42"/>
      <c r="F1002" s="43" t="str">
        <f>IF(E1002="", "", IF(AND(E1002&gt;='PAINEL DE CONTROLE'!$C$5*(1-CONFIGURAÇÕES!$D$7), E1002&lt;='PAINEL DE CONTROLE'!$C$5*(1+CONFIGURAÇÕES!$D$7)), "DENTRO", "FORA"))</f>
        <v/>
      </c>
    </row>
    <row r="1003" spans="2:6" x14ac:dyDescent="0.2">
      <c r="B1003" s="44"/>
      <c r="C1003" s="44"/>
      <c r="D1003" s="44"/>
      <c r="E1003" s="42"/>
      <c r="F1003" s="43" t="str">
        <f>IF(E1003="", "", IF(AND(E1003&gt;='PAINEL DE CONTROLE'!$C$5*(1-CONFIGURAÇÕES!$D$7), E1003&lt;='PAINEL DE CONTROLE'!$C$5*(1+CONFIGURAÇÕES!$D$7)), "DENTRO", "FORA"))</f>
        <v/>
      </c>
    </row>
    <row r="1004" spans="2:6" x14ac:dyDescent="0.2">
      <c r="B1004" s="44"/>
      <c r="C1004" s="44"/>
      <c r="D1004" s="44"/>
      <c r="E1004" s="42"/>
      <c r="F1004" s="43" t="str">
        <f>IF(E1004="", "", IF(AND(E1004&gt;='PAINEL DE CONTROLE'!$C$5*(1-CONFIGURAÇÕES!$D$7), E1004&lt;='PAINEL DE CONTROLE'!$C$5*(1+CONFIGURAÇÕES!$D$7)), "DENTRO", "FORA"))</f>
        <v/>
      </c>
    </row>
    <row r="1005" spans="2:6" x14ac:dyDescent="0.2">
      <c r="B1005" s="44"/>
      <c r="C1005" s="44"/>
      <c r="D1005" s="44"/>
      <c r="E1005" s="42"/>
      <c r="F1005" s="43" t="str">
        <f>IF(E1005="", "", IF(AND(E1005&gt;='PAINEL DE CONTROLE'!$C$5*(1-CONFIGURAÇÕES!$D$7), E1005&lt;='PAINEL DE CONTROLE'!$C$5*(1+CONFIGURAÇÕES!$D$7)), "DENTRO", "FORA"))</f>
        <v/>
      </c>
    </row>
    <row r="1006" spans="2:6" x14ac:dyDescent="0.2">
      <c r="B1006" s="44"/>
      <c r="C1006" s="44"/>
      <c r="D1006" s="44"/>
      <c r="E1006" s="42"/>
      <c r="F1006" s="43" t="str">
        <f>IF(E1006="", "", IF(AND(E1006&gt;='PAINEL DE CONTROLE'!$C$5*(1-CONFIGURAÇÕES!$D$7), E1006&lt;='PAINEL DE CONTROLE'!$C$5*(1+CONFIGURAÇÕES!$D$7)), "DENTRO", "FORA"))</f>
        <v/>
      </c>
    </row>
    <row r="1007" spans="2:6" x14ac:dyDescent="0.2">
      <c r="B1007" s="44"/>
      <c r="C1007" s="44"/>
      <c r="D1007" s="44"/>
      <c r="E1007" s="42"/>
      <c r="F1007" s="43" t="str">
        <f>IF(E1007="", "", IF(AND(E1007&gt;='PAINEL DE CONTROLE'!$C$5*(1-CONFIGURAÇÕES!$D$7), E1007&lt;='PAINEL DE CONTROLE'!$C$5*(1+CONFIGURAÇÕES!$D$7)), "DENTRO", "FORA"))</f>
        <v/>
      </c>
    </row>
    <row r="1008" spans="2:6" x14ac:dyDescent="0.2">
      <c r="B1008" s="44"/>
      <c r="C1008" s="44"/>
      <c r="D1008" s="44"/>
      <c r="E1008" s="42"/>
      <c r="F1008" s="43" t="str">
        <f>IF(E1008="", "", IF(AND(E1008&gt;='PAINEL DE CONTROLE'!$C$5*(1-CONFIGURAÇÕES!$D$7), E1008&lt;='PAINEL DE CONTROLE'!$C$5*(1+CONFIGURAÇÕES!$D$7)), "DENTRO", "FORA"))</f>
        <v/>
      </c>
    </row>
    <row r="1009" spans="2:6" x14ac:dyDescent="0.2">
      <c r="B1009" s="44"/>
      <c r="C1009" s="44"/>
      <c r="D1009" s="44"/>
      <c r="E1009" s="42"/>
      <c r="F1009" s="43" t="str">
        <f>IF(E1009="", "", IF(AND(E1009&gt;='PAINEL DE CONTROLE'!$C$5*(1-CONFIGURAÇÕES!$D$7), E1009&lt;='PAINEL DE CONTROLE'!$C$5*(1+CONFIGURAÇÕES!$D$7)), "DENTRO", "FORA"))</f>
        <v/>
      </c>
    </row>
    <row r="1010" spans="2:6" x14ac:dyDescent="0.2">
      <c r="B1010" s="44"/>
      <c r="C1010" s="44"/>
      <c r="D1010" s="44"/>
      <c r="E1010" s="42"/>
      <c r="F1010" s="43" t="str">
        <f>IF(E1010="", "", IF(AND(E1010&gt;='PAINEL DE CONTROLE'!$C$5*(1-CONFIGURAÇÕES!$D$7), E1010&lt;='PAINEL DE CONTROLE'!$C$5*(1+CONFIGURAÇÕES!$D$7)), "DENTRO", "FORA"))</f>
        <v/>
      </c>
    </row>
    <row r="1011" spans="2:6" x14ac:dyDescent="0.2">
      <c r="B1011" s="44"/>
      <c r="C1011" s="44"/>
      <c r="D1011" s="44"/>
      <c r="E1011" s="42"/>
      <c r="F1011" s="43" t="str">
        <f>IF(E1011="", "", IF(AND(E1011&gt;='PAINEL DE CONTROLE'!$C$5*(1-CONFIGURAÇÕES!$D$7), E1011&lt;='PAINEL DE CONTROLE'!$C$5*(1+CONFIGURAÇÕES!$D$7)), "DENTRO", "FORA"))</f>
        <v/>
      </c>
    </row>
    <row r="1012" spans="2:6" x14ac:dyDescent="0.2">
      <c r="B1012" s="44"/>
      <c r="C1012" s="44"/>
      <c r="D1012" s="44"/>
      <c r="E1012" s="42"/>
      <c r="F1012" s="43" t="str">
        <f>IF(E1012="", "", IF(AND(E1012&gt;='PAINEL DE CONTROLE'!$C$5*(1-CONFIGURAÇÕES!$D$7), E1012&lt;='PAINEL DE CONTROLE'!$C$5*(1+CONFIGURAÇÕES!$D$7)), "DENTRO", "FORA"))</f>
        <v/>
      </c>
    </row>
    <row r="1013" spans="2:6" x14ac:dyDescent="0.2">
      <c r="B1013" s="44"/>
      <c r="C1013" s="44"/>
      <c r="D1013" s="44"/>
      <c r="E1013" s="42"/>
      <c r="F1013" s="43" t="str">
        <f>IF(E1013="", "", IF(AND(E1013&gt;='PAINEL DE CONTROLE'!$C$5*(1-CONFIGURAÇÕES!$D$7), E1013&lt;='PAINEL DE CONTROLE'!$C$5*(1+CONFIGURAÇÕES!$D$7)), "DENTRO", "FORA"))</f>
        <v/>
      </c>
    </row>
    <row r="1014" spans="2:6" x14ac:dyDescent="0.2">
      <c r="B1014" s="44"/>
      <c r="C1014" s="44"/>
      <c r="D1014" s="44"/>
      <c r="E1014" s="42"/>
      <c r="F1014" s="43" t="str">
        <f>IF(E1014="", "", IF(AND(E1014&gt;='PAINEL DE CONTROLE'!$C$5*(1-CONFIGURAÇÕES!$D$7), E1014&lt;='PAINEL DE CONTROLE'!$C$5*(1+CONFIGURAÇÕES!$D$7)), "DENTRO", "FORA"))</f>
        <v/>
      </c>
    </row>
    <row r="1015" spans="2:6" x14ac:dyDescent="0.2">
      <c r="B1015" s="44"/>
      <c r="C1015" s="44"/>
      <c r="D1015" s="44"/>
      <c r="E1015" s="42"/>
      <c r="F1015" s="43" t="str">
        <f>IF(E1015="", "", IF(AND(E1015&gt;='PAINEL DE CONTROLE'!$C$5*(1-CONFIGURAÇÕES!$D$7), E1015&lt;='PAINEL DE CONTROLE'!$C$5*(1+CONFIGURAÇÕES!$D$7)), "DENTRO", "FORA"))</f>
        <v/>
      </c>
    </row>
    <row r="1016" spans="2:6" x14ac:dyDescent="0.2">
      <c r="B1016" s="44"/>
      <c r="C1016" s="44"/>
      <c r="D1016" s="44"/>
      <c r="E1016" s="42"/>
      <c r="F1016" s="43" t="str">
        <f>IF(E1016="", "", IF(AND(E1016&gt;='PAINEL DE CONTROLE'!$C$5*(1-CONFIGURAÇÕES!$D$7), E1016&lt;='PAINEL DE CONTROLE'!$C$5*(1+CONFIGURAÇÕES!$D$7)), "DENTRO", "FORA"))</f>
        <v/>
      </c>
    </row>
    <row r="1017" spans="2:6" x14ac:dyDescent="0.2">
      <c r="B1017" s="44"/>
      <c r="C1017" s="44"/>
      <c r="D1017" s="44"/>
      <c r="E1017" s="42"/>
      <c r="F1017" s="43" t="str">
        <f>IF(E1017="", "", IF(AND(E1017&gt;='PAINEL DE CONTROLE'!$C$5*(1-CONFIGURAÇÕES!$D$7), E1017&lt;='PAINEL DE CONTROLE'!$C$5*(1+CONFIGURAÇÕES!$D$7)), "DENTRO", "FORA"))</f>
        <v/>
      </c>
    </row>
    <row r="1018" spans="2:6" x14ac:dyDescent="0.2">
      <c r="B1018" s="44"/>
      <c r="C1018" s="44"/>
      <c r="D1018" s="44"/>
      <c r="E1018" s="42"/>
      <c r="F1018" s="43" t="str">
        <f>IF(E1018="", "", IF(AND(E1018&gt;='PAINEL DE CONTROLE'!$C$5*(1-CONFIGURAÇÕES!$D$7), E1018&lt;='PAINEL DE CONTROLE'!$C$5*(1+CONFIGURAÇÕES!$D$7)), "DENTRO", "FORA"))</f>
        <v/>
      </c>
    </row>
    <row r="1019" spans="2:6" x14ac:dyDescent="0.2">
      <c r="B1019" s="44"/>
      <c r="C1019" s="44"/>
      <c r="D1019" s="44"/>
      <c r="E1019" s="42"/>
      <c r="F1019" s="43" t="str">
        <f>IF(E1019="", "", IF(AND(E1019&gt;='PAINEL DE CONTROLE'!$C$5*(1-CONFIGURAÇÕES!$D$7), E1019&lt;='PAINEL DE CONTROLE'!$C$5*(1+CONFIGURAÇÕES!$D$7)), "DENTRO", "FORA"))</f>
        <v/>
      </c>
    </row>
    <row r="1020" spans="2:6" x14ac:dyDescent="0.2">
      <c r="B1020" s="44"/>
      <c r="C1020" s="44"/>
      <c r="D1020" s="44"/>
      <c r="E1020" s="42"/>
      <c r="F1020" s="43" t="str">
        <f>IF(E1020="", "", IF(AND(E1020&gt;='PAINEL DE CONTROLE'!$C$5*(1-CONFIGURAÇÕES!$D$7), E1020&lt;='PAINEL DE CONTROLE'!$C$5*(1+CONFIGURAÇÕES!$D$7)), "DENTRO", "FORA"))</f>
        <v/>
      </c>
    </row>
    <row r="1021" spans="2:6" x14ac:dyDescent="0.2">
      <c r="B1021" s="44"/>
      <c r="C1021" s="44"/>
      <c r="D1021" s="44"/>
      <c r="E1021" s="42"/>
      <c r="F1021" s="43" t="str">
        <f>IF(E1021="", "", IF(AND(E1021&gt;='PAINEL DE CONTROLE'!$C$5*(1-CONFIGURAÇÕES!$D$7), E1021&lt;='PAINEL DE CONTROLE'!$C$5*(1+CONFIGURAÇÕES!$D$7)), "DENTRO", "FORA"))</f>
        <v/>
      </c>
    </row>
    <row r="1022" spans="2:6" x14ac:dyDescent="0.2">
      <c r="B1022" s="44"/>
      <c r="C1022" s="44"/>
      <c r="D1022" s="44"/>
      <c r="E1022" s="42"/>
      <c r="F1022" s="43" t="str">
        <f>IF(E1022="", "", IF(AND(E1022&gt;='PAINEL DE CONTROLE'!$C$5*(1-CONFIGURAÇÕES!$D$7), E1022&lt;='PAINEL DE CONTROLE'!$C$5*(1+CONFIGURAÇÕES!$D$7)), "DENTRO", "FORA"))</f>
        <v/>
      </c>
    </row>
    <row r="1023" spans="2:6" x14ac:dyDescent="0.2">
      <c r="B1023" s="44"/>
      <c r="C1023" s="44"/>
      <c r="D1023" s="44"/>
      <c r="E1023" s="42"/>
      <c r="F1023" s="43" t="str">
        <f>IF(E1023="", "", IF(AND(E1023&gt;='PAINEL DE CONTROLE'!$C$5*(1-CONFIGURAÇÕES!$D$7), E1023&lt;='PAINEL DE CONTROLE'!$C$5*(1+CONFIGURAÇÕES!$D$7)), "DENTRO", "FORA"))</f>
        <v/>
      </c>
    </row>
    <row r="1024" spans="2:6" x14ac:dyDescent="0.2">
      <c r="B1024" s="44"/>
      <c r="C1024" s="44"/>
      <c r="D1024" s="44"/>
      <c r="E1024" s="42"/>
      <c r="F1024" s="43" t="str">
        <f>IF(E1024="", "", IF(AND(E1024&gt;='PAINEL DE CONTROLE'!$C$5*(1-CONFIGURAÇÕES!$D$7), E1024&lt;='PAINEL DE CONTROLE'!$C$5*(1+CONFIGURAÇÕES!$D$7)), "DENTRO", "FORA"))</f>
        <v/>
      </c>
    </row>
    <row r="1025" spans="2:6" x14ac:dyDescent="0.2">
      <c r="B1025" s="44"/>
      <c r="C1025" s="44"/>
      <c r="D1025" s="44"/>
      <c r="E1025" s="42"/>
      <c r="F1025" s="43" t="str">
        <f>IF(E1025="", "", IF(AND(E1025&gt;='PAINEL DE CONTROLE'!$C$5*(1-CONFIGURAÇÕES!$D$7), E1025&lt;='PAINEL DE CONTROLE'!$C$5*(1+CONFIGURAÇÕES!$D$7)), "DENTRO", "FORA"))</f>
        <v/>
      </c>
    </row>
    <row r="1026" spans="2:6" x14ac:dyDescent="0.2">
      <c r="B1026" s="44"/>
      <c r="C1026" s="44"/>
      <c r="D1026" s="44"/>
      <c r="E1026" s="42"/>
      <c r="F1026" s="43" t="str">
        <f>IF(E1026="", "", IF(AND(E1026&gt;='PAINEL DE CONTROLE'!$C$5*(1-CONFIGURAÇÕES!$D$7), E1026&lt;='PAINEL DE CONTROLE'!$C$5*(1+CONFIGURAÇÕES!$D$7)), "DENTRO", "FORA"))</f>
        <v/>
      </c>
    </row>
    <row r="1027" spans="2:6" x14ac:dyDescent="0.2">
      <c r="B1027" s="44"/>
      <c r="C1027" s="44"/>
      <c r="D1027" s="44"/>
      <c r="E1027" s="42"/>
      <c r="F1027" s="43" t="str">
        <f>IF(E1027="", "", IF(AND(E1027&gt;='PAINEL DE CONTROLE'!$C$5*(1-CONFIGURAÇÕES!$D$7), E1027&lt;='PAINEL DE CONTROLE'!$C$5*(1+CONFIGURAÇÕES!$D$7)), "DENTRO", "FORA"))</f>
        <v/>
      </c>
    </row>
    <row r="1028" spans="2:6" x14ac:dyDescent="0.2">
      <c r="B1028" s="44"/>
      <c r="C1028" s="44"/>
      <c r="D1028" s="44"/>
      <c r="E1028" s="42"/>
      <c r="F1028" s="43" t="str">
        <f>IF(E1028="", "", IF(AND(E1028&gt;='PAINEL DE CONTROLE'!$C$5*(1-CONFIGURAÇÕES!$D$7), E1028&lt;='PAINEL DE CONTROLE'!$C$5*(1+CONFIGURAÇÕES!$D$7)), "DENTRO", "FORA"))</f>
        <v/>
      </c>
    </row>
    <row r="1029" spans="2:6" x14ac:dyDescent="0.2">
      <c r="B1029" s="44"/>
      <c r="C1029" s="44"/>
      <c r="D1029" s="44"/>
      <c r="E1029" s="42"/>
      <c r="F1029" s="43" t="str">
        <f>IF(E1029="", "", IF(AND(E1029&gt;='PAINEL DE CONTROLE'!$C$5*(1-CONFIGURAÇÕES!$D$7), E1029&lt;='PAINEL DE CONTROLE'!$C$5*(1+CONFIGURAÇÕES!$D$7)), "DENTRO", "FORA"))</f>
        <v/>
      </c>
    </row>
    <row r="1030" spans="2:6" x14ac:dyDescent="0.2">
      <c r="B1030" s="44"/>
      <c r="C1030" s="44"/>
      <c r="D1030" s="44"/>
      <c r="E1030" s="42"/>
      <c r="F1030" s="43" t="str">
        <f>IF(E1030="", "", IF(AND(E1030&gt;='PAINEL DE CONTROLE'!$C$5*(1-CONFIGURAÇÕES!$D$7), E1030&lt;='PAINEL DE CONTROLE'!$C$5*(1+CONFIGURAÇÕES!$D$7)), "DENTRO", "FORA"))</f>
        <v/>
      </c>
    </row>
    <row r="1031" spans="2:6" x14ac:dyDescent="0.2">
      <c r="B1031" s="44"/>
      <c r="C1031" s="44"/>
      <c r="D1031" s="44"/>
      <c r="E1031" s="42"/>
      <c r="F1031" s="43" t="str">
        <f>IF(E1031="", "", IF(AND(E1031&gt;='PAINEL DE CONTROLE'!$C$5*(1-CONFIGURAÇÕES!$D$7), E1031&lt;='PAINEL DE CONTROLE'!$C$5*(1+CONFIGURAÇÕES!$D$7)), "DENTRO", "FORA"))</f>
        <v/>
      </c>
    </row>
    <row r="1032" spans="2:6" x14ac:dyDescent="0.2">
      <c r="B1032" s="44"/>
      <c r="C1032" s="44"/>
      <c r="D1032" s="44"/>
      <c r="E1032" s="42"/>
      <c r="F1032" s="43" t="str">
        <f>IF(E1032="", "", IF(AND(E1032&gt;='PAINEL DE CONTROLE'!$C$5*(1-CONFIGURAÇÕES!$D$7), E1032&lt;='PAINEL DE CONTROLE'!$C$5*(1+CONFIGURAÇÕES!$D$7)), "DENTRO", "FORA"))</f>
        <v/>
      </c>
    </row>
    <row r="1033" spans="2:6" x14ac:dyDescent="0.2">
      <c r="B1033" s="44"/>
      <c r="C1033" s="44"/>
      <c r="D1033" s="44"/>
      <c r="E1033" s="42"/>
      <c r="F1033" s="43" t="str">
        <f>IF(E1033="", "", IF(AND(E1033&gt;='PAINEL DE CONTROLE'!$C$5*(1-CONFIGURAÇÕES!$D$7), E1033&lt;='PAINEL DE CONTROLE'!$C$5*(1+CONFIGURAÇÕES!$D$7)), "DENTRO", "FORA"))</f>
        <v/>
      </c>
    </row>
    <row r="1034" spans="2:6" x14ac:dyDescent="0.2">
      <c r="B1034" s="44"/>
      <c r="C1034" s="44"/>
      <c r="D1034" s="44"/>
      <c r="E1034" s="42"/>
      <c r="F1034" s="43" t="str">
        <f>IF(E1034="", "", IF(AND(E1034&gt;='PAINEL DE CONTROLE'!$C$5*(1-CONFIGURAÇÕES!$D$7), E1034&lt;='PAINEL DE CONTROLE'!$C$5*(1+CONFIGURAÇÕES!$D$7)), "DENTRO", "FORA"))</f>
        <v/>
      </c>
    </row>
    <row r="1035" spans="2:6" x14ac:dyDescent="0.2">
      <c r="B1035" s="44"/>
      <c r="C1035" s="44"/>
      <c r="D1035" s="44"/>
      <c r="E1035" s="42"/>
      <c r="F1035" s="43" t="str">
        <f>IF(E1035="", "", IF(AND(E1035&gt;='PAINEL DE CONTROLE'!$C$5*(1-CONFIGURAÇÕES!$D$7), E1035&lt;='PAINEL DE CONTROLE'!$C$5*(1+CONFIGURAÇÕES!$D$7)), "DENTRO", "FORA"))</f>
        <v/>
      </c>
    </row>
    <row r="1036" spans="2:6" x14ac:dyDescent="0.2">
      <c r="B1036" s="44"/>
      <c r="C1036" s="44"/>
      <c r="D1036" s="44"/>
      <c r="E1036" s="42"/>
      <c r="F1036" s="43" t="str">
        <f>IF(E1036="", "", IF(AND(E1036&gt;='PAINEL DE CONTROLE'!$C$5*(1-CONFIGURAÇÕES!$D$7), E1036&lt;='PAINEL DE CONTROLE'!$C$5*(1+CONFIGURAÇÕES!$D$7)), "DENTRO", "FORA"))</f>
        <v/>
      </c>
    </row>
    <row r="1037" spans="2:6" x14ac:dyDescent="0.2">
      <c r="B1037" s="44"/>
      <c r="C1037" s="44"/>
      <c r="D1037" s="44"/>
      <c r="E1037" s="42"/>
      <c r="F1037" s="43" t="str">
        <f>IF(E1037="", "", IF(AND(E1037&gt;='PAINEL DE CONTROLE'!$C$5*(1-CONFIGURAÇÕES!$D$7), E1037&lt;='PAINEL DE CONTROLE'!$C$5*(1+CONFIGURAÇÕES!$D$7)), "DENTRO", "FORA"))</f>
        <v/>
      </c>
    </row>
    <row r="1038" spans="2:6" x14ac:dyDescent="0.2">
      <c r="B1038" s="44"/>
      <c r="C1038" s="44"/>
      <c r="D1038" s="44"/>
      <c r="E1038" s="42"/>
      <c r="F1038" s="43" t="str">
        <f>IF(E1038="", "", IF(AND(E1038&gt;='PAINEL DE CONTROLE'!$C$5*(1-CONFIGURAÇÕES!$D$7), E1038&lt;='PAINEL DE CONTROLE'!$C$5*(1+CONFIGURAÇÕES!$D$7)), "DENTRO", "FORA"))</f>
        <v/>
      </c>
    </row>
    <row r="1039" spans="2:6" x14ac:dyDescent="0.2">
      <c r="B1039" s="44"/>
      <c r="C1039" s="44"/>
      <c r="D1039" s="44"/>
      <c r="E1039" s="42"/>
      <c r="F1039" s="43" t="str">
        <f>IF(E1039="", "", IF(AND(E1039&gt;='PAINEL DE CONTROLE'!$C$5*(1-CONFIGURAÇÕES!$D$7), E1039&lt;='PAINEL DE CONTROLE'!$C$5*(1+CONFIGURAÇÕES!$D$7)), "DENTRO", "FORA"))</f>
        <v/>
      </c>
    </row>
    <row r="1040" spans="2:6" x14ac:dyDescent="0.2">
      <c r="B1040" s="44"/>
      <c r="C1040" s="44"/>
      <c r="D1040" s="44"/>
      <c r="E1040" s="42"/>
      <c r="F1040" s="43" t="str">
        <f>IF(E1040="", "", IF(AND(E1040&gt;='PAINEL DE CONTROLE'!$C$5*(1-CONFIGURAÇÕES!$D$7), E1040&lt;='PAINEL DE CONTROLE'!$C$5*(1+CONFIGURAÇÕES!$D$7)), "DENTRO", "FORA"))</f>
        <v/>
      </c>
    </row>
    <row r="1041" spans="2:6" x14ac:dyDescent="0.2">
      <c r="B1041" s="44"/>
      <c r="C1041" s="44"/>
      <c r="D1041" s="44"/>
      <c r="E1041" s="42"/>
      <c r="F1041" s="43" t="str">
        <f>IF(E1041="", "", IF(AND(E1041&gt;='PAINEL DE CONTROLE'!$C$5*(1-CONFIGURAÇÕES!$D$7), E1041&lt;='PAINEL DE CONTROLE'!$C$5*(1+CONFIGURAÇÕES!$D$7)), "DENTRO", "FORA"))</f>
        <v/>
      </c>
    </row>
    <row r="1042" spans="2:6" x14ac:dyDescent="0.2">
      <c r="B1042" s="44"/>
      <c r="C1042" s="44"/>
      <c r="D1042" s="44"/>
      <c r="E1042" s="42"/>
      <c r="F1042" s="43" t="str">
        <f>IF(E1042="", "", IF(AND(E1042&gt;='PAINEL DE CONTROLE'!$C$5*(1-CONFIGURAÇÕES!$D$7), E1042&lt;='PAINEL DE CONTROLE'!$C$5*(1+CONFIGURAÇÕES!$D$7)), "DENTRO", "FORA"))</f>
        <v/>
      </c>
    </row>
    <row r="1043" spans="2:6" x14ac:dyDescent="0.2">
      <c r="B1043" s="44"/>
      <c r="C1043" s="44"/>
      <c r="D1043" s="44"/>
      <c r="E1043" s="42"/>
      <c r="F1043" s="43" t="str">
        <f>IF(E1043="", "", IF(AND(E1043&gt;='PAINEL DE CONTROLE'!$C$5*(1-CONFIGURAÇÕES!$D$7), E1043&lt;='PAINEL DE CONTROLE'!$C$5*(1+CONFIGURAÇÕES!$D$7)), "DENTRO", "FORA"))</f>
        <v/>
      </c>
    </row>
    <row r="1044" spans="2:6" x14ac:dyDescent="0.2">
      <c r="B1044" s="44"/>
      <c r="C1044" s="44"/>
      <c r="D1044" s="44"/>
      <c r="E1044" s="42"/>
      <c r="F1044" s="43" t="str">
        <f>IF(E1044="", "", IF(AND(E1044&gt;='PAINEL DE CONTROLE'!$C$5*(1-CONFIGURAÇÕES!$D$7), E1044&lt;='PAINEL DE CONTROLE'!$C$5*(1+CONFIGURAÇÕES!$D$7)), "DENTRO", "FORA"))</f>
        <v/>
      </c>
    </row>
    <row r="1045" spans="2:6" x14ac:dyDescent="0.2">
      <c r="B1045" s="44"/>
      <c r="C1045" s="44"/>
      <c r="D1045" s="44"/>
      <c r="E1045" s="42"/>
      <c r="F1045" s="43" t="str">
        <f>IF(E1045="", "", IF(AND(E1045&gt;='PAINEL DE CONTROLE'!$C$5*(1-CONFIGURAÇÕES!$D$7), E1045&lt;='PAINEL DE CONTROLE'!$C$5*(1+CONFIGURAÇÕES!$D$7)), "DENTRO", "FORA"))</f>
        <v/>
      </c>
    </row>
    <row r="1046" spans="2:6" x14ac:dyDescent="0.2">
      <c r="B1046" s="44"/>
      <c r="C1046" s="44"/>
      <c r="D1046" s="44"/>
      <c r="E1046" s="42"/>
      <c r="F1046" s="43" t="str">
        <f>IF(E1046="", "", IF(AND(E1046&gt;='PAINEL DE CONTROLE'!$C$5*(1-CONFIGURAÇÕES!$D$7), E1046&lt;='PAINEL DE CONTROLE'!$C$5*(1+CONFIGURAÇÕES!$D$7)), "DENTRO", "FORA"))</f>
        <v/>
      </c>
    </row>
    <row r="1047" spans="2:6" x14ac:dyDescent="0.2">
      <c r="B1047" s="44"/>
      <c r="C1047" s="44"/>
      <c r="D1047" s="44"/>
      <c r="E1047" s="42"/>
      <c r="F1047" s="43" t="str">
        <f>IF(E1047="", "", IF(AND(E1047&gt;='PAINEL DE CONTROLE'!$C$5*(1-CONFIGURAÇÕES!$D$7), E1047&lt;='PAINEL DE CONTROLE'!$C$5*(1+CONFIGURAÇÕES!$D$7)), "DENTRO", "FORA"))</f>
        <v/>
      </c>
    </row>
    <row r="1048" spans="2:6" x14ac:dyDescent="0.2">
      <c r="B1048" s="44"/>
      <c r="C1048" s="44"/>
      <c r="D1048" s="44"/>
      <c r="E1048" s="42"/>
      <c r="F1048" s="43" t="str">
        <f>IF(E1048="", "", IF(AND(E1048&gt;='PAINEL DE CONTROLE'!$C$5*(1-CONFIGURAÇÕES!$D$7), E1048&lt;='PAINEL DE CONTROLE'!$C$5*(1+CONFIGURAÇÕES!$D$7)), "DENTRO", "FORA"))</f>
        <v/>
      </c>
    </row>
    <row r="1049" spans="2:6" x14ac:dyDescent="0.2">
      <c r="B1049" s="44"/>
      <c r="C1049" s="44"/>
      <c r="D1049" s="44"/>
      <c r="E1049" s="42"/>
      <c r="F1049" s="43" t="str">
        <f>IF(E1049="", "", IF(AND(E1049&gt;='PAINEL DE CONTROLE'!$C$5*(1-CONFIGURAÇÕES!$D$7), E1049&lt;='PAINEL DE CONTROLE'!$C$5*(1+CONFIGURAÇÕES!$D$7)), "DENTRO", "FORA"))</f>
        <v/>
      </c>
    </row>
    <row r="1050" spans="2:6" x14ac:dyDescent="0.2">
      <c r="B1050" s="44"/>
      <c r="C1050" s="44"/>
      <c r="D1050" s="44"/>
      <c r="E1050" s="42"/>
      <c r="F1050" s="43" t="str">
        <f>IF(E1050="", "", IF(AND(E1050&gt;='PAINEL DE CONTROLE'!$C$5*(1-CONFIGURAÇÕES!$D$7), E1050&lt;='PAINEL DE CONTROLE'!$C$5*(1+CONFIGURAÇÕES!$D$7)), "DENTRO", "FORA"))</f>
        <v/>
      </c>
    </row>
    <row r="1051" spans="2:6" x14ac:dyDescent="0.2">
      <c r="B1051" s="44"/>
      <c r="C1051" s="44"/>
      <c r="D1051" s="44"/>
      <c r="E1051" s="42"/>
      <c r="F1051" s="43" t="str">
        <f>IF(E1051="", "", IF(AND(E1051&gt;='PAINEL DE CONTROLE'!$C$5*(1-CONFIGURAÇÕES!$D$7), E1051&lt;='PAINEL DE CONTROLE'!$C$5*(1+CONFIGURAÇÕES!$D$7)), "DENTRO", "FORA"))</f>
        <v/>
      </c>
    </row>
    <row r="1052" spans="2:6" x14ac:dyDescent="0.2">
      <c r="B1052" s="44"/>
      <c r="C1052" s="44"/>
      <c r="D1052" s="44"/>
      <c r="E1052" s="42"/>
      <c r="F1052" s="43" t="str">
        <f>IF(E1052="", "", IF(AND(E1052&gt;='PAINEL DE CONTROLE'!$C$5*(1-CONFIGURAÇÕES!$D$7), E1052&lt;='PAINEL DE CONTROLE'!$C$5*(1+CONFIGURAÇÕES!$D$7)), "DENTRO", "FORA"))</f>
        <v/>
      </c>
    </row>
    <row r="1053" spans="2:6" x14ac:dyDescent="0.2">
      <c r="B1053" s="44"/>
      <c r="C1053" s="44"/>
      <c r="D1053" s="44"/>
      <c r="E1053" s="42"/>
      <c r="F1053" s="43" t="str">
        <f>IF(E1053="", "", IF(AND(E1053&gt;='PAINEL DE CONTROLE'!$C$5*(1-CONFIGURAÇÕES!$D$7), E1053&lt;='PAINEL DE CONTROLE'!$C$5*(1+CONFIGURAÇÕES!$D$7)), "DENTRO", "FORA"))</f>
        <v/>
      </c>
    </row>
    <row r="1054" spans="2:6" x14ac:dyDescent="0.2">
      <c r="B1054" s="44"/>
      <c r="C1054" s="44"/>
      <c r="D1054" s="44"/>
      <c r="E1054" s="42"/>
      <c r="F1054" s="43" t="str">
        <f>IF(E1054="", "", IF(AND(E1054&gt;='PAINEL DE CONTROLE'!$C$5*(1-CONFIGURAÇÕES!$D$7), E1054&lt;='PAINEL DE CONTROLE'!$C$5*(1+CONFIGURAÇÕES!$D$7)), "DENTRO", "FORA"))</f>
        <v/>
      </c>
    </row>
    <row r="1055" spans="2:6" x14ac:dyDescent="0.2">
      <c r="B1055" s="44"/>
      <c r="C1055" s="44"/>
      <c r="D1055" s="44"/>
      <c r="E1055" s="42"/>
      <c r="F1055" s="43" t="str">
        <f>IF(E1055="", "", IF(AND(E1055&gt;='PAINEL DE CONTROLE'!$C$5*(1-CONFIGURAÇÕES!$D$7), E1055&lt;='PAINEL DE CONTROLE'!$C$5*(1+CONFIGURAÇÕES!$D$7)), "DENTRO", "FORA"))</f>
        <v/>
      </c>
    </row>
    <row r="1056" spans="2:6" x14ac:dyDescent="0.2">
      <c r="B1056" s="44"/>
      <c r="C1056" s="44"/>
      <c r="D1056" s="44"/>
      <c r="E1056" s="42"/>
      <c r="F1056" s="43" t="str">
        <f>IF(E1056="", "", IF(AND(E1056&gt;='PAINEL DE CONTROLE'!$C$5*(1-CONFIGURAÇÕES!$D$7), E1056&lt;='PAINEL DE CONTROLE'!$C$5*(1+CONFIGURAÇÕES!$D$7)), "DENTRO", "FORA"))</f>
        <v/>
      </c>
    </row>
    <row r="1057" spans="2:6" x14ac:dyDescent="0.2">
      <c r="B1057" s="44"/>
      <c r="C1057" s="44"/>
      <c r="D1057" s="44"/>
      <c r="E1057" s="42"/>
      <c r="F1057" s="43" t="str">
        <f>IF(E1057="", "", IF(AND(E1057&gt;='PAINEL DE CONTROLE'!$C$5*(1-CONFIGURAÇÕES!$D$7), E1057&lt;='PAINEL DE CONTROLE'!$C$5*(1+CONFIGURAÇÕES!$D$7)), "DENTRO", "FORA"))</f>
        <v/>
      </c>
    </row>
    <row r="1058" spans="2:6" x14ac:dyDescent="0.2">
      <c r="B1058" s="44"/>
      <c r="C1058" s="44"/>
      <c r="D1058" s="44"/>
      <c r="E1058" s="42"/>
      <c r="F1058" s="43" t="str">
        <f>IF(E1058="", "", IF(AND(E1058&gt;='PAINEL DE CONTROLE'!$C$5*(1-CONFIGURAÇÕES!$D$7), E1058&lt;='PAINEL DE CONTROLE'!$C$5*(1+CONFIGURAÇÕES!$D$7)), "DENTRO", "FORA"))</f>
        <v/>
      </c>
    </row>
    <row r="1059" spans="2:6" x14ac:dyDescent="0.2">
      <c r="B1059" s="44"/>
      <c r="C1059" s="44"/>
      <c r="D1059" s="44"/>
      <c r="E1059" s="42"/>
      <c r="F1059" s="43" t="str">
        <f>IF(E1059="", "", IF(AND(E1059&gt;='PAINEL DE CONTROLE'!$C$5*(1-CONFIGURAÇÕES!$D$7), E1059&lt;='PAINEL DE CONTROLE'!$C$5*(1+CONFIGURAÇÕES!$D$7)), "DENTRO", "FORA"))</f>
        <v/>
      </c>
    </row>
    <row r="1060" spans="2:6" x14ac:dyDescent="0.2">
      <c r="B1060" s="44"/>
      <c r="C1060" s="44"/>
      <c r="D1060" s="44"/>
      <c r="E1060" s="42"/>
      <c r="F1060" s="43" t="str">
        <f>IF(E1060="", "", IF(AND(E1060&gt;='PAINEL DE CONTROLE'!$C$5*(1-CONFIGURAÇÕES!$D$7), E1060&lt;='PAINEL DE CONTROLE'!$C$5*(1+CONFIGURAÇÕES!$D$7)), "DENTRO", "FORA"))</f>
        <v/>
      </c>
    </row>
    <row r="1061" spans="2:6" x14ac:dyDescent="0.2">
      <c r="B1061" s="44"/>
      <c r="C1061" s="44"/>
      <c r="D1061" s="44"/>
      <c r="E1061" s="42"/>
      <c r="F1061" s="43" t="str">
        <f>IF(E1061="", "", IF(AND(E1061&gt;='PAINEL DE CONTROLE'!$C$5*(1-CONFIGURAÇÕES!$D$7), E1061&lt;='PAINEL DE CONTROLE'!$C$5*(1+CONFIGURAÇÕES!$D$7)), "DENTRO", "FORA"))</f>
        <v/>
      </c>
    </row>
    <row r="1062" spans="2:6" x14ac:dyDescent="0.2">
      <c r="B1062" s="44"/>
      <c r="C1062" s="44"/>
      <c r="D1062" s="44"/>
      <c r="E1062" s="42"/>
      <c r="F1062" s="43" t="str">
        <f>IF(E1062="", "", IF(AND(E1062&gt;='PAINEL DE CONTROLE'!$C$5*(1-CONFIGURAÇÕES!$D$7), E1062&lt;='PAINEL DE CONTROLE'!$C$5*(1+CONFIGURAÇÕES!$D$7)), "DENTRO", "FORA"))</f>
        <v/>
      </c>
    </row>
    <row r="1063" spans="2:6" x14ac:dyDescent="0.2">
      <c r="B1063" s="44"/>
      <c r="C1063" s="44"/>
      <c r="D1063" s="44"/>
      <c r="E1063" s="42"/>
      <c r="F1063" s="43" t="str">
        <f>IF(E1063="", "", IF(AND(E1063&gt;='PAINEL DE CONTROLE'!$C$5*(1-CONFIGURAÇÕES!$D$7), E1063&lt;='PAINEL DE CONTROLE'!$C$5*(1+CONFIGURAÇÕES!$D$7)), "DENTRO", "FORA"))</f>
        <v/>
      </c>
    </row>
    <row r="1064" spans="2:6" x14ac:dyDescent="0.2">
      <c r="B1064" s="44"/>
      <c r="C1064" s="44"/>
      <c r="D1064" s="44"/>
      <c r="E1064" s="42"/>
      <c r="F1064" s="43" t="str">
        <f>IF(E1064="", "", IF(AND(E1064&gt;='PAINEL DE CONTROLE'!$C$5*(1-CONFIGURAÇÕES!$D$7), E1064&lt;='PAINEL DE CONTROLE'!$C$5*(1+CONFIGURAÇÕES!$D$7)), "DENTRO", "FORA"))</f>
        <v/>
      </c>
    </row>
    <row r="1065" spans="2:6" x14ac:dyDescent="0.2">
      <c r="B1065" s="44"/>
      <c r="C1065" s="44"/>
      <c r="D1065" s="44"/>
      <c r="E1065" s="42"/>
      <c r="F1065" s="43" t="str">
        <f>IF(E1065="", "", IF(AND(E1065&gt;='PAINEL DE CONTROLE'!$C$5*(1-CONFIGURAÇÕES!$D$7), E1065&lt;='PAINEL DE CONTROLE'!$C$5*(1+CONFIGURAÇÕES!$D$7)), "DENTRO", "FORA"))</f>
        <v/>
      </c>
    </row>
    <row r="1066" spans="2:6" x14ac:dyDescent="0.2">
      <c r="B1066" s="44"/>
      <c r="C1066" s="44"/>
      <c r="D1066" s="44"/>
      <c r="E1066" s="42"/>
      <c r="F1066" s="43" t="str">
        <f>IF(E1066="", "", IF(AND(E1066&gt;='PAINEL DE CONTROLE'!$C$5*(1-CONFIGURAÇÕES!$D$7), E1066&lt;='PAINEL DE CONTROLE'!$C$5*(1+CONFIGURAÇÕES!$D$7)), "DENTRO", "FORA"))</f>
        <v/>
      </c>
    </row>
    <row r="1067" spans="2:6" x14ac:dyDescent="0.2">
      <c r="B1067" s="44"/>
      <c r="C1067" s="44"/>
      <c r="D1067" s="44"/>
      <c r="E1067" s="42"/>
      <c r="F1067" s="43" t="str">
        <f>IF(E1067="", "", IF(AND(E1067&gt;='PAINEL DE CONTROLE'!$C$5*(1-CONFIGURAÇÕES!$D$7), E1067&lt;='PAINEL DE CONTROLE'!$C$5*(1+CONFIGURAÇÕES!$D$7)), "DENTRO", "FORA"))</f>
        <v/>
      </c>
    </row>
    <row r="1068" spans="2:6" x14ac:dyDescent="0.2">
      <c r="B1068" s="44"/>
      <c r="C1068" s="44"/>
      <c r="D1068" s="44"/>
      <c r="E1068" s="42"/>
      <c r="F1068" s="43" t="str">
        <f>IF(E1068="", "", IF(AND(E1068&gt;='PAINEL DE CONTROLE'!$C$5*(1-CONFIGURAÇÕES!$D$7), E1068&lt;='PAINEL DE CONTROLE'!$C$5*(1+CONFIGURAÇÕES!$D$7)), "DENTRO", "FORA"))</f>
        <v/>
      </c>
    </row>
    <row r="1069" spans="2:6" x14ac:dyDescent="0.2">
      <c r="B1069" s="44"/>
      <c r="C1069" s="44"/>
      <c r="D1069" s="44"/>
      <c r="E1069" s="42"/>
      <c r="F1069" s="43" t="str">
        <f>IF(E1069="", "", IF(AND(E1069&gt;='PAINEL DE CONTROLE'!$C$5*(1-CONFIGURAÇÕES!$D$7), E1069&lt;='PAINEL DE CONTROLE'!$C$5*(1+CONFIGURAÇÕES!$D$7)), "DENTRO", "FORA"))</f>
        <v/>
      </c>
    </row>
    <row r="1070" spans="2:6" x14ac:dyDescent="0.2">
      <c r="B1070" s="44"/>
      <c r="C1070" s="44"/>
      <c r="D1070" s="44"/>
      <c r="E1070" s="42"/>
      <c r="F1070" s="43" t="str">
        <f>IF(E1070="", "", IF(AND(E1070&gt;='PAINEL DE CONTROLE'!$C$5*(1-CONFIGURAÇÕES!$D$7), E1070&lt;='PAINEL DE CONTROLE'!$C$5*(1+CONFIGURAÇÕES!$D$7)), "DENTRO", "FORA"))</f>
        <v/>
      </c>
    </row>
    <row r="1071" spans="2:6" x14ac:dyDescent="0.2">
      <c r="B1071" s="44"/>
      <c r="C1071" s="44"/>
      <c r="D1071" s="44"/>
      <c r="E1071" s="42"/>
      <c r="F1071" s="43" t="str">
        <f>IF(E1071="", "", IF(AND(E1071&gt;='PAINEL DE CONTROLE'!$C$5*(1-CONFIGURAÇÕES!$D$7), E1071&lt;='PAINEL DE CONTROLE'!$C$5*(1+CONFIGURAÇÕES!$D$7)), "DENTRO", "FORA"))</f>
        <v/>
      </c>
    </row>
    <row r="1072" spans="2:6" x14ac:dyDescent="0.2">
      <c r="B1072" s="44"/>
      <c r="C1072" s="44"/>
      <c r="D1072" s="44"/>
      <c r="E1072" s="42"/>
      <c r="F1072" s="43" t="str">
        <f>IF(E1072="", "", IF(AND(E1072&gt;='PAINEL DE CONTROLE'!$C$5*(1-CONFIGURAÇÕES!$D$7), E1072&lt;='PAINEL DE CONTROLE'!$C$5*(1+CONFIGURAÇÕES!$D$7)), "DENTRO", "FORA"))</f>
        <v/>
      </c>
    </row>
    <row r="1073" spans="2:6" x14ac:dyDescent="0.2">
      <c r="B1073" s="44"/>
      <c r="C1073" s="44"/>
      <c r="D1073" s="44"/>
      <c r="E1073" s="42"/>
      <c r="F1073" s="43" t="str">
        <f>IF(E1073="", "", IF(AND(E1073&gt;='PAINEL DE CONTROLE'!$C$5*(1-CONFIGURAÇÕES!$D$7), E1073&lt;='PAINEL DE CONTROLE'!$C$5*(1+CONFIGURAÇÕES!$D$7)), "DENTRO", "FORA"))</f>
        <v/>
      </c>
    </row>
    <row r="1074" spans="2:6" x14ac:dyDescent="0.2">
      <c r="B1074" s="44"/>
      <c r="C1074" s="44"/>
      <c r="D1074" s="44"/>
      <c r="E1074" s="42"/>
      <c r="F1074" s="43" t="str">
        <f>IF(E1074="", "", IF(AND(E1074&gt;='PAINEL DE CONTROLE'!$C$5*(1-CONFIGURAÇÕES!$D$7), E1074&lt;='PAINEL DE CONTROLE'!$C$5*(1+CONFIGURAÇÕES!$D$7)), "DENTRO", "FORA"))</f>
        <v/>
      </c>
    </row>
    <row r="1075" spans="2:6" x14ac:dyDescent="0.2">
      <c r="B1075" s="44"/>
      <c r="C1075" s="44"/>
      <c r="D1075" s="44"/>
      <c r="E1075" s="42"/>
      <c r="F1075" s="43" t="str">
        <f>IF(E1075="", "", IF(AND(E1075&gt;='PAINEL DE CONTROLE'!$C$5*(1-CONFIGURAÇÕES!$D$7), E1075&lt;='PAINEL DE CONTROLE'!$C$5*(1+CONFIGURAÇÕES!$D$7)), "DENTRO", "FORA"))</f>
        <v/>
      </c>
    </row>
    <row r="1076" spans="2:6" x14ac:dyDescent="0.2">
      <c r="B1076" s="44"/>
      <c r="C1076" s="44"/>
      <c r="D1076" s="44"/>
      <c r="E1076" s="42"/>
      <c r="F1076" s="43" t="str">
        <f>IF(E1076="", "", IF(AND(E1076&gt;='PAINEL DE CONTROLE'!$C$5*(1-CONFIGURAÇÕES!$D$7), E1076&lt;='PAINEL DE CONTROLE'!$C$5*(1+CONFIGURAÇÕES!$D$7)), "DENTRO", "FORA"))</f>
        <v/>
      </c>
    </row>
    <row r="1077" spans="2:6" x14ac:dyDescent="0.2">
      <c r="B1077" s="44"/>
      <c r="C1077" s="44"/>
      <c r="D1077" s="44"/>
      <c r="E1077" s="42"/>
      <c r="F1077" s="43" t="str">
        <f>IF(E1077="", "", IF(AND(E1077&gt;='PAINEL DE CONTROLE'!$C$5*(1-CONFIGURAÇÕES!$D$7), E1077&lt;='PAINEL DE CONTROLE'!$C$5*(1+CONFIGURAÇÕES!$D$7)), "DENTRO", "FORA"))</f>
        <v/>
      </c>
    </row>
    <row r="1078" spans="2:6" x14ac:dyDescent="0.2">
      <c r="B1078" s="44"/>
      <c r="C1078" s="44"/>
      <c r="D1078" s="44"/>
      <c r="E1078" s="42"/>
      <c r="F1078" s="43" t="str">
        <f>IF(E1078="", "", IF(AND(E1078&gt;='PAINEL DE CONTROLE'!$C$5*(1-CONFIGURAÇÕES!$D$7), E1078&lt;='PAINEL DE CONTROLE'!$C$5*(1+CONFIGURAÇÕES!$D$7)), "DENTRO", "FORA"))</f>
        <v/>
      </c>
    </row>
    <row r="1079" spans="2:6" x14ac:dyDescent="0.2">
      <c r="B1079" s="44"/>
      <c r="C1079" s="44"/>
      <c r="D1079" s="44"/>
      <c r="E1079" s="42"/>
      <c r="F1079" s="43" t="str">
        <f>IF(E1079="", "", IF(AND(E1079&gt;='PAINEL DE CONTROLE'!$C$5*(1-CONFIGURAÇÕES!$D$7), E1079&lt;='PAINEL DE CONTROLE'!$C$5*(1+CONFIGURAÇÕES!$D$7)), "DENTRO", "FORA"))</f>
        <v/>
      </c>
    </row>
    <row r="1080" spans="2:6" x14ac:dyDescent="0.2">
      <c r="B1080" s="44"/>
      <c r="C1080" s="44"/>
      <c r="D1080" s="44"/>
      <c r="E1080" s="42"/>
      <c r="F1080" s="43" t="str">
        <f>IF(E1080="", "", IF(AND(E1080&gt;='PAINEL DE CONTROLE'!$C$5*(1-CONFIGURAÇÕES!$D$7), E1080&lt;='PAINEL DE CONTROLE'!$C$5*(1+CONFIGURAÇÕES!$D$7)), "DENTRO", "FORA"))</f>
        <v/>
      </c>
    </row>
    <row r="1081" spans="2:6" x14ac:dyDescent="0.2">
      <c r="B1081" s="44"/>
      <c r="C1081" s="44"/>
      <c r="D1081" s="44"/>
      <c r="E1081" s="42"/>
      <c r="F1081" s="43" t="str">
        <f>IF(E1081="", "", IF(AND(E1081&gt;='PAINEL DE CONTROLE'!$C$5*(1-CONFIGURAÇÕES!$D$7), E1081&lt;='PAINEL DE CONTROLE'!$C$5*(1+CONFIGURAÇÕES!$D$7)), "DENTRO", "FORA"))</f>
        <v/>
      </c>
    </row>
    <row r="1082" spans="2:6" x14ac:dyDescent="0.2">
      <c r="B1082" s="44"/>
      <c r="C1082" s="44"/>
      <c r="D1082" s="44"/>
      <c r="E1082" s="42"/>
      <c r="F1082" s="43" t="str">
        <f>IF(E1082="", "", IF(AND(E1082&gt;='PAINEL DE CONTROLE'!$C$5*(1-CONFIGURAÇÕES!$D$7), E1082&lt;='PAINEL DE CONTROLE'!$C$5*(1+CONFIGURAÇÕES!$D$7)), "DENTRO", "FORA"))</f>
        <v/>
      </c>
    </row>
    <row r="1083" spans="2:6" x14ac:dyDescent="0.2">
      <c r="B1083" s="44"/>
      <c r="C1083" s="44"/>
      <c r="D1083" s="44"/>
      <c r="E1083" s="42"/>
      <c r="F1083" s="43" t="str">
        <f>IF(E1083="", "", IF(AND(E1083&gt;='PAINEL DE CONTROLE'!$C$5*(1-CONFIGURAÇÕES!$D$7), E1083&lt;='PAINEL DE CONTROLE'!$C$5*(1+CONFIGURAÇÕES!$D$7)), "DENTRO", "FORA"))</f>
        <v/>
      </c>
    </row>
    <row r="1084" spans="2:6" x14ac:dyDescent="0.2">
      <c r="B1084" s="44"/>
      <c r="C1084" s="44"/>
      <c r="D1084" s="44"/>
      <c r="E1084" s="42"/>
      <c r="F1084" s="43" t="str">
        <f>IF(E1084="", "", IF(AND(E1084&gt;='PAINEL DE CONTROLE'!$C$5*(1-CONFIGURAÇÕES!$D$7), E1084&lt;='PAINEL DE CONTROLE'!$C$5*(1+CONFIGURAÇÕES!$D$7)), "DENTRO", "FORA"))</f>
        <v/>
      </c>
    </row>
    <row r="1085" spans="2:6" x14ac:dyDescent="0.2">
      <c r="B1085" s="44"/>
      <c r="C1085" s="44"/>
      <c r="D1085" s="44"/>
      <c r="E1085" s="42"/>
      <c r="F1085" s="43" t="str">
        <f>IF(E1085="", "", IF(AND(E1085&gt;='PAINEL DE CONTROLE'!$C$5*(1-CONFIGURAÇÕES!$D$7), E1085&lt;='PAINEL DE CONTROLE'!$C$5*(1+CONFIGURAÇÕES!$D$7)), "DENTRO", "FORA"))</f>
        <v/>
      </c>
    </row>
    <row r="1086" spans="2:6" x14ac:dyDescent="0.2">
      <c r="B1086" s="44"/>
      <c r="C1086" s="44"/>
      <c r="D1086" s="44"/>
      <c r="E1086" s="42"/>
      <c r="F1086" s="43" t="str">
        <f>IF(E1086="", "", IF(AND(E1086&gt;='PAINEL DE CONTROLE'!$C$5*(1-CONFIGURAÇÕES!$D$7), E1086&lt;='PAINEL DE CONTROLE'!$C$5*(1+CONFIGURAÇÕES!$D$7)), "DENTRO", "FORA"))</f>
        <v/>
      </c>
    </row>
    <row r="1087" spans="2:6" x14ac:dyDescent="0.2">
      <c r="B1087" s="44"/>
      <c r="C1087" s="44"/>
      <c r="D1087" s="44"/>
      <c r="E1087" s="42"/>
      <c r="F1087" s="43" t="str">
        <f>IF(E1087="", "", IF(AND(E1087&gt;='PAINEL DE CONTROLE'!$C$5*(1-CONFIGURAÇÕES!$D$7), E1087&lt;='PAINEL DE CONTROLE'!$C$5*(1+CONFIGURAÇÕES!$D$7)), "DENTRO", "FORA"))</f>
        <v/>
      </c>
    </row>
    <row r="1088" spans="2:6" x14ac:dyDescent="0.2">
      <c r="B1088" s="44"/>
      <c r="C1088" s="44"/>
      <c r="D1088" s="44"/>
      <c r="E1088" s="42"/>
      <c r="F1088" s="43" t="str">
        <f>IF(E1088="", "", IF(AND(E1088&gt;='PAINEL DE CONTROLE'!$C$5*(1-CONFIGURAÇÕES!$D$7), E1088&lt;='PAINEL DE CONTROLE'!$C$5*(1+CONFIGURAÇÕES!$D$7)), "DENTRO", "FORA"))</f>
        <v/>
      </c>
    </row>
    <row r="1089" spans="2:6" x14ac:dyDescent="0.2">
      <c r="B1089" s="44"/>
      <c r="C1089" s="44"/>
      <c r="D1089" s="44"/>
      <c r="E1089" s="42"/>
      <c r="F1089" s="43" t="str">
        <f>IF(E1089="", "", IF(AND(E1089&gt;='PAINEL DE CONTROLE'!$C$5*(1-CONFIGURAÇÕES!$D$7), E1089&lt;='PAINEL DE CONTROLE'!$C$5*(1+CONFIGURAÇÕES!$D$7)), "DENTRO", "FORA"))</f>
        <v/>
      </c>
    </row>
    <row r="1090" spans="2:6" x14ac:dyDescent="0.2">
      <c r="B1090" s="44"/>
      <c r="C1090" s="44"/>
      <c r="D1090" s="44"/>
      <c r="E1090" s="42"/>
      <c r="F1090" s="43" t="str">
        <f>IF(E1090="", "", IF(AND(E1090&gt;='PAINEL DE CONTROLE'!$C$5*(1-CONFIGURAÇÕES!$D$7), E1090&lt;='PAINEL DE CONTROLE'!$C$5*(1+CONFIGURAÇÕES!$D$7)), "DENTRO", "FORA"))</f>
        <v/>
      </c>
    </row>
    <row r="1091" spans="2:6" x14ac:dyDescent="0.2">
      <c r="B1091" s="44"/>
      <c r="C1091" s="44"/>
      <c r="D1091" s="44"/>
      <c r="E1091" s="42"/>
      <c r="F1091" s="43" t="str">
        <f>IF(E1091="", "", IF(AND(E1091&gt;='PAINEL DE CONTROLE'!$C$5*(1-CONFIGURAÇÕES!$D$7), E1091&lt;='PAINEL DE CONTROLE'!$C$5*(1+CONFIGURAÇÕES!$D$7)), "DENTRO", "FORA"))</f>
        <v/>
      </c>
    </row>
    <row r="1092" spans="2:6" x14ac:dyDescent="0.2">
      <c r="B1092" s="44"/>
      <c r="C1092" s="44"/>
      <c r="D1092" s="44"/>
      <c r="E1092" s="42"/>
      <c r="F1092" s="43" t="str">
        <f>IF(E1092="", "", IF(AND(E1092&gt;='PAINEL DE CONTROLE'!$C$5*(1-CONFIGURAÇÕES!$D$7), E1092&lt;='PAINEL DE CONTROLE'!$C$5*(1+CONFIGURAÇÕES!$D$7)), "DENTRO", "FORA"))</f>
        <v/>
      </c>
    </row>
    <row r="1093" spans="2:6" x14ac:dyDescent="0.2">
      <c r="B1093" s="44"/>
      <c r="C1093" s="44"/>
      <c r="D1093" s="44"/>
      <c r="E1093" s="42"/>
      <c r="F1093" s="43" t="str">
        <f>IF(E1093="", "", IF(AND(E1093&gt;='PAINEL DE CONTROLE'!$C$5*(1-CONFIGURAÇÕES!$D$7), E1093&lt;='PAINEL DE CONTROLE'!$C$5*(1+CONFIGURAÇÕES!$D$7)), "DENTRO", "FORA"))</f>
        <v/>
      </c>
    </row>
    <row r="1094" spans="2:6" x14ac:dyDescent="0.2">
      <c r="B1094" s="44"/>
      <c r="C1094" s="44"/>
      <c r="D1094" s="44"/>
      <c r="E1094" s="42"/>
      <c r="F1094" s="43" t="str">
        <f>IF(E1094="", "", IF(AND(E1094&gt;='PAINEL DE CONTROLE'!$C$5*(1-CONFIGURAÇÕES!$D$7), E1094&lt;='PAINEL DE CONTROLE'!$C$5*(1+CONFIGURAÇÕES!$D$7)), "DENTRO", "FORA"))</f>
        <v/>
      </c>
    </row>
    <row r="1095" spans="2:6" x14ac:dyDescent="0.2">
      <c r="B1095" s="44"/>
      <c r="C1095" s="44"/>
      <c r="D1095" s="44"/>
      <c r="E1095" s="42"/>
      <c r="F1095" s="43" t="str">
        <f>IF(E1095="", "", IF(AND(E1095&gt;='PAINEL DE CONTROLE'!$C$5*(1-CONFIGURAÇÕES!$D$7), E1095&lt;='PAINEL DE CONTROLE'!$C$5*(1+CONFIGURAÇÕES!$D$7)), "DENTRO", "FORA"))</f>
        <v/>
      </c>
    </row>
    <row r="1096" spans="2:6" x14ac:dyDescent="0.2">
      <c r="B1096" s="44"/>
      <c r="C1096" s="44"/>
      <c r="D1096" s="44"/>
      <c r="E1096" s="42"/>
      <c r="F1096" s="43" t="str">
        <f>IF(E1096="", "", IF(AND(E1096&gt;='PAINEL DE CONTROLE'!$C$5*(1-CONFIGURAÇÕES!$D$7), E1096&lt;='PAINEL DE CONTROLE'!$C$5*(1+CONFIGURAÇÕES!$D$7)), "DENTRO", "FORA"))</f>
        <v/>
      </c>
    </row>
    <row r="1097" spans="2:6" x14ac:dyDescent="0.2">
      <c r="B1097" s="44"/>
      <c r="C1097" s="44"/>
      <c r="D1097" s="44"/>
      <c r="E1097" s="42"/>
      <c r="F1097" s="43" t="str">
        <f>IF(E1097="", "", IF(AND(E1097&gt;='PAINEL DE CONTROLE'!$C$5*(1-CONFIGURAÇÕES!$D$7), E1097&lt;='PAINEL DE CONTROLE'!$C$5*(1+CONFIGURAÇÕES!$D$7)), "DENTRO", "FORA"))</f>
        <v/>
      </c>
    </row>
    <row r="1098" spans="2:6" x14ac:dyDescent="0.2">
      <c r="B1098" s="44"/>
      <c r="C1098" s="44"/>
      <c r="D1098" s="44"/>
      <c r="E1098" s="42"/>
      <c r="F1098" s="43" t="str">
        <f>IF(E1098="", "", IF(AND(E1098&gt;='PAINEL DE CONTROLE'!$C$5*(1-CONFIGURAÇÕES!$D$7), E1098&lt;='PAINEL DE CONTROLE'!$C$5*(1+CONFIGURAÇÕES!$D$7)), "DENTRO", "FORA"))</f>
        <v/>
      </c>
    </row>
    <row r="1099" spans="2:6" x14ac:dyDescent="0.2">
      <c r="B1099" s="44"/>
      <c r="C1099" s="44"/>
      <c r="D1099" s="44"/>
      <c r="E1099" s="42"/>
      <c r="F1099" s="43" t="str">
        <f>IF(E1099="", "", IF(AND(E1099&gt;='PAINEL DE CONTROLE'!$C$5*(1-CONFIGURAÇÕES!$D$7), E1099&lt;='PAINEL DE CONTROLE'!$C$5*(1+CONFIGURAÇÕES!$D$7)), "DENTRO", "FORA"))</f>
        <v/>
      </c>
    </row>
    <row r="1100" spans="2:6" x14ac:dyDescent="0.2">
      <c r="B1100" s="44"/>
      <c r="C1100" s="44"/>
      <c r="D1100" s="44"/>
      <c r="E1100" s="42"/>
      <c r="F1100" s="43" t="str">
        <f>IF(E1100="", "", IF(AND(E1100&gt;='PAINEL DE CONTROLE'!$C$5*(1-CONFIGURAÇÕES!$D$7), E1100&lt;='PAINEL DE CONTROLE'!$C$5*(1+CONFIGURAÇÕES!$D$7)), "DENTRO", "FORA"))</f>
        <v/>
      </c>
    </row>
    <row r="1101" spans="2:6" x14ac:dyDescent="0.2">
      <c r="B1101" s="44"/>
      <c r="C1101" s="44"/>
      <c r="D1101" s="44"/>
      <c r="E1101" s="42"/>
      <c r="F1101" s="43" t="str">
        <f>IF(E1101="", "", IF(AND(E1101&gt;='PAINEL DE CONTROLE'!$C$5*(1-CONFIGURAÇÕES!$D$7), E1101&lt;='PAINEL DE CONTROLE'!$C$5*(1+CONFIGURAÇÕES!$D$7)), "DENTRO", "FORA"))</f>
        <v/>
      </c>
    </row>
    <row r="1102" spans="2:6" x14ac:dyDescent="0.2">
      <c r="B1102" s="44"/>
      <c r="C1102" s="44"/>
      <c r="D1102" s="44"/>
      <c r="E1102" s="42"/>
      <c r="F1102" s="43" t="str">
        <f>IF(E1102="", "", IF(AND(E1102&gt;='PAINEL DE CONTROLE'!$C$5*(1-CONFIGURAÇÕES!$D$7), E1102&lt;='PAINEL DE CONTROLE'!$C$5*(1+CONFIGURAÇÕES!$D$7)), "DENTRO", "FORA"))</f>
        <v/>
      </c>
    </row>
    <row r="1103" spans="2:6" x14ac:dyDescent="0.2">
      <c r="B1103" s="44"/>
      <c r="C1103" s="44"/>
      <c r="D1103" s="44"/>
      <c r="E1103" s="42"/>
      <c r="F1103" s="43" t="str">
        <f>IF(E1103="", "", IF(AND(E1103&gt;='PAINEL DE CONTROLE'!$C$5*(1-CONFIGURAÇÕES!$D$7), E1103&lt;='PAINEL DE CONTROLE'!$C$5*(1+CONFIGURAÇÕES!$D$7)), "DENTRO", "FORA"))</f>
        <v/>
      </c>
    </row>
    <row r="1104" spans="2:6" x14ac:dyDescent="0.2">
      <c r="B1104" s="44"/>
      <c r="C1104" s="44"/>
      <c r="D1104" s="44"/>
      <c r="E1104" s="42"/>
      <c r="F1104" s="43" t="str">
        <f>IF(E1104="", "", IF(AND(E1104&gt;='PAINEL DE CONTROLE'!$C$5*(1-CONFIGURAÇÕES!$D$7), E1104&lt;='PAINEL DE CONTROLE'!$C$5*(1+CONFIGURAÇÕES!$D$7)), "DENTRO", "FORA"))</f>
        <v/>
      </c>
    </row>
    <row r="1105" spans="2:6" x14ac:dyDescent="0.2">
      <c r="B1105" s="44"/>
      <c r="C1105" s="44"/>
      <c r="D1105" s="44"/>
      <c r="E1105" s="42"/>
      <c r="F1105" s="43" t="str">
        <f>IF(E1105="", "", IF(AND(E1105&gt;='PAINEL DE CONTROLE'!$C$5*(1-CONFIGURAÇÕES!$D$7), E1105&lt;='PAINEL DE CONTROLE'!$C$5*(1+CONFIGURAÇÕES!$D$7)), "DENTRO", "FORA"))</f>
        <v/>
      </c>
    </row>
    <row r="1106" spans="2:6" x14ac:dyDescent="0.2">
      <c r="B1106" s="44"/>
      <c r="C1106" s="44"/>
      <c r="D1106" s="44"/>
      <c r="E1106" s="42"/>
      <c r="F1106" s="43" t="str">
        <f>IF(E1106="", "", IF(AND(E1106&gt;='PAINEL DE CONTROLE'!$C$5*(1-CONFIGURAÇÕES!$D$7), E1106&lt;='PAINEL DE CONTROLE'!$C$5*(1+CONFIGURAÇÕES!$D$7)), "DENTRO", "FORA"))</f>
        <v/>
      </c>
    </row>
    <row r="1107" spans="2:6" x14ac:dyDescent="0.2">
      <c r="B1107" s="44"/>
      <c r="C1107" s="44"/>
      <c r="D1107" s="44"/>
      <c r="E1107" s="42"/>
      <c r="F1107" s="43" t="str">
        <f>IF(E1107="", "", IF(AND(E1107&gt;='PAINEL DE CONTROLE'!$C$5*(1-CONFIGURAÇÕES!$D$7), E1107&lt;='PAINEL DE CONTROLE'!$C$5*(1+CONFIGURAÇÕES!$D$7)), "DENTRO", "FORA"))</f>
        <v/>
      </c>
    </row>
    <row r="1108" spans="2:6" x14ac:dyDescent="0.2">
      <c r="B1108" s="44"/>
      <c r="C1108" s="44"/>
      <c r="D1108" s="44"/>
      <c r="E1108" s="42"/>
      <c r="F1108" s="43" t="str">
        <f>IF(E1108="", "", IF(AND(E1108&gt;='PAINEL DE CONTROLE'!$C$5*(1-CONFIGURAÇÕES!$D$7), E1108&lt;='PAINEL DE CONTROLE'!$C$5*(1+CONFIGURAÇÕES!$D$7)), "DENTRO", "FORA"))</f>
        <v/>
      </c>
    </row>
    <row r="1109" spans="2:6" x14ac:dyDescent="0.2">
      <c r="B1109" s="44"/>
      <c r="C1109" s="44"/>
      <c r="D1109" s="44"/>
      <c r="E1109" s="42"/>
      <c r="F1109" s="43" t="str">
        <f>IF(E1109="", "", IF(AND(E1109&gt;='PAINEL DE CONTROLE'!$C$5*(1-CONFIGURAÇÕES!$D$7), E1109&lt;='PAINEL DE CONTROLE'!$C$5*(1+CONFIGURAÇÕES!$D$7)), "DENTRO", "FORA"))</f>
        <v/>
      </c>
    </row>
    <row r="1110" spans="2:6" x14ac:dyDescent="0.2">
      <c r="B1110" s="44"/>
      <c r="C1110" s="44"/>
      <c r="D1110" s="44"/>
      <c r="E1110" s="42"/>
      <c r="F1110" s="43" t="str">
        <f>IF(E1110="", "", IF(AND(E1110&gt;='PAINEL DE CONTROLE'!$C$5*(1-CONFIGURAÇÕES!$D$7), E1110&lt;='PAINEL DE CONTROLE'!$C$5*(1+CONFIGURAÇÕES!$D$7)), "DENTRO", "FORA"))</f>
        <v/>
      </c>
    </row>
    <row r="1111" spans="2:6" x14ac:dyDescent="0.2">
      <c r="B1111" s="44"/>
      <c r="C1111" s="44"/>
      <c r="D1111" s="44"/>
      <c r="E1111" s="42"/>
      <c r="F1111" s="43" t="str">
        <f>IF(E1111="", "", IF(AND(E1111&gt;='PAINEL DE CONTROLE'!$C$5*(1-CONFIGURAÇÕES!$D$7), E1111&lt;='PAINEL DE CONTROLE'!$C$5*(1+CONFIGURAÇÕES!$D$7)), "DENTRO", "FORA"))</f>
        <v/>
      </c>
    </row>
    <row r="1112" spans="2:6" x14ac:dyDescent="0.2">
      <c r="B1112" s="44"/>
      <c r="C1112" s="44"/>
      <c r="D1112" s="44"/>
      <c r="E1112" s="42"/>
      <c r="F1112" s="43" t="str">
        <f>IF(E1112="", "", IF(AND(E1112&gt;='PAINEL DE CONTROLE'!$C$5*(1-CONFIGURAÇÕES!$D$7), E1112&lt;='PAINEL DE CONTROLE'!$C$5*(1+CONFIGURAÇÕES!$D$7)), "DENTRO", "FORA"))</f>
        <v/>
      </c>
    </row>
    <row r="1113" spans="2:6" x14ac:dyDescent="0.2">
      <c r="B1113" s="44"/>
      <c r="C1113" s="44"/>
      <c r="D1113" s="44"/>
      <c r="E1113" s="42"/>
      <c r="F1113" s="43" t="str">
        <f>IF(E1113="", "", IF(AND(E1113&gt;='PAINEL DE CONTROLE'!$C$5*(1-CONFIGURAÇÕES!$D$7), E1113&lt;='PAINEL DE CONTROLE'!$C$5*(1+CONFIGURAÇÕES!$D$7)), "DENTRO", "FORA"))</f>
        <v/>
      </c>
    </row>
    <row r="1114" spans="2:6" x14ac:dyDescent="0.2">
      <c r="B1114" s="44"/>
      <c r="C1114" s="44"/>
      <c r="D1114" s="44"/>
      <c r="E1114" s="42"/>
      <c r="F1114" s="43" t="str">
        <f>IF(E1114="", "", IF(AND(E1114&gt;='PAINEL DE CONTROLE'!$C$5*(1-CONFIGURAÇÕES!$D$7), E1114&lt;='PAINEL DE CONTROLE'!$C$5*(1+CONFIGURAÇÕES!$D$7)), "DENTRO", "FORA"))</f>
        <v/>
      </c>
    </row>
    <row r="1115" spans="2:6" x14ac:dyDescent="0.2">
      <c r="B1115" s="44"/>
      <c r="C1115" s="44"/>
      <c r="D1115" s="44"/>
      <c r="E1115" s="42"/>
      <c r="F1115" s="43" t="str">
        <f>IF(E1115="", "", IF(AND(E1115&gt;='PAINEL DE CONTROLE'!$C$5*(1-CONFIGURAÇÕES!$D$7), E1115&lt;='PAINEL DE CONTROLE'!$C$5*(1+CONFIGURAÇÕES!$D$7)), "DENTRO", "FORA"))</f>
        <v/>
      </c>
    </row>
    <row r="1116" spans="2:6" x14ac:dyDescent="0.2">
      <c r="B1116" s="44"/>
      <c r="C1116" s="44"/>
      <c r="D1116" s="44"/>
      <c r="E1116" s="42"/>
      <c r="F1116" s="43" t="str">
        <f>IF(E1116="", "", IF(AND(E1116&gt;='PAINEL DE CONTROLE'!$C$5*(1-CONFIGURAÇÕES!$D$7), E1116&lt;='PAINEL DE CONTROLE'!$C$5*(1+CONFIGURAÇÕES!$D$7)), "DENTRO", "FORA"))</f>
        <v/>
      </c>
    </row>
    <row r="1117" spans="2:6" x14ac:dyDescent="0.2">
      <c r="B1117" s="44"/>
      <c r="C1117" s="44"/>
      <c r="D1117" s="44"/>
      <c r="E1117" s="42"/>
      <c r="F1117" s="43" t="str">
        <f>IF(E1117="", "", IF(AND(E1117&gt;='PAINEL DE CONTROLE'!$C$5*(1-CONFIGURAÇÕES!$D$7), E1117&lt;='PAINEL DE CONTROLE'!$C$5*(1+CONFIGURAÇÕES!$D$7)), "DENTRO", "FORA"))</f>
        <v/>
      </c>
    </row>
    <row r="1118" spans="2:6" x14ac:dyDescent="0.2">
      <c r="B1118" s="44"/>
      <c r="C1118" s="44"/>
      <c r="D1118" s="44"/>
      <c r="E1118" s="42"/>
      <c r="F1118" s="43" t="str">
        <f>IF(E1118="", "", IF(AND(E1118&gt;='PAINEL DE CONTROLE'!$C$5*(1-CONFIGURAÇÕES!$D$7), E1118&lt;='PAINEL DE CONTROLE'!$C$5*(1+CONFIGURAÇÕES!$D$7)), "DENTRO", "FORA"))</f>
        <v/>
      </c>
    </row>
    <row r="1119" spans="2:6" x14ac:dyDescent="0.2">
      <c r="B1119" s="44"/>
      <c r="C1119" s="44"/>
      <c r="D1119" s="44"/>
      <c r="E1119" s="42"/>
      <c r="F1119" s="43" t="str">
        <f>IF(E1119="", "", IF(AND(E1119&gt;='PAINEL DE CONTROLE'!$C$5*(1-CONFIGURAÇÕES!$D$7), E1119&lt;='PAINEL DE CONTROLE'!$C$5*(1+CONFIGURAÇÕES!$D$7)), "DENTRO", "FORA"))</f>
        <v/>
      </c>
    </row>
    <row r="1120" spans="2:6" x14ac:dyDescent="0.2">
      <c r="B1120" s="44"/>
      <c r="C1120" s="44"/>
      <c r="D1120" s="44"/>
      <c r="E1120" s="42"/>
      <c r="F1120" s="43" t="str">
        <f>IF(E1120="", "", IF(AND(E1120&gt;='PAINEL DE CONTROLE'!$C$5*(1-CONFIGURAÇÕES!$D$7), E1120&lt;='PAINEL DE CONTROLE'!$C$5*(1+CONFIGURAÇÕES!$D$7)), "DENTRO", "FORA"))</f>
        <v/>
      </c>
    </row>
    <row r="1121" spans="2:6" x14ac:dyDescent="0.2">
      <c r="B1121" s="44"/>
      <c r="C1121" s="44"/>
      <c r="D1121" s="44"/>
      <c r="E1121" s="42"/>
      <c r="F1121" s="43" t="str">
        <f>IF(E1121="", "", IF(AND(E1121&gt;='PAINEL DE CONTROLE'!$C$5*(1-CONFIGURAÇÕES!$D$7), E1121&lt;='PAINEL DE CONTROLE'!$C$5*(1+CONFIGURAÇÕES!$D$7)), "DENTRO", "FORA"))</f>
        <v/>
      </c>
    </row>
    <row r="1122" spans="2:6" x14ac:dyDescent="0.2">
      <c r="B1122" s="44"/>
      <c r="C1122" s="44"/>
      <c r="D1122" s="44"/>
      <c r="E1122" s="42"/>
      <c r="F1122" s="43" t="str">
        <f>IF(E1122="", "", IF(AND(E1122&gt;='PAINEL DE CONTROLE'!$C$5*(1-CONFIGURAÇÕES!$D$7), E1122&lt;='PAINEL DE CONTROLE'!$C$5*(1+CONFIGURAÇÕES!$D$7)), "DENTRO", "FORA"))</f>
        <v/>
      </c>
    </row>
    <row r="1123" spans="2:6" x14ac:dyDescent="0.2">
      <c r="B1123" s="44"/>
      <c r="C1123" s="44"/>
      <c r="D1123" s="44"/>
      <c r="E1123" s="42"/>
      <c r="F1123" s="43" t="str">
        <f>IF(E1123="", "", IF(AND(E1123&gt;='PAINEL DE CONTROLE'!$C$5*(1-CONFIGURAÇÕES!$D$7), E1123&lt;='PAINEL DE CONTROLE'!$C$5*(1+CONFIGURAÇÕES!$D$7)), "DENTRO", "FORA"))</f>
        <v/>
      </c>
    </row>
    <row r="1124" spans="2:6" x14ac:dyDescent="0.2">
      <c r="B1124" s="44"/>
      <c r="C1124" s="44"/>
      <c r="D1124" s="44"/>
      <c r="E1124" s="42"/>
      <c r="F1124" s="43" t="str">
        <f>IF(E1124="", "", IF(AND(E1124&gt;='PAINEL DE CONTROLE'!$C$5*(1-CONFIGURAÇÕES!$D$7), E1124&lt;='PAINEL DE CONTROLE'!$C$5*(1+CONFIGURAÇÕES!$D$7)), "DENTRO", "FORA"))</f>
        <v/>
      </c>
    </row>
    <row r="1125" spans="2:6" x14ac:dyDescent="0.2">
      <c r="B1125" s="44"/>
      <c r="C1125" s="44"/>
      <c r="D1125" s="44"/>
      <c r="E1125" s="42"/>
      <c r="F1125" s="43" t="str">
        <f>IF(E1125="", "", IF(AND(E1125&gt;='PAINEL DE CONTROLE'!$C$5*(1-CONFIGURAÇÕES!$D$7), E1125&lt;='PAINEL DE CONTROLE'!$C$5*(1+CONFIGURAÇÕES!$D$7)), "DENTRO", "FORA"))</f>
        <v/>
      </c>
    </row>
    <row r="1126" spans="2:6" x14ac:dyDescent="0.2">
      <c r="B1126" s="44"/>
      <c r="C1126" s="44"/>
      <c r="D1126" s="44"/>
      <c r="E1126" s="42"/>
      <c r="F1126" s="43" t="str">
        <f>IF(E1126="", "", IF(AND(E1126&gt;='PAINEL DE CONTROLE'!$C$5*(1-CONFIGURAÇÕES!$D$7), E1126&lt;='PAINEL DE CONTROLE'!$C$5*(1+CONFIGURAÇÕES!$D$7)), "DENTRO", "FORA"))</f>
        <v/>
      </c>
    </row>
    <row r="1127" spans="2:6" x14ac:dyDescent="0.2">
      <c r="B1127" s="44"/>
      <c r="C1127" s="44"/>
      <c r="D1127" s="44"/>
      <c r="E1127" s="42"/>
      <c r="F1127" s="43" t="str">
        <f>IF(E1127="", "", IF(AND(E1127&gt;='PAINEL DE CONTROLE'!$C$5*(1-CONFIGURAÇÕES!$D$7), E1127&lt;='PAINEL DE CONTROLE'!$C$5*(1+CONFIGURAÇÕES!$D$7)), "DENTRO", "FORA"))</f>
        <v/>
      </c>
    </row>
    <row r="1128" spans="2:6" x14ac:dyDescent="0.2">
      <c r="B1128" s="44"/>
      <c r="C1128" s="44"/>
      <c r="D1128" s="44"/>
      <c r="E1128" s="42"/>
      <c r="F1128" s="43" t="str">
        <f>IF(E1128="", "", IF(AND(E1128&gt;='PAINEL DE CONTROLE'!$C$5*(1-CONFIGURAÇÕES!$D$7), E1128&lt;='PAINEL DE CONTROLE'!$C$5*(1+CONFIGURAÇÕES!$D$7)), "DENTRO", "FORA"))</f>
        <v/>
      </c>
    </row>
    <row r="1129" spans="2:6" x14ac:dyDescent="0.2">
      <c r="B1129" s="44"/>
      <c r="C1129" s="44"/>
      <c r="D1129" s="44"/>
      <c r="E1129" s="42"/>
      <c r="F1129" s="43" t="str">
        <f>IF(E1129="", "", IF(AND(E1129&gt;='PAINEL DE CONTROLE'!$C$5*(1-CONFIGURAÇÕES!$D$7), E1129&lt;='PAINEL DE CONTROLE'!$C$5*(1+CONFIGURAÇÕES!$D$7)), "DENTRO", "FORA"))</f>
        <v/>
      </c>
    </row>
    <row r="1130" spans="2:6" x14ac:dyDescent="0.2">
      <c r="B1130" s="44"/>
      <c r="C1130" s="44"/>
      <c r="D1130" s="44"/>
      <c r="E1130" s="42"/>
      <c r="F1130" s="43" t="str">
        <f>IF(E1130="", "", IF(AND(E1130&gt;='PAINEL DE CONTROLE'!$C$5*(1-CONFIGURAÇÕES!$D$7), E1130&lt;='PAINEL DE CONTROLE'!$C$5*(1+CONFIGURAÇÕES!$D$7)), "DENTRO", "FORA"))</f>
        <v/>
      </c>
    </row>
    <row r="1131" spans="2:6" x14ac:dyDescent="0.2">
      <c r="B1131" s="44"/>
      <c r="C1131" s="44"/>
      <c r="D1131" s="44"/>
      <c r="E1131" s="42"/>
      <c r="F1131" s="43" t="str">
        <f>IF(E1131="", "", IF(AND(E1131&gt;='PAINEL DE CONTROLE'!$C$5*(1-CONFIGURAÇÕES!$D$7), E1131&lt;='PAINEL DE CONTROLE'!$C$5*(1+CONFIGURAÇÕES!$D$7)), "DENTRO", "FORA"))</f>
        <v/>
      </c>
    </row>
    <row r="1132" spans="2:6" x14ac:dyDescent="0.2">
      <c r="B1132" s="44"/>
      <c r="C1132" s="44"/>
      <c r="D1132" s="44"/>
      <c r="E1132" s="42"/>
      <c r="F1132" s="43" t="str">
        <f>IF(E1132="", "", IF(AND(E1132&gt;='PAINEL DE CONTROLE'!$C$5*(1-CONFIGURAÇÕES!$D$7), E1132&lt;='PAINEL DE CONTROLE'!$C$5*(1+CONFIGURAÇÕES!$D$7)), "DENTRO", "FORA"))</f>
        <v/>
      </c>
    </row>
    <row r="1133" spans="2:6" x14ac:dyDescent="0.2">
      <c r="B1133" s="44"/>
      <c r="C1133" s="44"/>
      <c r="D1133" s="44"/>
      <c r="E1133" s="42"/>
      <c r="F1133" s="43" t="str">
        <f>IF(E1133="", "", IF(AND(E1133&gt;='PAINEL DE CONTROLE'!$C$5*(1-CONFIGURAÇÕES!$D$7), E1133&lt;='PAINEL DE CONTROLE'!$C$5*(1+CONFIGURAÇÕES!$D$7)), "DENTRO", "FORA"))</f>
        <v/>
      </c>
    </row>
    <row r="1134" spans="2:6" x14ac:dyDescent="0.2">
      <c r="B1134" s="44"/>
      <c r="C1134" s="44"/>
      <c r="D1134" s="44"/>
      <c r="E1134" s="42"/>
      <c r="F1134" s="43" t="str">
        <f>IF(E1134="", "", IF(AND(E1134&gt;='PAINEL DE CONTROLE'!$C$5*(1-CONFIGURAÇÕES!$D$7), E1134&lt;='PAINEL DE CONTROLE'!$C$5*(1+CONFIGURAÇÕES!$D$7)), "DENTRO", "FORA"))</f>
        <v/>
      </c>
    </row>
    <row r="1135" spans="2:6" x14ac:dyDescent="0.2">
      <c r="B1135" s="44"/>
      <c r="C1135" s="44"/>
      <c r="D1135" s="44"/>
      <c r="E1135" s="42"/>
      <c r="F1135" s="43" t="str">
        <f>IF(E1135="", "", IF(AND(E1135&gt;='PAINEL DE CONTROLE'!$C$5*(1-CONFIGURAÇÕES!$D$7), E1135&lt;='PAINEL DE CONTROLE'!$C$5*(1+CONFIGURAÇÕES!$D$7)), "DENTRO", "FORA"))</f>
        <v/>
      </c>
    </row>
    <row r="1136" spans="2:6" x14ac:dyDescent="0.2">
      <c r="B1136" s="44"/>
      <c r="C1136" s="44"/>
      <c r="D1136" s="44"/>
      <c r="E1136" s="42"/>
      <c r="F1136" s="43" t="str">
        <f>IF(E1136="", "", IF(AND(E1136&gt;='PAINEL DE CONTROLE'!$C$5*(1-CONFIGURAÇÕES!$D$7), E1136&lt;='PAINEL DE CONTROLE'!$C$5*(1+CONFIGURAÇÕES!$D$7)), "DENTRO", "FORA"))</f>
        <v/>
      </c>
    </row>
    <row r="1137" spans="2:6" x14ac:dyDescent="0.2">
      <c r="B1137" s="44"/>
      <c r="C1137" s="44"/>
      <c r="D1137" s="44"/>
      <c r="E1137" s="42"/>
      <c r="F1137" s="43" t="str">
        <f>IF(E1137="", "", IF(AND(E1137&gt;='PAINEL DE CONTROLE'!$C$5*(1-CONFIGURAÇÕES!$D$7), E1137&lt;='PAINEL DE CONTROLE'!$C$5*(1+CONFIGURAÇÕES!$D$7)), "DENTRO", "FORA"))</f>
        <v/>
      </c>
    </row>
    <row r="1138" spans="2:6" x14ac:dyDescent="0.2">
      <c r="B1138" s="44"/>
      <c r="C1138" s="44"/>
      <c r="D1138" s="44"/>
      <c r="E1138" s="42"/>
      <c r="F1138" s="43" t="str">
        <f>IF(E1138="", "", IF(AND(E1138&gt;='PAINEL DE CONTROLE'!$C$5*(1-CONFIGURAÇÕES!$D$7), E1138&lt;='PAINEL DE CONTROLE'!$C$5*(1+CONFIGURAÇÕES!$D$7)), "DENTRO", "FORA"))</f>
        <v/>
      </c>
    </row>
    <row r="1139" spans="2:6" x14ac:dyDescent="0.2">
      <c r="B1139" s="44"/>
      <c r="C1139" s="44"/>
      <c r="D1139" s="44"/>
      <c r="E1139" s="42"/>
      <c r="F1139" s="43" t="str">
        <f>IF(E1139="", "", IF(AND(E1139&gt;='PAINEL DE CONTROLE'!$C$5*(1-CONFIGURAÇÕES!$D$7), E1139&lt;='PAINEL DE CONTROLE'!$C$5*(1+CONFIGURAÇÕES!$D$7)), "DENTRO", "FORA"))</f>
        <v/>
      </c>
    </row>
    <row r="1140" spans="2:6" x14ac:dyDescent="0.2">
      <c r="B1140" s="44"/>
      <c r="C1140" s="44"/>
      <c r="D1140" s="44"/>
      <c r="E1140" s="42"/>
      <c r="F1140" s="43" t="str">
        <f>IF(E1140="", "", IF(AND(E1140&gt;='PAINEL DE CONTROLE'!$C$5*(1-CONFIGURAÇÕES!$D$7), E1140&lt;='PAINEL DE CONTROLE'!$C$5*(1+CONFIGURAÇÕES!$D$7)), "DENTRO", "FORA"))</f>
        <v/>
      </c>
    </row>
    <row r="1141" spans="2:6" x14ac:dyDescent="0.2">
      <c r="B1141" s="44"/>
      <c r="C1141" s="44"/>
      <c r="D1141" s="44"/>
      <c r="E1141" s="42"/>
      <c r="F1141" s="43" t="str">
        <f>IF(E1141="", "", IF(AND(E1141&gt;='PAINEL DE CONTROLE'!$C$5*(1-CONFIGURAÇÕES!$D$7), E1141&lt;='PAINEL DE CONTROLE'!$C$5*(1+CONFIGURAÇÕES!$D$7)), "DENTRO", "FORA"))</f>
        <v/>
      </c>
    </row>
    <row r="1142" spans="2:6" x14ac:dyDescent="0.2">
      <c r="B1142" s="44"/>
      <c r="C1142" s="44"/>
      <c r="D1142" s="44"/>
      <c r="E1142" s="42"/>
      <c r="F1142" s="43" t="str">
        <f>IF(E1142="", "", IF(AND(E1142&gt;='PAINEL DE CONTROLE'!$C$5*(1-CONFIGURAÇÕES!$D$7), E1142&lt;='PAINEL DE CONTROLE'!$C$5*(1+CONFIGURAÇÕES!$D$7)), "DENTRO", "FORA"))</f>
        <v/>
      </c>
    </row>
    <row r="1143" spans="2:6" x14ac:dyDescent="0.2">
      <c r="B1143" s="44"/>
      <c r="C1143" s="44"/>
      <c r="D1143" s="44"/>
      <c r="E1143" s="42"/>
      <c r="F1143" s="43" t="str">
        <f>IF(E1143="", "", IF(AND(E1143&gt;='PAINEL DE CONTROLE'!$C$5*(1-CONFIGURAÇÕES!$D$7), E1143&lt;='PAINEL DE CONTROLE'!$C$5*(1+CONFIGURAÇÕES!$D$7)), "DENTRO", "FORA"))</f>
        <v/>
      </c>
    </row>
    <row r="1144" spans="2:6" x14ac:dyDescent="0.2">
      <c r="B1144" s="44"/>
      <c r="C1144" s="44"/>
      <c r="D1144" s="44"/>
      <c r="E1144" s="42"/>
      <c r="F1144" s="43" t="str">
        <f>IF(E1144="", "", IF(AND(E1144&gt;='PAINEL DE CONTROLE'!$C$5*(1-CONFIGURAÇÕES!$D$7), E1144&lt;='PAINEL DE CONTROLE'!$C$5*(1+CONFIGURAÇÕES!$D$7)), "DENTRO", "FORA"))</f>
        <v/>
      </c>
    </row>
    <row r="1145" spans="2:6" x14ac:dyDescent="0.2">
      <c r="B1145" s="44"/>
      <c r="C1145" s="44"/>
      <c r="D1145" s="44"/>
      <c r="E1145" s="42"/>
      <c r="F1145" s="43" t="str">
        <f>IF(E1145="", "", IF(AND(E1145&gt;='PAINEL DE CONTROLE'!$C$5*(1-CONFIGURAÇÕES!$D$7), E1145&lt;='PAINEL DE CONTROLE'!$C$5*(1+CONFIGURAÇÕES!$D$7)), "DENTRO", "FORA"))</f>
        <v/>
      </c>
    </row>
    <row r="1146" spans="2:6" x14ac:dyDescent="0.2">
      <c r="B1146" s="44"/>
      <c r="C1146" s="44"/>
      <c r="D1146" s="44"/>
      <c r="E1146" s="42"/>
      <c r="F1146" s="43" t="str">
        <f>IF(E1146="", "", IF(AND(E1146&gt;='PAINEL DE CONTROLE'!$C$5*(1-CONFIGURAÇÕES!$D$7), E1146&lt;='PAINEL DE CONTROLE'!$C$5*(1+CONFIGURAÇÕES!$D$7)), "DENTRO", "FORA"))</f>
        <v/>
      </c>
    </row>
    <row r="1147" spans="2:6" x14ac:dyDescent="0.2">
      <c r="B1147" s="44"/>
      <c r="C1147" s="44"/>
      <c r="D1147" s="44"/>
      <c r="E1147" s="42"/>
      <c r="F1147" s="43" t="str">
        <f>IF(E1147="", "", IF(AND(E1147&gt;='PAINEL DE CONTROLE'!$C$5*(1-CONFIGURAÇÕES!$D$7), E1147&lt;='PAINEL DE CONTROLE'!$C$5*(1+CONFIGURAÇÕES!$D$7)), "DENTRO", "FORA"))</f>
        <v/>
      </c>
    </row>
    <row r="1148" spans="2:6" x14ac:dyDescent="0.2">
      <c r="B1148" s="44"/>
      <c r="C1148" s="44"/>
      <c r="D1148" s="44"/>
      <c r="E1148" s="42"/>
      <c r="F1148" s="43" t="str">
        <f>IF(E1148="", "", IF(AND(E1148&gt;='PAINEL DE CONTROLE'!$C$5*(1-CONFIGURAÇÕES!$D$7), E1148&lt;='PAINEL DE CONTROLE'!$C$5*(1+CONFIGURAÇÕES!$D$7)), "DENTRO", "FORA"))</f>
        <v/>
      </c>
    </row>
    <row r="1149" spans="2:6" x14ac:dyDescent="0.2">
      <c r="B1149" s="44"/>
      <c r="C1149" s="44"/>
      <c r="D1149" s="44"/>
      <c r="E1149" s="42"/>
      <c r="F1149" s="43" t="str">
        <f>IF(E1149="", "", IF(AND(E1149&gt;='PAINEL DE CONTROLE'!$C$5*(1-CONFIGURAÇÕES!$D$7), E1149&lt;='PAINEL DE CONTROLE'!$C$5*(1+CONFIGURAÇÕES!$D$7)), "DENTRO", "FORA"))</f>
        <v/>
      </c>
    </row>
    <row r="1150" spans="2:6" x14ac:dyDescent="0.2">
      <c r="B1150" s="44"/>
      <c r="C1150" s="44"/>
      <c r="D1150" s="44"/>
      <c r="E1150" s="42"/>
      <c r="F1150" s="43" t="str">
        <f>IF(E1150="", "", IF(AND(E1150&gt;='PAINEL DE CONTROLE'!$C$5*(1-CONFIGURAÇÕES!$D$7), E1150&lt;='PAINEL DE CONTROLE'!$C$5*(1+CONFIGURAÇÕES!$D$7)), "DENTRO", "FORA"))</f>
        <v/>
      </c>
    </row>
    <row r="1151" spans="2:6" x14ac:dyDescent="0.2">
      <c r="B1151" s="44"/>
      <c r="C1151" s="44"/>
      <c r="D1151" s="44"/>
      <c r="E1151" s="42"/>
      <c r="F1151" s="43" t="str">
        <f>IF(E1151="", "", IF(AND(E1151&gt;='PAINEL DE CONTROLE'!$C$5*(1-CONFIGURAÇÕES!$D$7), E1151&lt;='PAINEL DE CONTROLE'!$C$5*(1+CONFIGURAÇÕES!$D$7)), "DENTRO", "FORA"))</f>
        <v/>
      </c>
    </row>
    <row r="1152" spans="2:6" x14ac:dyDescent="0.2">
      <c r="B1152" s="44"/>
      <c r="C1152" s="44"/>
      <c r="D1152" s="44"/>
      <c r="E1152" s="42"/>
      <c r="F1152" s="43" t="str">
        <f>IF(E1152="", "", IF(AND(E1152&gt;='PAINEL DE CONTROLE'!$C$5*(1-CONFIGURAÇÕES!$D$7), E1152&lt;='PAINEL DE CONTROLE'!$C$5*(1+CONFIGURAÇÕES!$D$7)), "DENTRO", "FORA"))</f>
        <v/>
      </c>
    </row>
    <row r="1153" spans="2:6" x14ac:dyDescent="0.2">
      <c r="B1153" s="44"/>
      <c r="C1153" s="44"/>
      <c r="D1153" s="44"/>
      <c r="E1153" s="42"/>
      <c r="F1153" s="43" t="str">
        <f>IF(E1153="", "", IF(AND(E1153&gt;='PAINEL DE CONTROLE'!$C$5*(1-CONFIGURAÇÕES!$D$7), E1153&lt;='PAINEL DE CONTROLE'!$C$5*(1+CONFIGURAÇÕES!$D$7)), "DENTRO", "FORA"))</f>
        <v/>
      </c>
    </row>
    <row r="1154" spans="2:6" x14ac:dyDescent="0.2">
      <c r="B1154" s="44"/>
      <c r="C1154" s="44"/>
      <c r="D1154" s="44"/>
      <c r="E1154" s="42"/>
      <c r="F1154" s="43" t="str">
        <f>IF(E1154="", "", IF(AND(E1154&gt;='PAINEL DE CONTROLE'!$C$5*(1-CONFIGURAÇÕES!$D$7), E1154&lt;='PAINEL DE CONTROLE'!$C$5*(1+CONFIGURAÇÕES!$D$7)), "DENTRO", "FORA"))</f>
        <v/>
      </c>
    </row>
    <row r="1155" spans="2:6" x14ac:dyDescent="0.2">
      <c r="B1155" s="44"/>
      <c r="C1155" s="44"/>
      <c r="D1155" s="44"/>
      <c r="E1155" s="42"/>
      <c r="F1155" s="43" t="str">
        <f>IF(E1155="", "", IF(AND(E1155&gt;='PAINEL DE CONTROLE'!$C$5*(1-CONFIGURAÇÕES!$D$7), E1155&lt;='PAINEL DE CONTROLE'!$C$5*(1+CONFIGURAÇÕES!$D$7)), "DENTRO", "FORA"))</f>
        <v/>
      </c>
    </row>
    <row r="1156" spans="2:6" x14ac:dyDescent="0.2">
      <c r="B1156" s="44"/>
      <c r="C1156" s="44"/>
      <c r="D1156" s="44"/>
      <c r="E1156" s="42"/>
      <c r="F1156" s="43" t="str">
        <f>IF(E1156="", "", IF(AND(E1156&gt;='PAINEL DE CONTROLE'!$C$5*(1-CONFIGURAÇÕES!$D$7), E1156&lt;='PAINEL DE CONTROLE'!$C$5*(1+CONFIGURAÇÕES!$D$7)), "DENTRO", "FORA"))</f>
        <v/>
      </c>
    </row>
    <row r="1157" spans="2:6" x14ac:dyDescent="0.2">
      <c r="B1157" s="44"/>
      <c r="C1157" s="44"/>
      <c r="D1157" s="44"/>
      <c r="E1157" s="42"/>
      <c r="F1157" s="43" t="str">
        <f>IF(E1157="", "", IF(AND(E1157&gt;='PAINEL DE CONTROLE'!$C$5*(1-CONFIGURAÇÕES!$D$7), E1157&lt;='PAINEL DE CONTROLE'!$C$5*(1+CONFIGURAÇÕES!$D$7)), "DENTRO", "FORA"))</f>
        <v/>
      </c>
    </row>
    <row r="1158" spans="2:6" x14ac:dyDescent="0.2">
      <c r="B1158" s="44"/>
      <c r="C1158" s="44"/>
      <c r="D1158" s="44"/>
      <c r="E1158" s="42"/>
      <c r="F1158" s="43" t="str">
        <f>IF(E1158="", "", IF(AND(E1158&gt;='PAINEL DE CONTROLE'!$C$5*(1-CONFIGURAÇÕES!$D$7), E1158&lt;='PAINEL DE CONTROLE'!$C$5*(1+CONFIGURAÇÕES!$D$7)), "DENTRO", "FORA"))</f>
        <v/>
      </c>
    </row>
    <row r="1159" spans="2:6" x14ac:dyDescent="0.2">
      <c r="B1159" s="44"/>
      <c r="C1159" s="44"/>
      <c r="D1159" s="44"/>
      <c r="E1159" s="42"/>
      <c r="F1159" s="43" t="str">
        <f>IF(E1159="", "", IF(AND(E1159&gt;='PAINEL DE CONTROLE'!$C$5*(1-CONFIGURAÇÕES!$D$7), E1159&lt;='PAINEL DE CONTROLE'!$C$5*(1+CONFIGURAÇÕES!$D$7)), "DENTRO", "FORA"))</f>
        <v/>
      </c>
    </row>
    <row r="1160" spans="2:6" x14ac:dyDescent="0.2">
      <c r="B1160" s="44"/>
      <c r="C1160" s="44"/>
      <c r="D1160" s="44"/>
      <c r="E1160" s="42"/>
      <c r="F1160" s="43" t="str">
        <f>IF(E1160="", "", IF(AND(E1160&gt;='PAINEL DE CONTROLE'!$C$5*(1-CONFIGURAÇÕES!$D$7), E1160&lt;='PAINEL DE CONTROLE'!$C$5*(1+CONFIGURAÇÕES!$D$7)), "DENTRO", "FORA"))</f>
        <v/>
      </c>
    </row>
    <row r="1161" spans="2:6" x14ac:dyDescent="0.2">
      <c r="B1161" s="44"/>
      <c r="C1161" s="44"/>
      <c r="D1161" s="44"/>
      <c r="E1161" s="42"/>
      <c r="F1161" s="43" t="str">
        <f>IF(E1161="", "", IF(AND(E1161&gt;='PAINEL DE CONTROLE'!$C$5*(1-CONFIGURAÇÕES!$D$7), E1161&lt;='PAINEL DE CONTROLE'!$C$5*(1+CONFIGURAÇÕES!$D$7)), "DENTRO", "FORA"))</f>
        <v/>
      </c>
    </row>
    <row r="1162" spans="2:6" x14ac:dyDescent="0.2">
      <c r="B1162" s="44"/>
      <c r="C1162" s="44"/>
      <c r="D1162" s="44"/>
      <c r="E1162" s="42"/>
      <c r="F1162" s="43" t="str">
        <f>IF(E1162="", "", IF(AND(E1162&gt;='PAINEL DE CONTROLE'!$C$5*(1-CONFIGURAÇÕES!$D$7), E1162&lt;='PAINEL DE CONTROLE'!$C$5*(1+CONFIGURAÇÕES!$D$7)), "DENTRO", "FORA"))</f>
        <v/>
      </c>
    </row>
    <row r="1163" spans="2:6" x14ac:dyDescent="0.2">
      <c r="B1163" s="44"/>
      <c r="C1163" s="44"/>
      <c r="D1163" s="44"/>
      <c r="E1163" s="42"/>
      <c r="F1163" s="43" t="str">
        <f>IF(E1163="", "", IF(AND(E1163&gt;='PAINEL DE CONTROLE'!$C$5*(1-CONFIGURAÇÕES!$D$7), E1163&lt;='PAINEL DE CONTROLE'!$C$5*(1+CONFIGURAÇÕES!$D$7)), "DENTRO", "FORA"))</f>
        <v/>
      </c>
    </row>
    <row r="1164" spans="2:6" x14ac:dyDescent="0.2">
      <c r="B1164" s="44"/>
      <c r="C1164" s="44"/>
      <c r="D1164" s="44"/>
      <c r="E1164" s="42"/>
      <c r="F1164" s="43" t="str">
        <f>IF(E1164="", "", IF(AND(E1164&gt;='PAINEL DE CONTROLE'!$C$5*(1-CONFIGURAÇÕES!$D$7), E1164&lt;='PAINEL DE CONTROLE'!$C$5*(1+CONFIGURAÇÕES!$D$7)), "DENTRO", "FORA"))</f>
        <v/>
      </c>
    </row>
    <row r="1165" spans="2:6" x14ac:dyDescent="0.2">
      <c r="B1165" s="44"/>
      <c r="C1165" s="44"/>
      <c r="D1165" s="44"/>
      <c r="E1165" s="42"/>
      <c r="F1165" s="43" t="str">
        <f>IF(E1165="", "", IF(AND(E1165&gt;='PAINEL DE CONTROLE'!$C$5*(1-CONFIGURAÇÕES!$D$7), E1165&lt;='PAINEL DE CONTROLE'!$C$5*(1+CONFIGURAÇÕES!$D$7)), "DENTRO", "FORA"))</f>
        <v/>
      </c>
    </row>
    <row r="1166" spans="2:6" x14ac:dyDescent="0.2">
      <c r="B1166" s="44"/>
      <c r="C1166" s="44"/>
      <c r="D1166" s="44"/>
      <c r="E1166" s="42"/>
      <c r="F1166" s="43" t="str">
        <f>IF(E1166="", "", IF(AND(E1166&gt;='PAINEL DE CONTROLE'!$C$5*(1-CONFIGURAÇÕES!$D$7), E1166&lt;='PAINEL DE CONTROLE'!$C$5*(1+CONFIGURAÇÕES!$D$7)), "DENTRO", "FORA"))</f>
        <v/>
      </c>
    </row>
    <row r="1167" spans="2:6" x14ac:dyDescent="0.2">
      <c r="B1167" s="44"/>
      <c r="C1167" s="44"/>
      <c r="D1167" s="44"/>
      <c r="E1167" s="42"/>
      <c r="F1167" s="43" t="str">
        <f>IF(E1167="", "", IF(AND(E1167&gt;='PAINEL DE CONTROLE'!$C$5*(1-CONFIGURAÇÕES!$D$7), E1167&lt;='PAINEL DE CONTROLE'!$C$5*(1+CONFIGURAÇÕES!$D$7)), "DENTRO", "FORA"))</f>
        <v/>
      </c>
    </row>
    <row r="1168" spans="2:6" x14ac:dyDescent="0.2">
      <c r="B1168" s="44"/>
      <c r="C1168" s="44"/>
      <c r="D1168" s="44"/>
      <c r="E1168" s="42"/>
      <c r="F1168" s="43" t="str">
        <f>IF(E1168="", "", IF(AND(E1168&gt;='PAINEL DE CONTROLE'!$C$5*(1-CONFIGURAÇÕES!$D$7), E1168&lt;='PAINEL DE CONTROLE'!$C$5*(1+CONFIGURAÇÕES!$D$7)), "DENTRO", "FORA"))</f>
        <v/>
      </c>
    </row>
    <row r="1169" spans="2:6" x14ac:dyDescent="0.2">
      <c r="B1169" s="44"/>
      <c r="C1169" s="44"/>
      <c r="D1169" s="44"/>
      <c r="E1169" s="42"/>
      <c r="F1169" s="43" t="str">
        <f>IF(E1169="", "", IF(AND(E1169&gt;='PAINEL DE CONTROLE'!$C$5*(1-CONFIGURAÇÕES!$D$7), E1169&lt;='PAINEL DE CONTROLE'!$C$5*(1+CONFIGURAÇÕES!$D$7)), "DENTRO", "FORA"))</f>
        <v/>
      </c>
    </row>
    <row r="1170" spans="2:6" x14ac:dyDescent="0.2">
      <c r="B1170" s="44"/>
      <c r="C1170" s="44"/>
      <c r="D1170" s="44"/>
      <c r="E1170" s="42"/>
      <c r="F1170" s="43" t="str">
        <f>IF(E1170="", "", IF(AND(E1170&gt;='PAINEL DE CONTROLE'!$C$5*(1-CONFIGURAÇÕES!$D$7), E1170&lt;='PAINEL DE CONTROLE'!$C$5*(1+CONFIGURAÇÕES!$D$7)), "DENTRO", "FORA"))</f>
        <v/>
      </c>
    </row>
    <row r="1171" spans="2:6" x14ac:dyDescent="0.2">
      <c r="B1171" s="44"/>
      <c r="C1171" s="44"/>
      <c r="D1171" s="44"/>
      <c r="E1171" s="42"/>
      <c r="F1171" s="43" t="str">
        <f>IF(E1171="", "", IF(AND(E1171&gt;='PAINEL DE CONTROLE'!$C$5*(1-CONFIGURAÇÕES!$D$7), E1171&lt;='PAINEL DE CONTROLE'!$C$5*(1+CONFIGURAÇÕES!$D$7)), "DENTRO", "FORA"))</f>
        <v/>
      </c>
    </row>
    <row r="1172" spans="2:6" x14ac:dyDescent="0.2">
      <c r="B1172" s="44"/>
      <c r="C1172" s="44"/>
      <c r="D1172" s="44"/>
      <c r="E1172" s="42"/>
      <c r="F1172" s="43" t="str">
        <f>IF(E1172="", "", IF(AND(E1172&gt;='PAINEL DE CONTROLE'!$C$5*(1-CONFIGURAÇÕES!$D$7), E1172&lt;='PAINEL DE CONTROLE'!$C$5*(1+CONFIGURAÇÕES!$D$7)), "DENTRO", "FORA"))</f>
        <v/>
      </c>
    </row>
    <row r="1173" spans="2:6" x14ac:dyDescent="0.2">
      <c r="B1173" s="44"/>
      <c r="C1173" s="44"/>
      <c r="D1173" s="44"/>
      <c r="E1173" s="42"/>
      <c r="F1173" s="43" t="str">
        <f>IF(E1173="", "", IF(AND(E1173&gt;='PAINEL DE CONTROLE'!$C$5*(1-CONFIGURAÇÕES!$D$7), E1173&lt;='PAINEL DE CONTROLE'!$C$5*(1+CONFIGURAÇÕES!$D$7)), "DENTRO", "FORA"))</f>
        <v/>
      </c>
    </row>
    <row r="1174" spans="2:6" x14ac:dyDescent="0.2">
      <c r="B1174" s="44"/>
      <c r="C1174" s="44"/>
      <c r="D1174" s="44"/>
      <c r="E1174" s="42"/>
      <c r="F1174" s="43" t="str">
        <f>IF(E1174="", "", IF(AND(E1174&gt;='PAINEL DE CONTROLE'!$C$5*(1-CONFIGURAÇÕES!$D$7), E1174&lt;='PAINEL DE CONTROLE'!$C$5*(1+CONFIGURAÇÕES!$D$7)), "DENTRO", "FORA"))</f>
        <v/>
      </c>
    </row>
    <row r="1175" spans="2:6" x14ac:dyDescent="0.2">
      <c r="B1175" s="44"/>
      <c r="C1175" s="44"/>
      <c r="D1175" s="44"/>
      <c r="E1175" s="42"/>
      <c r="F1175" s="43" t="str">
        <f>IF(E1175="", "", IF(AND(E1175&gt;='PAINEL DE CONTROLE'!$C$5*(1-CONFIGURAÇÕES!$D$7), E1175&lt;='PAINEL DE CONTROLE'!$C$5*(1+CONFIGURAÇÕES!$D$7)), "DENTRO", "FORA"))</f>
        <v/>
      </c>
    </row>
    <row r="1176" spans="2:6" x14ac:dyDescent="0.2">
      <c r="B1176" s="44"/>
      <c r="C1176" s="44"/>
      <c r="D1176" s="44"/>
      <c r="E1176" s="42"/>
      <c r="F1176" s="43" t="str">
        <f>IF(E1176="", "", IF(AND(E1176&gt;='PAINEL DE CONTROLE'!$C$5*(1-CONFIGURAÇÕES!$D$7), E1176&lt;='PAINEL DE CONTROLE'!$C$5*(1+CONFIGURAÇÕES!$D$7)), "DENTRO", "FORA"))</f>
        <v/>
      </c>
    </row>
    <row r="1177" spans="2:6" x14ac:dyDescent="0.2">
      <c r="B1177" s="44"/>
      <c r="C1177" s="44"/>
      <c r="D1177" s="44"/>
      <c r="E1177" s="42"/>
      <c r="F1177" s="43" t="str">
        <f>IF(E1177="", "", IF(AND(E1177&gt;='PAINEL DE CONTROLE'!$C$5*(1-CONFIGURAÇÕES!$D$7), E1177&lt;='PAINEL DE CONTROLE'!$C$5*(1+CONFIGURAÇÕES!$D$7)), "DENTRO", "FORA"))</f>
        <v/>
      </c>
    </row>
    <row r="1178" spans="2:6" x14ac:dyDescent="0.2">
      <c r="B1178" s="44"/>
      <c r="C1178" s="44"/>
      <c r="D1178" s="44"/>
      <c r="E1178" s="42"/>
      <c r="F1178" s="43" t="str">
        <f>IF(E1178="", "", IF(AND(E1178&gt;='PAINEL DE CONTROLE'!$C$5*(1-CONFIGURAÇÕES!$D$7), E1178&lt;='PAINEL DE CONTROLE'!$C$5*(1+CONFIGURAÇÕES!$D$7)), "DENTRO", "FORA"))</f>
        <v/>
      </c>
    </row>
    <row r="1179" spans="2:6" x14ac:dyDescent="0.2">
      <c r="B1179" s="44"/>
      <c r="C1179" s="44"/>
      <c r="D1179" s="44"/>
      <c r="E1179" s="42"/>
      <c r="F1179" s="43" t="str">
        <f>IF(E1179="", "", IF(AND(E1179&gt;='PAINEL DE CONTROLE'!$C$5*(1-CONFIGURAÇÕES!$D$7), E1179&lt;='PAINEL DE CONTROLE'!$C$5*(1+CONFIGURAÇÕES!$D$7)), "DENTRO", "FORA"))</f>
        <v/>
      </c>
    </row>
    <row r="1180" spans="2:6" x14ac:dyDescent="0.2">
      <c r="B1180" s="44"/>
      <c r="C1180" s="44"/>
      <c r="D1180" s="44"/>
      <c r="E1180" s="42"/>
      <c r="F1180" s="43" t="str">
        <f>IF(E1180="", "", IF(AND(E1180&gt;='PAINEL DE CONTROLE'!$C$5*(1-CONFIGURAÇÕES!$D$7), E1180&lt;='PAINEL DE CONTROLE'!$C$5*(1+CONFIGURAÇÕES!$D$7)), "DENTRO", "FORA"))</f>
        <v/>
      </c>
    </row>
    <row r="1181" spans="2:6" x14ac:dyDescent="0.2">
      <c r="B1181" s="44"/>
      <c r="C1181" s="44"/>
      <c r="D1181" s="44"/>
      <c r="E1181" s="42"/>
      <c r="F1181" s="43" t="str">
        <f>IF(E1181="", "", IF(AND(E1181&gt;='PAINEL DE CONTROLE'!$C$5*(1-CONFIGURAÇÕES!$D$7), E1181&lt;='PAINEL DE CONTROLE'!$C$5*(1+CONFIGURAÇÕES!$D$7)), "DENTRO", "FORA"))</f>
        <v/>
      </c>
    </row>
    <row r="1182" spans="2:6" x14ac:dyDescent="0.2">
      <c r="B1182" s="44"/>
      <c r="C1182" s="44"/>
      <c r="D1182" s="44"/>
      <c r="E1182" s="42"/>
      <c r="F1182" s="43" t="str">
        <f>IF(E1182="", "", IF(AND(E1182&gt;='PAINEL DE CONTROLE'!$C$5*(1-CONFIGURAÇÕES!$D$7), E1182&lt;='PAINEL DE CONTROLE'!$C$5*(1+CONFIGURAÇÕES!$D$7)), "DENTRO", "FORA"))</f>
        <v/>
      </c>
    </row>
    <row r="1183" spans="2:6" x14ac:dyDescent="0.2">
      <c r="B1183" s="44"/>
      <c r="C1183" s="44"/>
      <c r="D1183" s="44"/>
      <c r="E1183" s="42"/>
      <c r="F1183" s="43" t="str">
        <f>IF(E1183="", "", IF(AND(E1183&gt;='PAINEL DE CONTROLE'!$C$5*(1-CONFIGURAÇÕES!$D$7), E1183&lt;='PAINEL DE CONTROLE'!$C$5*(1+CONFIGURAÇÕES!$D$7)), "DENTRO", "FORA"))</f>
        <v/>
      </c>
    </row>
    <row r="1184" spans="2:6" x14ac:dyDescent="0.2">
      <c r="B1184" s="44"/>
      <c r="C1184" s="44"/>
      <c r="D1184" s="44"/>
      <c r="E1184" s="42"/>
      <c r="F1184" s="43" t="str">
        <f>IF(E1184="", "", IF(AND(E1184&gt;='PAINEL DE CONTROLE'!$C$5*(1-CONFIGURAÇÕES!$D$7), E1184&lt;='PAINEL DE CONTROLE'!$C$5*(1+CONFIGURAÇÕES!$D$7)), "DENTRO", "FORA"))</f>
        <v/>
      </c>
    </row>
    <row r="1185" spans="2:6" x14ac:dyDescent="0.2">
      <c r="B1185" s="44"/>
      <c r="C1185" s="44"/>
      <c r="D1185" s="44"/>
      <c r="E1185" s="42"/>
      <c r="F1185" s="43" t="str">
        <f>IF(E1185="", "", IF(AND(E1185&gt;='PAINEL DE CONTROLE'!$C$5*(1-CONFIGURAÇÕES!$D$7), E1185&lt;='PAINEL DE CONTROLE'!$C$5*(1+CONFIGURAÇÕES!$D$7)), "DENTRO", "FORA"))</f>
        <v/>
      </c>
    </row>
    <row r="1186" spans="2:6" x14ac:dyDescent="0.2">
      <c r="B1186" s="44"/>
      <c r="C1186" s="44"/>
      <c r="D1186" s="44"/>
      <c r="E1186" s="42"/>
      <c r="F1186" s="43" t="str">
        <f>IF(E1186="", "", IF(AND(E1186&gt;='PAINEL DE CONTROLE'!$C$5*(1-CONFIGURAÇÕES!$D$7), E1186&lt;='PAINEL DE CONTROLE'!$C$5*(1+CONFIGURAÇÕES!$D$7)), "DENTRO", "FORA"))</f>
        <v/>
      </c>
    </row>
    <row r="1187" spans="2:6" x14ac:dyDescent="0.2">
      <c r="B1187" s="44"/>
      <c r="C1187" s="44"/>
      <c r="D1187" s="44"/>
      <c r="E1187" s="42"/>
      <c r="F1187" s="43" t="str">
        <f>IF(E1187="", "", IF(AND(E1187&gt;='PAINEL DE CONTROLE'!$C$5*(1-CONFIGURAÇÕES!$D$7), E1187&lt;='PAINEL DE CONTROLE'!$C$5*(1+CONFIGURAÇÕES!$D$7)), "DENTRO", "FORA"))</f>
        <v/>
      </c>
    </row>
    <row r="1188" spans="2:6" x14ac:dyDescent="0.2">
      <c r="B1188" s="44"/>
      <c r="C1188" s="44"/>
      <c r="D1188" s="44"/>
      <c r="E1188" s="42"/>
      <c r="F1188" s="43" t="str">
        <f>IF(E1188="", "", IF(AND(E1188&gt;='PAINEL DE CONTROLE'!$C$5*(1-CONFIGURAÇÕES!$D$7), E1188&lt;='PAINEL DE CONTROLE'!$C$5*(1+CONFIGURAÇÕES!$D$7)), "DENTRO", "FORA"))</f>
        <v/>
      </c>
    </row>
    <row r="1189" spans="2:6" x14ac:dyDescent="0.2">
      <c r="B1189" s="44"/>
      <c r="C1189" s="44"/>
      <c r="D1189" s="44"/>
      <c r="E1189" s="42"/>
      <c r="F1189" s="43" t="str">
        <f>IF(E1189="", "", IF(AND(E1189&gt;='PAINEL DE CONTROLE'!$C$5*(1-CONFIGURAÇÕES!$D$7), E1189&lt;='PAINEL DE CONTROLE'!$C$5*(1+CONFIGURAÇÕES!$D$7)), "DENTRO", "FORA"))</f>
        <v/>
      </c>
    </row>
    <row r="1190" spans="2:6" x14ac:dyDescent="0.2">
      <c r="B1190" s="44"/>
      <c r="C1190" s="44"/>
      <c r="D1190" s="44"/>
      <c r="E1190" s="42"/>
      <c r="F1190" s="43" t="str">
        <f>IF(E1190="", "", IF(AND(E1190&gt;='PAINEL DE CONTROLE'!$C$5*(1-CONFIGURAÇÕES!$D$7), E1190&lt;='PAINEL DE CONTROLE'!$C$5*(1+CONFIGURAÇÕES!$D$7)), "DENTRO", "FORA"))</f>
        <v/>
      </c>
    </row>
    <row r="1191" spans="2:6" x14ac:dyDescent="0.2">
      <c r="B1191" s="44"/>
      <c r="C1191" s="44"/>
      <c r="D1191" s="44"/>
      <c r="E1191" s="42"/>
      <c r="F1191" s="43" t="str">
        <f>IF(E1191="", "", IF(AND(E1191&gt;='PAINEL DE CONTROLE'!$C$5*(1-CONFIGURAÇÕES!$D$7), E1191&lt;='PAINEL DE CONTROLE'!$C$5*(1+CONFIGURAÇÕES!$D$7)), "DENTRO", "FORA"))</f>
        <v/>
      </c>
    </row>
    <row r="1192" spans="2:6" x14ac:dyDescent="0.2">
      <c r="B1192" s="44"/>
      <c r="C1192" s="44"/>
      <c r="D1192" s="44"/>
      <c r="E1192" s="42"/>
      <c r="F1192" s="43" t="str">
        <f>IF(E1192="", "", IF(AND(E1192&gt;='PAINEL DE CONTROLE'!$C$5*(1-CONFIGURAÇÕES!$D$7), E1192&lt;='PAINEL DE CONTROLE'!$C$5*(1+CONFIGURAÇÕES!$D$7)), "DENTRO", "FORA"))</f>
        <v/>
      </c>
    </row>
    <row r="1193" spans="2:6" x14ac:dyDescent="0.2">
      <c r="B1193" s="44"/>
      <c r="C1193" s="44"/>
      <c r="D1193" s="44"/>
      <c r="E1193" s="42"/>
      <c r="F1193" s="43" t="str">
        <f>IF(E1193="", "", IF(AND(E1193&gt;='PAINEL DE CONTROLE'!$C$5*(1-CONFIGURAÇÕES!$D$7), E1193&lt;='PAINEL DE CONTROLE'!$C$5*(1+CONFIGURAÇÕES!$D$7)), "DENTRO", "FORA"))</f>
        <v/>
      </c>
    </row>
    <row r="1194" spans="2:6" x14ac:dyDescent="0.2">
      <c r="B1194" s="44"/>
      <c r="C1194" s="44"/>
      <c r="D1194" s="44"/>
      <c r="E1194" s="42"/>
      <c r="F1194" s="43" t="str">
        <f>IF(E1194="", "", IF(AND(E1194&gt;='PAINEL DE CONTROLE'!$C$5*(1-CONFIGURAÇÕES!$D$7), E1194&lt;='PAINEL DE CONTROLE'!$C$5*(1+CONFIGURAÇÕES!$D$7)), "DENTRO", "FORA"))</f>
        <v/>
      </c>
    </row>
    <row r="1195" spans="2:6" x14ac:dyDescent="0.2">
      <c r="B1195" s="44"/>
      <c r="C1195" s="44"/>
      <c r="D1195" s="44"/>
      <c r="E1195" s="42"/>
      <c r="F1195" s="43" t="str">
        <f>IF(E1195="", "", IF(AND(E1195&gt;='PAINEL DE CONTROLE'!$C$5*(1-CONFIGURAÇÕES!$D$7), E1195&lt;='PAINEL DE CONTROLE'!$C$5*(1+CONFIGURAÇÕES!$D$7)), "DENTRO", "FORA"))</f>
        <v/>
      </c>
    </row>
    <row r="1196" spans="2:6" x14ac:dyDescent="0.2">
      <c r="B1196" s="44"/>
      <c r="C1196" s="44"/>
      <c r="D1196" s="44"/>
      <c r="E1196" s="42"/>
      <c r="F1196" s="43" t="str">
        <f>IF(E1196="", "", IF(AND(E1196&gt;='PAINEL DE CONTROLE'!$C$5*(1-CONFIGURAÇÕES!$D$7), E1196&lt;='PAINEL DE CONTROLE'!$C$5*(1+CONFIGURAÇÕES!$D$7)), "DENTRO", "FORA"))</f>
        <v/>
      </c>
    </row>
    <row r="1197" spans="2:6" x14ac:dyDescent="0.2">
      <c r="B1197" s="44"/>
      <c r="C1197" s="44"/>
      <c r="D1197" s="44"/>
      <c r="E1197" s="42"/>
      <c r="F1197" s="43" t="str">
        <f>IF(E1197="", "", IF(AND(E1197&gt;='PAINEL DE CONTROLE'!$C$5*(1-CONFIGURAÇÕES!$D$7), E1197&lt;='PAINEL DE CONTROLE'!$C$5*(1+CONFIGURAÇÕES!$D$7)), "DENTRO", "FORA"))</f>
        <v/>
      </c>
    </row>
    <row r="1198" spans="2:6" x14ac:dyDescent="0.2">
      <c r="B1198" s="44"/>
      <c r="C1198" s="44"/>
      <c r="D1198" s="44"/>
      <c r="E1198" s="42"/>
      <c r="F1198" s="43" t="str">
        <f>IF(E1198="", "", IF(AND(E1198&gt;='PAINEL DE CONTROLE'!$C$5*(1-CONFIGURAÇÕES!$D$7), E1198&lt;='PAINEL DE CONTROLE'!$C$5*(1+CONFIGURAÇÕES!$D$7)), "DENTRO", "FORA"))</f>
        <v/>
      </c>
    </row>
    <row r="1199" spans="2:6" x14ac:dyDescent="0.2">
      <c r="B1199" s="44"/>
      <c r="C1199" s="44"/>
      <c r="D1199" s="44"/>
      <c r="E1199" s="42"/>
      <c r="F1199" s="43" t="str">
        <f>IF(E1199="", "", IF(AND(E1199&gt;='PAINEL DE CONTROLE'!$C$5*(1-CONFIGURAÇÕES!$D$7), E1199&lt;='PAINEL DE CONTROLE'!$C$5*(1+CONFIGURAÇÕES!$D$7)), "DENTRO", "FORA"))</f>
        <v/>
      </c>
    </row>
    <row r="1200" spans="2:6" x14ac:dyDescent="0.2">
      <c r="B1200" s="44"/>
      <c r="C1200" s="44"/>
      <c r="D1200" s="44"/>
      <c r="E1200" s="42"/>
      <c r="F1200" s="43" t="str">
        <f>IF(E1200="", "", IF(AND(E1200&gt;='PAINEL DE CONTROLE'!$C$5*(1-CONFIGURAÇÕES!$D$7), E1200&lt;='PAINEL DE CONTROLE'!$C$5*(1+CONFIGURAÇÕES!$D$7)), "DENTRO", "FORA"))</f>
        <v/>
      </c>
    </row>
    <row r="1201" spans="2:6" x14ac:dyDescent="0.2">
      <c r="B1201" s="44"/>
      <c r="C1201" s="44"/>
      <c r="D1201" s="44"/>
      <c r="E1201" s="42"/>
      <c r="F1201" s="43" t="str">
        <f>IF(E1201="", "", IF(AND(E1201&gt;='PAINEL DE CONTROLE'!$C$5*(1-CONFIGURAÇÕES!$D$7), E1201&lt;='PAINEL DE CONTROLE'!$C$5*(1+CONFIGURAÇÕES!$D$7)), "DENTRO", "FORA"))</f>
        <v/>
      </c>
    </row>
    <row r="1202" spans="2:6" x14ac:dyDescent="0.2">
      <c r="B1202" s="44"/>
      <c r="C1202" s="44"/>
      <c r="D1202" s="44"/>
      <c r="E1202" s="42"/>
      <c r="F1202" s="43" t="str">
        <f>IF(E1202="", "", IF(AND(E1202&gt;='PAINEL DE CONTROLE'!$C$5*(1-CONFIGURAÇÕES!$D$7), E1202&lt;='PAINEL DE CONTROLE'!$C$5*(1+CONFIGURAÇÕES!$D$7)), "DENTRO", "FORA"))</f>
        <v/>
      </c>
    </row>
    <row r="1203" spans="2:6" x14ac:dyDescent="0.2">
      <c r="B1203" s="44"/>
      <c r="C1203" s="44"/>
      <c r="D1203" s="44"/>
      <c r="E1203" s="42"/>
      <c r="F1203" s="43" t="str">
        <f>IF(E1203="", "", IF(AND(E1203&gt;='PAINEL DE CONTROLE'!$C$5*(1-CONFIGURAÇÕES!$D$7), E1203&lt;='PAINEL DE CONTROLE'!$C$5*(1+CONFIGURAÇÕES!$D$7)), "DENTRO", "FORA"))</f>
        <v/>
      </c>
    </row>
    <row r="1204" spans="2:6" x14ac:dyDescent="0.2">
      <c r="B1204" s="44"/>
      <c r="C1204" s="44"/>
      <c r="D1204" s="44"/>
      <c r="E1204" s="42"/>
      <c r="F1204" s="43" t="str">
        <f>IF(E1204="", "", IF(AND(E1204&gt;='PAINEL DE CONTROLE'!$C$5*(1-CONFIGURAÇÕES!$D$7), E1204&lt;='PAINEL DE CONTROLE'!$C$5*(1+CONFIGURAÇÕES!$D$7)), "DENTRO", "FORA"))</f>
        <v/>
      </c>
    </row>
    <row r="1205" spans="2:6" x14ac:dyDescent="0.2">
      <c r="B1205" s="44"/>
      <c r="C1205" s="44"/>
      <c r="D1205" s="44"/>
      <c r="E1205" s="42"/>
      <c r="F1205" s="43" t="str">
        <f>IF(E1205="", "", IF(AND(E1205&gt;='PAINEL DE CONTROLE'!$C$5*(1-CONFIGURAÇÕES!$D$7), E1205&lt;='PAINEL DE CONTROLE'!$C$5*(1+CONFIGURAÇÕES!$D$7)), "DENTRO", "FORA"))</f>
        <v/>
      </c>
    </row>
    <row r="1206" spans="2:6" x14ac:dyDescent="0.2">
      <c r="B1206" s="44"/>
      <c r="C1206" s="44"/>
      <c r="D1206" s="44"/>
      <c r="E1206" s="42"/>
      <c r="F1206" s="43" t="str">
        <f>IF(E1206="", "", IF(AND(E1206&gt;='PAINEL DE CONTROLE'!$C$5*(1-CONFIGURAÇÕES!$D$7), E1206&lt;='PAINEL DE CONTROLE'!$C$5*(1+CONFIGURAÇÕES!$D$7)), "DENTRO", "FORA"))</f>
        <v/>
      </c>
    </row>
    <row r="1207" spans="2:6" x14ac:dyDescent="0.2">
      <c r="B1207" s="44"/>
      <c r="C1207" s="44"/>
      <c r="D1207" s="44"/>
      <c r="E1207" s="42"/>
      <c r="F1207" s="43" t="str">
        <f>IF(E1207="", "", IF(AND(E1207&gt;='PAINEL DE CONTROLE'!$C$5*(1-CONFIGURAÇÕES!$D$7), E1207&lt;='PAINEL DE CONTROLE'!$C$5*(1+CONFIGURAÇÕES!$D$7)), "DENTRO", "FORA"))</f>
        <v/>
      </c>
    </row>
    <row r="1208" spans="2:6" x14ac:dyDescent="0.2">
      <c r="B1208" s="44"/>
      <c r="C1208" s="44"/>
      <c r="D1208" s="44"/>
      <c r="E1208" s="42"/>
      <c r="F1208" s="43" t="str">
        <f>IF(E1208="", "", IF(AND(E1208&gt;='PAINEL DE CONTROLE'!$C$5*(1-CONFIGURAÇÕES!$D$7), E1208&lt;='PAINEL DE CONTROLE'!$C$5*(1+CONFIGURAÇÕES!$D$7)), "DENTRO", "FORA"))</f>
        <v/>
      </c>
    </row>
    <row r="1209" spans="2:6" x14ac:dyDescent="0.2">
      <c r="B1209" s="44"/>
      <c r="C1209" s="44"/>
      <c r="D1209" s="44"/>
      <c r="E1209" s="42"/>
      <c r="F1209" s="43" t="str">
        <f>IF(E1209="", "", IF(AND(E1209&gt;='PAINEL DE CONTROLE'!$C$5*(1-CONFIGURAÇÕES!$D$7), E1209&lt;='PAINEL DE CONTROLE'!$C$5*(1+CONFIGURAÇÕES!$D$7)), "DENTRO", "FORA"))</f>
        <v/>
      </c>
    </row>
    <row r="1210" spans="2:6" x14ac:dyDescent="0.2">
      <c r="B1210" s="44"/>
      <c r="C1210" s="44"/>
      <c r="D1210" s="44"/>
      <c r="E1210" s="42"/>
      <c r="F1210" s="43" t="str">
        <f>IF(E1210="", "", IF(AND(E1210&gt;='PAINEL DE CONTROLE'!$C$5*(1-CONFIGURAÇÕES!$D$7), E1210&lt;='PAINEL DE CONTROLE'!$C$5*(1+CONFIGURAÇÕES!$D$7)), "DENTRO", "FORA"))</f>
        <v/>
      </c>
    </row>
    <row r="1211" spans="2:6" x14ac:dyDescent="0.2">
      <c r="B1211" s="44"/>
      <c r="C1211" s="44"/>
      <c r="D1211" s="44"/>
      <c r="E1211" s="42"/>
      <c r="F1211" s="43" t="str">
        <f>IF(E1211="", "", IF(AND(E1211&gt;='PAINEL DE CONTROLE'!$C$5*(1-CONFIGURAÇÕES!$D$7), E1211&lt;='PAINEL DE CONTROLE'!$C$5*(1+CONFIGURAÇÕES!$D$7)), "DENTRO", "FORA"))</f>
        <v/>
      </c>
    </row>
    <row r="1212" spans="2:6" x14ac:dyDescent="0.2">
      <c r="B1212" s="44"/>
      <c r="C1212" s="44"/>
      <c r="D1212" s="44"/>
      <c r="E1212" s="42"/>
      <c r="F1212" s="43" t="str">
        <f>IF(E1212="", "", IF(AND(E1212&gt;='PAINEL DE CONTROLE'!$C$5*(1-CONFIGURAÇÕES!$D$7), E1212&lt;='PAINEL DE CONTROLE'!$C$5*(1+CONFIGURAÇÕES!$D$7)), "DENTRO", "FORA"))</f>
        <v/>
      </c>
    </row>
    <row r="1213" spans="2:6" x14ac:dyDescent="0.2">
      <c r="B1213" s="44"/>
      <c r="C1213" s="44"/>
      <c r="D1213" s="44"/>
      <c r="E1213" s="42"/>
      <c r="F1213" s="43" t="str">
        <f>IF(E1213="", "", IF(AND(E1213&gt;='PAINEL DE CONTROLE'!$C$5*(1-CONFIGURAÇÕES!$D$7), E1213&lt;='PAINEL DE CONTROLE'!$C$5*(1+CONFIGURAÇÕES!$D$7)), "DENTRO", "FORA"))</f>
        <v/>
      </c>
    </row>
    <row r="1214" spans="2:6" x14ac:dyDescent="0.2">
      <c r="B1214" s="44"/>
      <c r="C1214" s="44"/>
      <c r="D1214" s="44"/>
      <c r="E1214" s="42"/>
      <c r="F1214" s="43" t="str">
        <f>IF(E1214="", "", IF(AND(E1214&gt;='PAINEL DE CONTROLE'!$C$5*(1-CONFIGURAÇÕES!$D$7), E1214&lt;='PAINEL DE CONTROLE'!$C$5*(1+CONFIGURAÇÕES!$D$7)), "DENTRO", "FORA"))</f>
        <v/>
      </c>
    </row>
    <row r="1215" spans="2:6" x14ac:dyDescent="0.2">
      <c r="B1215" s="44"/>
      <c r="C1215" s="44"/>
      <c r="D1215" s="44"/>
      <c r="E1215" s="42"/>
      <c r="F1215" s="43" t="str">
        <f>IF(E1215="", "", IF(AND(E1215&gt;='PAINEL DE CONTROLE'!$C$5*(1-CONFIGURAÇÕES!$D$7), E1215&lt;='PAINEL DE CONTROLE'!$C$5*(1+CONFIGURAÇÕES!$D$7)), "DENTRO", "FORA"))</f>
        <v/>
      </c>
    </row>
    <row r="1216" spans="2:6" x14ac:dyDescent="0.2">
      <c r="B1216" s="44"/>
      <c r="C1216" s="44"/>
      <c r="D1216" s="44"/>
      <c r="E1216" s="42"/>
      <c r="F1216" s="43" t="str">
        <f>IF(E1216="", "", IF(AND(E1216&gt;='PAINEL DE CONTROLE'!$C$5*(1-CONFIGURAÇÕES!$D$7), E1216&lt;='PAINEL DE CONTROLE'!$C$5*(1+CONFIGURAÇÕES!$D$7)), "DENTRO", "FORA"))</f>
        <v/>
      </c>
    </row>
    <row r="1217" spans="2:6" x14ac:dyDescent="0.2">
      <c r="B1217" s="44"/>
      <c r="C1217" s="44"/>
      <c r="D1217" s="44"/>
      <c r="E1217" s="42"/>
      <c r="F1217" s="43" t="str">
        <f>IF(E1217="", "", IF(AND(E1217&gt;='PAINEL DE CONTROLE'!$C$5*(1-CONFIGURAÇÕES!$D$7), E1217&lt;='PAINEL DE CONTROLE'!$C$5*(1+CONFIGURAÇÕES!$D$7)), "DENTRO", "FORA"))</f>
        <v/>
      </c>
    </row>
    <row r="1218" spans="2:6" x14ac:dyDescent="0.2">
      <c r="B1218" s="44"/>
      <c r="C1218" s="44"/>
      <c r="D1218" s="44"/>
      <c r="E1218" s="42"/>
      <c r="F1218" s="43" t="str">
        <f>IF(E1218="", "", IF(AND(E1218&gt;='PAINEL DE CONTROLE'!$C$5*(1-CONFIGURAÇÕES!$D$7), E1218&lt;='PAINEL DE CONTROLE'!$C$5*(1+CONFIGURAÇÕES!$D$7)), "DENTRO", "FORA"))</f>
        <v/>
      </c>
    </row>
    <row r="1219" spans="2:6" x14ac:dyDescent="0.2">
      <c r="B1219" s="44"/>
      <c r="C1219" s="44"/>
      <c r="D1219" s="44"/>
      <c r="E1219" s="42"/>
      <c r="F1219" s="43" t="str">
        <f>IF(E1219="", "", IF(AND(E1219&gt;='PAINEL DE CONTROLE'!$C$5*(1-CONFIGURAÇÕES!$D$7), E1219&lt;='PAINEL DE CONTROLE'!$C$5*(1+CONFIGURAÇÕES!$D$7)), "DENTRO", "FORA"))</f>
        <v/>
      </c>
    </row>
    <row r="1220" spans="2:6" x14ac:dyDescent="0.2">
      <c r="B1220" s="44"/>
      <c r="C1220" s="44"/>
      <c r="D1220" s="44"/>
      <c r="E1220" s="42"/>
      <c r="F1220" s="43" t="str">
        <f>IF(E1220="", "", IF(AND(E1220&gt;='PAINEL DE CONTROLE'!$C$5*(1-CONFIGURAÇÕES!$D$7), E1220&lt;='PAINEL DE CONTROLE'!$C$5*(1+CONFIGURAÇÕES!$D$7)), "DENTRO", "FORA"))</f>
        <v/>
      </c>
    </row>
    <row r="1221" spans="2:6" x14ac:dyDescent="0.2">
      <c r="B1221" s="44"/>
      <c r="C1221" s="44"/>
      <c r="D1221" s="44"/>
      <c r="E1221" s="42"/>
      <c r="F1221" s="43" t="str">
        <f>IF(E1221="", "", IF(AND(E1221&gt;='PAINEL DE CONTROLE'!$C$5*(1-CONFIGURAÇÕES!$D$7), E1221&lt;='PAINEL DE CONTROLE'!$C$5*(1+CONFIGURAÇÕES!$D$7)), "DENTRO", "FORA"))</f>
        <v/>
      </c>
    </row>
    <row r="1222" spans="2:6" x14ac:dyDescent="0.2">
      <c r="B1222" s="44"/>
      <c r="C1222" s="44"/>
      <c r="D1222" s="44"/>
      <c r="E1222" s="42"/>
      <c r="F1222" s="43" t="str">
        <f>IF(E1222="", "", IF(AND(E1222&gt;='PAINEL DE CONTROLE'!$C$5*(1-CONFIGURAÇÕES!$D$7), E1222&lt;='PAINEL DE CONTROLE'!$C$5*(1+CONFIGURAÇÕES!$D$7)), "DENTRO", "FORA"))</f>
        <v/>
      </c>
    </row>
    <row r="1223" spans="2:6" x14ac:dyDescent="0.2">
      <c r="B1223" s="44"/>
      <c r="C1223" s="44"/>
      <c r="D1223" s="44"/>
      <c r="E1223" s="42"/>
      <c r="F1223" s="43" t="str">
        <f>IF(E1223="", "", IF(AND(E1223&gt;='PAINEL DE CONTROLE'!$C$5*(1-CONFIGURAÇÕES!$D$7), E1223&lt;='PAINEL DE CONTROLE'!$C$5*(1+CONFIGURAÇÕES!$D$7)), "DENTRO", "FORA"))</f>
        <v/>
      </c>
    </row>
    <row r="1224" spans="2:6" x14ac:dyDescent="0.2">
      <c r="B1224" s="44"/>
      <c r="C1224" s="44"/>
      <c r="D1224" s="44"/>
      <c r="E1224" s="42"/>
      <c r="F1224" s="43" t="str">
        <f>IF(E1224="", "", IF(AND(E1224&gt;='PAINEL DE CONTROLE'!$C$5*(1-CONFIGURAÇÕES!$D$7), E1224&lt;='PAINEL DE CONTROLE'!$C$5*(1+CONFIGURAÇÕES!$D$7)), "DENTRO", "FORA"))</f>
        <v/>
      </c>
    </row>
    <row r="1225" spans="2:6" x14ac:dyDescent="0.2">
      <c r="B1225" s="44"/>
      <c r="C1225" s="44"/>
      <c r="D1225" s="44"/>
      <c r="E1225" s="42"/>
      <c r="F1225" s="43" t="str">
        <f>IF(E1225="", "", IF(AND(E1225&gt;='PAINEL DE CONTROLE'!$C$5*(1-CONFIGURAÇÕES!$D$7), E1225&lt;='PAINEL DE CONTROLE'!$C$5*(1+CONFIGURAÇÕES!$D$7)), "DENTRO", "FORA"))</f>
        <v/>
      </c>
    </row>
    <row r="1226" spans="2:6" x14ac:dyDescent="0.2">
      <c r="B1226" s="44"/>
      <c r="C1226" s="44"/>
      <c r="D1226" s="44"/>
      <c r="E1226" s="42"/>
      <c r="F1226" s="43" t="str">
        <f>IF(E1226="", "", IF(AND(E1226&gt;='PAINEL DE CONTROLE'!$C$5*(1-CONFIGURAÇÕES!$D$7), E1226&lt;='PAINEL DE CONTROLE'!$C$5*(1+CONFIGURAÇÕES!$D$7)), "DENTRO", "FORA"))</f>
        <v/>
      </c>
    </row>
    <row r="1227" spans="2:6" x14ac:dyDescent="0.2">
      <c r="B1227" s="44"/>
      <c r="C1227" s="44"/>
      <c r="D1227" s="44"/>
      <c r="E1227" s="42"/>
      <c r="F1227" s="43" t="str">
        <f>IF(E1227="", "", IF(AND(E1227&gt;='PAINEL DE CONTROLE'!$C$5*(1-CONFIGURAÇÕES!$D$7), E1227&lt;='PAINEL DE CONTROLE'!$C$5*(1+CONFIGURAÇÕES!$D$7)), "DENTRO", "FORA"))</f>
        <v/>
      </c>
    </row>
    <row r="1228" spans="2:6" x14ac:dyDescent="0.2">
      <c r="B1228" s="44"/>
      <c r="C1228" s="44"/>
      <c r="D1228" s="44"/>
      <c r="E1228" s="42"/>
      <c r="F1228" s="43" t="str">
        <f>IF(E1228="", "", IF(AND(E1228&gt;='PAINEL DE CONTROLE'!$C$5*(1-CONFIGURAÇÕES!$D$7), E1228&lt;='PAINEL DE CONTROLE'!$C$5*(1+CONFIGURAÇÕES!$D$7)), "DENTRO", "FORA"))</f>
        <v/>
      </c>
    </row>
    <row r="1229" spans="2:6" x14ac:dyDescent="0.2">
      <c r="B1229" s="44"/>
      <c r="C1229" s="44"/>
      <c r="D1229" s="44"/>
      <c r="E1229" s="42"/>
      <c r="F1229" s="43" t="str">
        <f>IF(E1229="", "", IF(AND(E1229&gt;='PAINEL DE CONTROLE'!$C$5*(1-CONFIGURAÇÕES!$D$7), E1229&lt;='PAINEL DE CONTROLE'!$C$5*(1+CONFIGURAÇÕES!$D$7)), "DENTRO", "FORA"))</f>
        <v/>
      </c>
    </row>
    <row r="1230" spans="2:6" x14ac:dyDescent="0.2">
      <c r="B1230" s="44"/>
      <c r="C1230" s="44"/>
      <c r="D1230" s="44"/>
      <c r="E1230" s="42"/>
      <c r="F1230" s="43" t="str">
        <f>IF(E1230="", "", IF(AND(E1230&gt;='PAINEL DE CONTROLE'!$C$5*(1-CONFIGURAÇÕES!$D$7), E1230&lt;='PAINEL DE CONTROLE'!$C$5*(1+CONFIGURAÇÕES!$D$7)), "DENTRO", "FORA"))</f>
        <v/>
      </c>
    </row>
    <row r="1231" spans="2:6" x14ac:dyDescent="0.2">
      <c r="B1231" s="44"/>
      <c r="C1231" s="44"/>
      <c r="D1231" s="44"/>
      <c r="E1231" s="42"/>
      <c r="F1231" s="43" t="str">
        <f>IF(E1231="", "", IF(AND(E1231&gt;='PAINEL DE CONTROLE'!$C$5*(1-CONFIGURAÇÕES!$D$7), E1231&lt;='PAINEL DE CONTROLE'!$C$5*(1+CONFIGURAÇÕES!$D$7)), "DENTRO", "FORA"))</f>
        <v/>
      </c>
    </row>
    <row r="1232" spans="2:6" x14ac:dyDescent="0.2">
      <c r="B1232" s="44"/>
      <c r="C1232" s="44"/>
      <c r="D1232" s="44"/>
      <c r="E1232" s="42"/>
      <c r="F1232" s="43" t="str">
        <f>IF(E1232="", "", IF(AND(E1232&gt;='PAINEL DE CONTROLE'!$C$5*(1-CONFIGURAÇÕES!$D$7), E1232&lt;='PAINEL DE CONTROLE'!$C$5*(1+CONFIGURAÇÕES!$D$7)), "DENTRO", "FORA"))</f>
        <v/>
      </c>
    </row>
    <row r="1233" spans="2:6" x14ac:dyDescent="0.2">
      <c r="B1233" s="44"/>
      <c r="C1233" s="44"/>
      <c r="D1233" s="44"/>
      <c r="E1233" s="42"/>
      <c r="F1233" s="43" t="str">
        <f>IF(E1233="", "", IF(AND(E1233&gt;='PAINEL DE CONTROLE'!$C$5*(1-CONFIGURAÇÕES!$D$7), E1233&lt;='PAINEL DE CONTROLE'!$C$5*(1+CONFIGURAÇÕES!$D$7)), "DENTRO", "FORA"))</f>
        <v/>
      </c>
    </row>
    <row r="1234" spans="2:6" x14ac:dyDescent="0.2">
      <c r="B1234" s="44"/>
      <c r="C1234" s="44"/>
      <c r="D1234" s="44"/>
      <c r="E1234" s="42"/>
      <c r="F1234" s="43" t="str">
        <f>IF(E1234="", "", IF(AND(E1234&gt;='PAINEL DE CONTROLE'!$C$5*(1-CONFIGURAÇÕES!$D$7), E1234&lt;='PAINEL DE CONTROLE'!$C$5*(1+CONFIGURAÇÕES!$D$7)), "DENTRO", "FORA"))</f>
        <v/>
      </c>
    </row>
    <row r="1235" spans="2:6" x14ac:dyDescent="0.2">
      <c r="B1235" s="44"/>
      <c r="C1235" s="44"/>
      <c r="D1235" s="44"/>
      <c r="E1235" s="42"/>
      <c r="F1235" s="43" t="str">
        <f>IF(E1235="", "", IF(AND(E1235&gt;='PAINEL DE CONTROLE'!$C$5*(1-CONFIGURAÇÕES!$D$7), E1235&lt;='PAINEL DE CONTROLE'!$C$5*(1+CONFIGURAÇÕES!$D$7)), "DENTRO", "FORA"))</f>
        <v/>
      </c>
    </row>
    <row r="1236" spans="2:6" x14ac:dyDescent="0.2">
      <c r="B1236" s="44"/>
      <c r="C1236" s="44"/>
      <c r="D1236" s="44"/>
      <c r="E1236" s="42"/>
      <c r="F1236" s="43" t="str">
        <f>IF(E1236="", "", IF(AND(E1236&gt;='PAINEL DE CONTROLE'!$C$5*(1-CONFIGURAÇÕES!$D$7), E1236&lt;='PAINEL DE CONTROLE'!$C$5*(1+CONFIGURAÇÕES!$D$7)), "DENTRO", "FORA"))</f>
        <v/>
      </c>
    </row>
    <row r="1237" spans="2:6" x14ac:dyDescent="0.2">
      <c r="B1237" s="44"/>
      <c r="C1237" s="44"/>
      <c r="D1237" s="44"/>
      <c r="E1237" s="42"/>
      <c r="F1237" s="43" t="str">
        <f>IF(E1237="", "", IF(AND(E1237&gt;='PAINEL DE CONTROLE'!$C$5*(1-CONFIGURAÇÕES!$D$7), E1237&lt;='PAINEL DE CONTROLE'!$C$5*(1+CONFIGURAÇÕES!$D$7)), "DENTRO", "FORA"))</f>
        <v/>
      </c>
    </row>
    <row r="1238" spans="2:6" x14ac:dyDescent="0.2">
      <c r="B1238" s="44"/>
      <c r="C1238" s="44"/>
      <c r="D1238" s="44"/>
      <c r="E1238" s="42"/>
      <c r="F1238" s="43" t="str">
        <f>IF(E1238="", "", IF(AND(E1238&gt;='PAINEL DE CONTROLE'!$C$5*(1-CONFIGURAÇÕES!$D$7), E1238&lt;='PAINEL DE CONTROLE'!$C$5*(1+CONFIGURAÇÕES!$D$7)), "DENTRO", "FORA"))</f>
        <v/>
      </c>
    </row>
    <row r="1239" spans="2:6" x14ac:dyDescent="0.2">
      <c r="B1239" s="44"/>
      <c r="C1239" s="44"/>
      <c r="D1239" s="44"/>
      <c r="E1239" s="42"/>
      <c r="F1239" s="43" t="str">
        <f>IF(E1239="", "", IF(AND(E1239&gt;='PAINEL DE CONTROLE'!$C$5*(1-CONFIGURAÇÕES!$D$7), E1239&lt;='PAINEL DE CONTROLE'!$C$5*(1+CONFIGURAÇÕES!$D$7)), "DENTRO", "FORA"))</f>
        <v/>
      </c>
    </row>
    <row r="1240" spans="2:6" x14ac:dyDescent="0.2">
      <c r="B1240" s="44"/>
      <c r="C1240" s="44"/>
      <c r="D1240" s="44"/>
      <c r="E1240" s="42"/>
      <c r="F1240" s="43" t="str">
        <f>IF(E1240="", "", IF(AND(E1240&gt;='PAINEL DE CONTROLE'!$C$5*(1-CONFIGURAÇÕES!$D$7), E1240&lt;='PAINEL DE CONTROLE'!$C$5*(1+CONFIGURAÇÕES!$D$7)), "DENTRO", "FORA"))</f>
        <v/>
      </c>
    </row>
    <row r="1241" spans="2:6" x14ac:dyDescent="0.2">
      <c r="B1241" s="44"/>
      <c r="C1241" s="44"/>
      <c r="D1241" s="44"/>
      <c r="E1241" s="42"/>
      <c r="F1241" s="43" t="str">
        <f>IF(E1241="", "", IF(AND(E1241&gt;='PAINEL DE CONTROLE'!$C$5*(1-CONFIGURAÇÕES!$D$7), E1241&lt;='PAINEL DE CONTROLE'!$C$5*(1+CONFIGURAÇÕES!$D$7)), "DENTRO", "FORA"))</f>
        <v/>
      </c>
    </row>
    <row r="1242" spans="2:6" x14ac:dyDescent="0.2">
      <c r="B1242" s="44"/>
      <c r="C1242" s="44"/>
      <c r="D1242" s="44"/>
      <c r="E1242" s="42"/>
      <c r="F1242" s="43" t="str">
        <f>IF(E1242="", "", IF(AND(E1242&gt;='PAINEL DE CONTROLE'!$C$5*(1-CONFIGURAÇÕES!$D$7), E1242&lt;='PAINEL DE CONTROLE'!$C$5*(1+CONFIGURAÇÕES!$D$7)), "DENTRO", "FORA"))</f>
        <v/>
      </c>
    </row>
    <row r="1243" spans="2:6" x14ac:dyDescent="0.2">
      <c r="B1243" s="44"/>
      <c r="C1243" s="44"/>
      <c r="D1243" s="44"/>
      <c r="E1243" s="42"/>
      <c r="F1243" s="43" t="str">
        <f>IF(E1243="", "", IF(AND(E1243&gt;='PAINEL DE CONTROLE'!$C$5*(1-CONFIGURAÇÕES!$D$7), E1243&lt;='PAINEL DE CONTROLE'!$C$5*(1+CONFIGURAÇÕES!$D$7)), "DENTRO", "FORA"))</f>
        <v/>
      </c>
    </row>
    <row r="1244" spans="2:6" x14ac:dyDescent="0.2">
      <c r="B1244" s="44"/>
      <c r="C1244" s="44"/>
      <c r="D1244" s="44"/>
      <c r="E1244" s="42"/>
      <c r="F1244" s="43" t="str">
        <f>IF(E1244="", "", IF(AND(E1244&gt;='PAINEL DE CONTROLE'!$C$5*(1-CONFIGURAÇÕES!$D$7), E1244&lt;='PAINEL DE CONTROLE'!$C$5*(1+CONFIGURAÇÕES!$D$7)), "DENTRO", "FORA"))</f>
        <v/>
      </c>
    </row>
    <row r="1245" spans="2:6" x14ac:dyDescent="0.2">
      <c r="B1245" s="44"/>
      <c r="C1245" s="44"/>
      <c r="D1245" s="44"/>
      <c r="E1245" s="42"/>
      <c r="F1245" s="43" t="str">
        <f>IF(E1245="", "", IF(AND(E1245&gt;='PAINEL DE CONTROLE'!$C$5*(1-CONFIGURAÇÕES!$D$7), E1245&lt;='PAINEL DE CONTROLE'!$C$5*(1+CONFIGURAÇÕES!$D$7)), "DENTRO", "FORA"))</f>
        <v/>
      </c>
    </row>
    <row r="1246" spans="2:6" x14ac:dyDescent="0.2">
      <c r="B1246" s="44"/>
      <c r="C1246" s="44"/>
      <c r="D1246" s="44"/>
      <c r="E1246" s="42"/>
      <c r="F1246" s="43" t="str">
        <f>IF(E1246="", "", IF(AND(E1246&gt;='PAINEL DE CONTROLE'!$C$5*(1-CONFIGURAÇÕES!$D$7), E1246&lt;='PAINEL DE CONTROLE'!$C$5*(1+CONFIGURAÇÕES!$D$7)), "DENTRO", "FORA"))</f>
        <v/>
      </c>
    </row>
    <row r="1247" spans="2:6" x14ac:dyDescent="0.2">
      <c r="B1247" s="44"/>
      <c r="C1247" s="44"/>
      <c r="D1247" s="44"/>
      <c r="E1247" s="42"/>
      <c r="F1247" s="43" t="str">
        <f>IF(E1247="", "", IF(AND(E1247&gt;='PAINEL DE CONTROLE'!$C$5*(1-CONFIGURAÇÕES!$D$7), E1247&lt;='PAINEL DE CONTROLE'!$C$5*(1+CONFIGURAÇÕES!$D$7)), "DENTRO", "FORA"))</f>
        <v/>
      </c>
    </row>
    <row r="1248" spans="2:6" x14ac:dyDescent="0.2">
      <c r="B1248" s="44"/>
      <c r="C1248" s="44"/>
      <c r="D1248" s="44"/>
      <c r="E1248" s="42"/>
      <c r="F1248" s="43" t="str">
        <f>IF(E1248="", "", IF(AND(E1248&gt;='PAINEL DE CONTROLE'!$C$5*(1-CONFIGURAÇÕES!$D$7), E1248&lt;='PAINEL DE CONTROLE'!$C$5*(1+CONFIGURAÇÕES!$D$7)), "DENTRO", "FORA"))</f>
        <v/>
      </c>
    </row>
    <row r="1249" spans="2:6" x14ac:dyDescent="0.2">
      <c r="B1249" s="44"/>
      <c r="C1249" s="44"/>
      <c r="D1249" s="44"/>
      <c r="E1249" s="42"/>
      <c r="F1249" s="43" t="str">
        <f>IF(E1249="", "", IF(AND(E1249&gt;='PAINEL DE CONTROLE'!$C$5*(1-CONFIGURAÇÕES!$D$7), E1249&lt;='PAINEL DE CONTROLE'!$C$5*(1+CONFIGURAÇÕES!$D$7)), "DENTRO", "FORA"))</f>
        <v/>
      </c>
    </row>
    <row r="1250" spans="2:6" x14ac:dyDescent="0.2">
      <c r="B1250" s="44"/>
      <c r="C1250" s="44"/>
      <c r="D1250" s="44"/>
      <c r="E1250" s="42"/>
      <c r="F1250" s="43" t="str">
        <f>IF(E1250="", "", IF(AND(E1250&gt;='PAINEL DE CONTROLE'!$C$5*(1-CONFIGURAÇÕES!$D$7), E1250&lt;='PAINEL DE CONTROLE'!$C$5*(1+CONFIGURAÇÕES!$D$7)), "DENTRO", "FORA"))</f>
        <v/>
      </c>
    </row>
    <row r="1251" spans="2:6" x14ac:dyDescent="0.2">
      <c r="B1251" s="44"/>
      <c r="C1251" s="44"/>
      <c r="D1251" s="44"/>
      <c r="E1251" s="42"/>
      <c r="F1251" s="43" t="str">
        <f>IF(E1251="", "", IF(AND(E1251&gt;='PAINEL DE CONTROLE'!$C$5*(1-CONFIGURAÇÕES!$D$7), E1251&lt;='PAINEL DE CONTROLE'!$C$5*(1+CONFIGURAÇÕES!$D$7)), "DENTRO", "FORA"))</f>
        <v/>
      </c>
    </row>
    <row r="1252" spans="2:6" x14ac:dyDescent="0.2">
      <c r="B1252" s="44"/>
      <c r="C1252" s="44"/>
      <c r="D1252" s="44"/>
      <c r="E1252" s="42"/>
      <c r="F1252" s="43" t="str">
        <f>IF(E1252="", "", IF(AND(E1252&gt;='PAINEL DE CONTROLE'!$C$5*(1-CONFIGURAÇÕES!$D$7), E1252&lt;='PAINEL DE CONTROLE'!$C$5*(1+CONFIGURAÇÕES!$D$7)), "DENTRO", "FORA"))</f>
        <v/>
      </c>
    </row>
    <row r="1253" spans="2:6" x14ac:dyDescent="0.2">
      <c r="B1253" s="44"/>
      <c r="C1253" s="44"/>
      <c r="D1253" s="44"/>
      <c r="E1253" s="42"/>
      <c r="F1253" s="43" t="str">
        <f>IF(E1253="", "", IF(AND(E1253&gt;='PAINEL DE CONTROLE'!$C$5*(1-CONFIGURAÇÕES!$D$7), E1253&lt;='PAINEL DE CONTROLE'!$C$5*(1+CONFIGURAÇÕES!$D$7)), "DENTRO", "FORA"))</f>
        <v/>
      </c>
    </row>
    <row r="1254" spans="2:6" x14ac:dyDescent="0.2">
      <c r="B1254" s="44"/>
      <c r="C1254" s="44"/>
      <c r="D1254" s="44"/>
      <c r="E1254" s="42"/>
      <c r="F1254" s="43" t="str">
        <f>IF(E1254="", "", IF(AND(E1254&gt;='PAINEL DE CONTROLE'!$C$5*(1-CONFIGURAÇÕES!$D$7), E1254&lt;='PAINEL DE CONTROLE'!$C$5*(1+CONFIGURAÇÕES!$D$7)), "DENTRO", "FORA"))</f>
        <v/>
      </c>
    </row>
    <row r="1255" spans="2:6" x14ac:dyDescent="0.2">
      <c r="B1255" s="44"/>
      <c r="C1255" s="44"/>
      <c r="D1255" s="44"/>
      <c r="E1255" s="42"/>
      <c r="F1255" s="43" t="str">
        <f>IF(E1255="", "", IF(AND(E1255&gt;='PAINEL DE CONTROLE'!$C$5*(1-CONFIGURAÇÕES!$D$7), E1255&lt;='PAINEL DE CONTROLE'!$C$5*(1+CONFIGURAÇÕES!$D$7)), "DENTRO", "FORA"))</f>
        <v/>
      </c>
    </row>
    <row r="1256" spans="2:6" x14ac:dyDescent="0.2">
      <c r="B1256" s="44"/>
      <c r="C1256" s="44"/>
      <c r="D1256" s="44"/>
      <c r="E1256" s="42"/>
      <c r="F1256" s="43" t="str">
        <f>IF(E1256="", "", IF(AND(E1256&gt;='PAINEL DE CONTROLE'!$C$5*(1-CONFIGURAÇÕES!$D$7), E1256&lt;='PAINEL DE CONTROLE'!$C$5*(1+CONFIGURAÇÕES!$D$7)), "DENTRO", "FORA"))</f>
        <v/>
      </c>
    </row>
    <row r="1257" spans="2:6" x14ac:dyDescent="0.2">
      <c r="B1257" s="44"/>
      <c r="C1257" s="44"/>
      <c r="D1257" s="44"/>
      <c r="E1257" s="42"/>
      <c r="F1257" s="43" t="str">
        <f>IF(E1257="", "", IF(AND(E1257&gt;='PAINEL DE CONTROLE'!$C$5*(1-CONFIGURAÇÕES!$D$7), E1257&lt;='PAINEL DE CONTROLE'!$C$5*(1+CONFIGURAÇÕES!$D$7)), "DENTRO", "FORA"))</f>
        <v/>
      </c>
    </row>
    <row r="1258" spans="2:6" x14ac:dyDescent="0.2">
      <c r="B1258" s="44"/>
      <c r="C1258" s="44"/>
      <c r="D1258" s="44"/>
      <c r="E1258" s="42"/>
      <c r="F1258" s="43" t="str">
        <f>IF(E1258="", "", IF(AND(E1258&gt;='PAINEL DE CONTROLE'!$C$5*(1-CONFIGURAÇÕES!$D$7), E1258&lt;='PAINEL DE CONTROLE'!$C$5*(1+CONFIGURAÇÕES!$D$7)), "DENTRO", "FORA"))</f>
        <v/>
      </c>
    </row>
    <row r="1259" spans="2:6" x14ac:dyDescent="0.2">
      <c r="B1259" s="44"/>
      <c r="C1259" s="44"/>
      <c r="D1259" s="44"/>
      <c r="E1259" s="42"/>
      <c r="F1259" s="43" t="str">
        <f>IF(E1259="", "", IF(AND(E1259&gt;='PAINEL DE CONTROLE'!$C$5*(1-CONFIGURAÇÕES!$D$7), E1259&lt;='PAINEL DE CONTROLE'!$C$5*(1+CONFIGURAÇÕES!$D$7)), "DENTRO", "FORA"))</f>
        <v/>
      </c>
    </row>
    <row r="1260" spans="2:6" x14ac:dyDescent="0.2">
      <c r="B1260" s="44"/>
      <c r="C1260" s="44"/>
      <c r="D1260" s="44"/>
      <c r="E1260" s="42"/>
      <c r="F1260" s="43" t="str">
        <f>IF(E1260="", "", IF(AND(E1260&gt;='PAINEL DE CONTROLE'!$C$5*(1-CONFIGURAÇÕES!$D$7), E1260&lt;='PAINEL DE CONTROLE'!$C$5*(1+CONFIGURAÇÕES!$D$7)), "DENTRO", "FORA"))</f>
        <v/>
      </c>
    </row>
    <row r="1261" spans="2:6" x14ac:dyDescent="0.2">
      <c r="B1261" s="44"/>
      <c r="C1261" s="44"/>
      <c r="D1261" s="44"/>
      <c r="E1261" s="42"/>
      <c r="F1261" s="43" t="str">
        <f>IF(E1261="", "", IF(AND(E1261&gt;='PAINEL DE CONTROLE'!$C$5*(1-CONFIGURAÇÕES!$D$7), E1261&lt;='PAINEL DE CONTROLE'!$C$5*(1+CONFIGURAÇÕES!$D$7)), "DENTRO", "FORA"))</f>
        <v/>
      </c>
    </row>
    <row r="1262" spans="2:6" x14ac:dyDescent="0.2">
      <c r="B1262" s="44"/>
      <c r="C1262" s="44"/>
      <c r="D1262" s="44"/>
      <c r="E1262" s="42"/>
      <c r="F1262" s="43" t="str">
        <f>IF(E1262="", "", IF(AND(E1262&gt;='PAINEL DE CONTROLE'!$C$5*(1-CONFIGURAÇÕES!$D$7), E1262&lt;='PAINEL DE CONTROLE'!$C$5*(1+CONFIGURAÇÕES!$D$7)), "DENTRO", "FORA"))</f>
        <v/>
      </c>
    </row>
    <row r="1263" spans="2:6" x14ac:dyDescent="0.2">
      <c r="B1263" s="44"/>
      <c r="C1263" s="44"/>
      <c r="D1263" s="44"/>
      <c r="E1263" s="42"/>
      <c r="F1263" s="43" t="str">
        <f>IF(E1263="", "", IF(AND(E1263&gt;='PAINEL DE CONTROLE'!$C$5*(1-CONFIGURAÇÕES!$D$7), E1263&lt;='PAINEL DE CONTROLE'!$C$5*(1+CONFIGURAÇÕES!$D$7)), "DENTRO", "FORA"))</f>
        <v/>
      </c>
    </row>
    <row r="1264" spans="2:6" x14ac:dyDescent="0.2">
      <c r="B1264" s="44"/>
      <c r="C1264" s="44"/>
      <c r="D1264" s="44"/>
      <c r="E1264" s="42"/>
      <c r="F1264" s="43" t="str">
        <f>IF(E1264="", "", IF(AND(E1264&gt;='PAINEL DE CONTROLE'!$C$5*(1-CONFIGURAÇÕES!$D$7), E1264&lt;='PAINEL DE CONTROLE'!$C$5*(1+CONFIGURAÇÕES!$D$7)), "DENTRO", "FORA"))</f>
        <v/>
      </c>
    </row>
    <row r="1265" spans="2:6" x14ac:dyDescent="0.2">
      <c r="B1265" s="44"/>
      <c r="C1265" s="44"/>
      <c r="D1265" s="44"/>
      <c r="E1265" s="42"/>
      <c r="F1265" s="43" t="str">
        <f>IF(E1265="", "", IF(AND(E1265&gt;='PAINEL DE CONTROLE'!$C$5*(1-CONFIGURAÇÕES!$D$7), E1265&lt;='PAINEL DE CONTROLE'!$C$5*(1+CONFIGURAÇÕES!$D$7)), "DENTRO", "FORA"))</f>
        <v/>
      </c>
    </row>
    <row r="1266" spans="2:6" x14ac:dyDescent="0.2">
      <c r="B1266" s="44"/>
      <c r="C1266" s="44"/>
      <c r="D1266" s="44"/>
      <c r="E1266" s="42"/>
      <c r="F1266" s="43" t="str">
        <f>IF(E1266="", "", IF(AND(E1266&gt;='PAINEL DE CONTROLE'!$C$5*(1-CONFIGURAÇÕES!$D$7), E1266&lt;='PAINEL DE CONTROLE'!$C$5*(1+CONFIGURAÇÕES!$D$7)), "DENTRO", "FORA"))</f>
        <v/>
      </c>
    </row>
    <row r="1267" spans="2:6" x14ac:dyDescent="0.2">
      <c r="B1267" s="44"/>
      <c r="C1267" s="44"/>
      <c r="D1267" s="44"/>
      <c r="E1267" s="42"/>
      <c r="F1267" s="43" t="str">
        <f>IF(E1267="", "", IF(AND(E1267&gt;='PAINEL DE CONTROLE'!$C$5*(1-CONFIGURAÇÕES!$D$7), E1267&lt;='PAINEL DE CONTROLE'!$C$5*(1+CONFIGURAÇÕES!$D$7)), "DENTRO", "FORA"))</f>
        <v/>
      </c>
    </row>
    <row r="1268" spans="2:6" x14ac:dyDescent="0.2">
      <c r="B1268" s="44"/>
      <c r="C1268" s="44"/>
      <c r="D1268" s="44"/>
      <c r="E1268" s="42"/>
      <c r="F1268" s="43" t="str">
        <f>IF(E1268="", "", IF(AND(E1268&gt;='PAINEL DE CONTROLE'!$C$5*(1-CONFIGURAÇÕES!$D$7), E1268&lt;='PAINEL DE CONTROLE'!$C$5*(1+CONFIGURAÇÕES!$D$7)), "DENTRO", "FORA"))</f>
        <v/>
      </c>
    </row>
    <row r="1269" spans="2:6" x14ac:dyDescent="0.2">
      <c r="B1269" s="44"/>
      <c r="C1269" s="44"/>
      <c r="D1269" s="44"/>
      <c r="E1269" s="42"/>
      <c r="F1269" s="43" t="str">
        <f>IF(E1269="", "", IF(AND(E1269&gt;='PAINEL DE CONTROLE'!$C$5*(1-CONFIGURAÇÕES!$D$7), E1269&lt;='PAINEL DE CONTROLE'!$C$5*(1+CONFIGURAÇÕES!$D$7)), "DENTRO", "FORA"))</f>
        <v/>
      </c>
    </row>
    <row r="1270" spans="2:6" x14ac:dyDescent="0.2">
      <c r="B1270" s="44"/>
      <c r="C1270" s="44"/>
      <c r="D1270" s="44"/>
      <c r="E1270" s="42"/>
      <c r="F1270" s="43" t="str">
        <f>IF(E1270="", "", IF(AND(E1270&gt;='PAINEL DE CONTROLE'!$C$5*(1-CONFIGURAÇÕES!$D$7), E1270&lt;='PAINEL DE CONTROLE'!$C$5*(1+CONFIGURAÇÕES!$D$7)), "DENTRO", "FORA"))</f>
        <v/>
      </c>
    </row>
    <row r="1271" spans="2:6" x14ac:dyDescent="0.2">
      <c r="B1271" s="44"/>
      <c r="C1271" s="44"/>
      <c r="D1271" s="44"/>
      <c r="E1271" s="42"/>
      <c r="F1271" s="43" t="str">
        <f>IF(E1271="", "", IF(AND(E1271&gt;='PAINEL DE CONTROLE'!$C$5*(1-CONFIGURAÇÕES!$D$7), E1271&lt;='PAINEL DE CONTROLE'!$C$5*(1+CONFIGURAÇÕES!$D$7)), "DENTRO", "FORA"))</f>
        <v/>
      </c>
    </row>
    <row r="1272" spans="2:6" x14ac:dyDescent="0.2">
      <c r="B1272" s="44"/>
      <c r="C1272" s="44"/>
      <c r="D1272" s="44"/>
      <c r="E1272" s="42"/>
      <c r="F1272" s="43" t="str">
        <f>IF(E1272="", "", IF(AND(E1272&gt;='PAINEL DE CONTROLE'!$C$5*(1-CONFIGURAÇÕES!$D$7), E1272&lt;='PAINEL DE CONTROLE'!$C$5*(1+CONFIGURAÇÕES!$D$7)), "DENTRO", "FORA"))</f>
        <v/>
      </c>
    </row>
    <row r="1273" spans="2:6" x14ac:dyDescent="0.2">
      <c r="B1273" s="44"/>
      <c r="C1273" s="44"/>
      <c r="D1273" s="44"/>
      <c r="E1273" s="42"/>
      <c r="F1273" s="43" t="str">
        <f>IF(E1273="", "", IF(AND(E1273&gt;='PAINEL DE CONTROLE'!$C$5*(1-CONFIGURAÇÕES!$D$7), E1273&lt;='PAINEL DE CONTROLE'!$C$5*(1+CONFIGURAÇÕES!$D$7)), "DENTRO", "FORA"))</f>
        <v/>
      </c>
    </row>
    <row r="1274" spans="2:6" x14ac:dyDescent="0.2">
      <c r="B1274" s="44"/>
      <c r="C1274" s="44"/>
      <c r="D1274" s="44"/>
      <c r="E1274" s="42"/>
      <c r="F1274" s="43" t="str">
        <f>IF(E1274="", "", IF(AND(E1274&gt;='PAINEL DE CONTROLE'!$C$5*(1-CONFIGURAÇÕES!$D$7), E1274&lt;='PAINEL DE CONTROLE'!$C$5*(1+CONFIGURAÇÕES!$D$7)), "DENTRO", "FORA"))</f>
        <v/>
      </c>
    </row>
    <row r="1275" spans="2:6" x14ac:dyDescent="0.2">
      <c r="B1275" s="44"/>
      <c r="C1275" s="44"/>
      <c r="D1275" s="44"/>
      <c r="E1275" s="42"/>
      <c r="F1275" s="43" t="str">
        <f>IF(E1275="", "", IF(AND(E1275&gt;='PAINEL DE CONTROLE'!$C$5*(1-CONFIGURAÇÕES!$D$7), E1275&lt;='PAINEL DE CONTROLE'!$C$5*(1+CONFIGURAÇÕES!$D$7)), "DENTRO", "FORA"))</f>
        <v/>
      </c>
    </row>
    <row r="1276" spans="2:6" x14ac:dyDescent="0.2">
      <c r="B1276" s="44"/>
      <c r="C1276" s="44"/>
      <c r="D1276" s="44"/>
      <c r="E1276" s="42"/>
      <c r="F1276" s="43" t="str">
        <f>IF(E1276="", "", IF(AND(E1276&gt;='PAINEL DE CONTROLE'!$C$5*(1-CONFIGURAÇÕES!$D$7), E1276&lt;='PAINEL DE CONTROLE'!$C$5*(1+CONFIGURAÇÕES!$D$7)), "DENTRO", "FORA"))</f>
        <v/>
      </c>
    </row>
    <row r="1277" spans="2:6" x14ac:dyDescent="0.2">
      <c r="B1277" s="44"/>
      <c r="C1277" s="44"/>
      <c r="D1277" s="44"/>
      <c r="E1277" s="42"/>
      <c r="F1277" s="43" t="str">
        <f>IF(E1277="", "", IF(AND(E1277&gt;='PAINEL DE CONTROLE'!$C$5*(1-CONFIGURAÇÕES!$D$7), E1277&lt;='PAINEL DE CONTROLE'!$C$5*(1+CONFIGURAÇÕES!$D$7)), "DENTRO", "FORA"))</f>
        <v/>
      </c>
    </row>
    <row r="1278" spans="2:6" x14ac:dyDescent="0.2">
      <c r="B1278" s="44"/>
      <c r="C1278" s="44"/>
      <c r="D1278" s="44"/>
      <c r="E1278" s="42"/>
      <c r="F1278" s="43" t="str">
        <f>IF(E1278="", "", IF(AND(E1278&gt;='PAINEL DE CONTROLE'!$C$5*(1-CONFIGURAÇÕES!$D$7), E1278&lt;='PAINEL DE CONTROLE'!$C$5*(1+CONFIGURAÇÕES!$D$7)), "DENTRO", "FORA"))</f>
        <v/>
      </c>
    </row>
    <row r="1279" spans="2:6" x14ac:dyDescent="0.2">
      <c r="B1279" s="44"/>
      <c r="C1279" s="44"/>
      <c r="D1279" s="44"/>
      <c r="E1279" s="42"/>
      <c r="F1279" s="43" t="str">
        <f>IF(E1279="", "", IF(AND(E1279&gt;='PAINEL DE CONTROLE'!$C$5*(1-CONFIGURAÇÕES!$D$7), E1279&lt;='PAINEL DE CONTROLE'!$C$5*(1+CONFIGURAÇÕES!$D$7)), "DENTRO", "FORA"))</f>
        <v/>
      </c>
    </row>
    <row r="1280" spans="2:6" x14ac:dyDescent="0.2">
      <c r="B1280" s="44"/>
      <c r="C1280" s="44"/>
      <c r="D1280" s="44"/>
      <c r="E1280" s="42"/>
      <c r="F1280" s="43" t="str">
        <f>IF(E1280="", "", IF(AND(E1280&gt;='PAINEL DE CONTROLE'!$C$5*(1-CONFIGURAÇÕES!$D$7), E1280&lt;='PAINEL DE CONTROLE'!$C$5*(1+CONFIGURAÇÕES!$D$7)), "DENTRO", "FORA"))</f>
        <v/>
      </c>
    </row>
    <row r="1281" spans="2:6" x14ac:dyDescent="0.2">
      <c r="B1281" s="44"/>
      <c r="C1281" s="44"/>
      <c r="D1281" s="44"/>
      <c r="E1281" s="42"/>
      <c r="F1281" s="43" t="str">
        <f>IF(E1281="", "", IF(AND(E1281&gt;='PAINEL DE CONTROLE'!$C$5*(1-CONFIGURAÇÕES!$D$7), E1281&lt;='PAINEL DE CONTROLE'!$C$5*(1+CONFIGURAÇÕES!$D$7)), "DENTRO", "FORA"))</f>
        <v/>
      </c>
    </row>
    <row r="1282" spans="2:6" x14ac:dyDescent="0.2">
      <c r="B1282" s="44"/>
      <c r="C1282" s="44"/>
      <c r="D1282" s="44"/>
      <c r="E1282" s="42"/>
      <c r="F1282" s="43" t="str">
        <f>IF(E1282="", "", IF(AND(E1282&gt;='PAINEL DE CONTROLE'!$C$5*(1-CONFIGURAÇÕES!$D$7), E1282&lt;='PAINEL DE CONTROLE'!$C$5*(1+CONFIGURAÇÕES!$D$7)), "DENTRO", "FORA"))</f>
        <v/>
      </c>
    </row>
    <row r="1283" spans="2:6" x14ac:dyDescent="0.2">
      <c r="B1283" s="44"/>
      <c r="C1283" s="44"/>
      <c r="D1283" s="44"/>
      <c r="E1283" s="42"/>
      <c r="F1283" s="43" t="str">
        <f>IF(E1283="", "", IF(AND(E1283&gt;='PAINEL DE CONTROLE'!$C$5*(1-CONFIGURAÇÕES!$D$7), E1283&lt;='PAINEL DE CONTROLE'!$C$5*(1+CONFIGURAÇÕES!$D$7)), "DENTRO", "FORA"))</f>
        <v/>
      </c>
    </row>
    <row r="1284" spans="2:6" x14ac:dyDescent="0.2">
      <c r="B1284" s="44"/>
      <c r="C1284" s="44"/>
      <c r="D1284" s="44"/>
      <c r="E1284" s="42"/>
      <c r="F1284" s="43" t="str">
        <f>IF(E1284="", "", IF(AND(E1284&gt;='PAINEL DE CONTROLE'!$C$5*(1-CONFIGURAÇÕES!$D$7), E1284&lt;='PAINEL DE CONTROLE'!$C$5*(1+CONFIGURAÇÕES!$D$7)), "DENTRO", "FORA"))</f>
        <v/>
      </c>
    </row>
    <row r="1285" spans="2:6" x14ac:dyDescent="0.2">
      <c r="B1285" s="44"/>
      <c r="C1285" s="44"/>
      <c r="D1285" s="44"/>
      <c r="E1285" s="42"/>
      <c r="F1285" s="43" t="str">
        <f>IF(E1285="", "", IF(AND(E1285&gt;='PAINEL DE CONTROLE'!$C$5*(1-CONFIGURAÇÕES!$D$7), E1285&lt;='PAINEL DE CONTROLE'!$C$5*(1+CONFIGURAÇÕES!$D$7)), "DENTRO", "FORA"))</f>
        <v/>
      </c>
    </row>
    <row r="1286" spans="2:6" x14ac:dyDescent="0.2">
      <c r="B1286" s="44"/>
      <c r="C1286" s="44"/>
      <c r="D1286" s="44"/>
      <c r="E1286" s="42"/>
      <c r="F1286" s="43" t="str">
        <f>IF(E1286="", "", IF(AND(E1286&gt;='PAINEL DE CONTROLE'!$C$5*(1-CONFIGURAÇÕES!$D$7), E1286&lt;='PAINEL DE CONTROLE'!$C$5*(1+CONFIGURAÇÕES!$D$7)), "DENTRO", "FORA"))</f>
        <v/>
      </c>
    </row>
    <row r="1287" spans="2:6" x14ac:dyDescent="0.2">
      <c r="B1287" s="44"/>
      <c r="C1287" s="44"/>
      <c r="D1287" s="44"/>
      <c r="E1287" s="42"/>
      <c r="F1287" s="43" t="str">
        <f>IF(E1287="", "", IF(AND(E1287&gt;='PAINEL DE CONTROLE'!$C$5*(1-CONFIGURAÇÕES!$D$7), E1287&lt;='PAINEL DE CONTROLE'!$C$5*(1+CONFIGURAÇÕES!$D$7)), "DENTRO", "FORA"))</f>
        <v/>
      </c>
    </row>
    <row r="1288" spans="2:6" x14ac:dyDescent="0.2">
      <c r="B1288" s="44"/>
      <c r="C1288" s="44"/>
      <c r="D1288" s="44"/>
      <c r="E1288" s="42"/>
      <c r="F1288" s="43" t="str">
        <f>IF(E1288="", "", IF(AND(E1288&gt;='PAINEL DE CONTROLE'!$C$5*(1-CONFIGURAÇÕES!$D$7), E1288&lt;='PAINEL DE CONTROLE'!$C$5*(1+CONFIGURAÇÕES!$D$7)), "DENTRO", "FORA"))</f>
        <v/>
      </c>
    </row>
    <row r="1289" spans="2:6" x14ac:dyDescent="0.2">
      <c r="B1289" s="44"/>
      <c r="C1289" s="44"/>
      <c r="D1289" s="44"/>
      <c r="E1289" s="42"/>
      <c r="F1289" s="43" t="str">
        <f>IF(E1289="", "", IF(AND(E1289&gt;='PAINEL DE CONTROLE'!$C$5*(1-CONFIGURAÇÕES!$D$7), E1289&lt;='PAINEL DE CONTROLE'!$C$5*(1+CONFIGURAÇÕES!$D$7)), "DENTRO", "FORA"))</f>
        <v/>
      </c>
    </row>
    <row r="1290" spans="2:6" x14ac:dyDescent="0.2">
      <c r="B1290" s="44"/>
      <c r="C1290" s="44"/>
      <c r="D1290" s="44"/>
      <c r="E1290" s="42"/>
      <c r="F1290" s="43" t="str">
        <f>IF(E1290="", "", IF(AND(E1290&gt;='PAINEL DE CONTROLE'!$C$5*(1-CONFIGURAÇÕES!$D$7), E1290&lt;='PAINEL DE CONTROLE'!$C$5*(1+CONFIGURAÇÕES!$D$7)), "DENTRO", "FORA"))</f>
        <v/>
      </c>
    </row>
    <row r="1291" spans="2:6" x14ac:dyDescent="0.2">
      <c r="B1291" s="44"/>
      <c r="C1291" s="44"/>
      <c r="D1291" s="44"/>
      <c r="E1291" s="42"/>
      <c r="F1291" s="43" t="str">
        <f>IF(E1291="", "", IF(AND(E1291&gt;='PAINEL DE CONTROLE'!$C$5*(1-CONFIGURAÇÕES!$D$7), E1291&lt;='PAINEL DE CONTROLE'!$C$5*(1+CONFIGURAÇÕES!$D$7)), "DENTRO", "FORA"))</f>
        <v/>
      </c>
    </row>
    <row r="1292" spans="2:6" x14ac:dyDescent="0.2">
      <c r="B1292" s="44"/>
      <c r="C1292" s="44"/>
      <c r="D1292" s="44"/>
      <c r="E1292" s="42"/>
      <c r="F1292" s="43" t="str">
        <f>IF(E1292="", "", IF(AND(E1292&gt;='PAINEL DE CONTROLE'!$C$5*(1-CONFIGURAÇÕES!$D$7), E1292&lt;='PAINEL DE CONTROLE'!$C$5*(1+CONFIGURAÇÕES!$D$7)), "DENTRO", "FORA"))</f>
        <v/>
      </c>
    </row>
    <row r="1293" spans="2:6" x14ac:dyDescent="0.2">
      <c r="B1293" s="44"/>
      <c r="C1293" s="44"/>
      <c r="D1293" s="44"/>
      <c r="E1293" s="42"/>
      <c r="F1293" s="43" t="str">
        <f>IF(E1293="", "", IF(AND(E1293&gt;='PAINEL DE CONTROLE'!$C$5*(1-CONFIGURAÇÕES!$D$7), E1293&lt;='PAINEL DE CONTROLE'!$C$5*(1+CONFIGURAÇÕES!$D$7)), "DENTRO", "FORA"))</f>
        <v/>
      </c>
    </row>
    <row r="1294" spans="2:6" x14ac:dyDescent="0.2">
      <c r="B1294" s="44"/>
      <c r="C1294" s="44"/>
      <c r="D1294" s="44"/>
      <c r="E1294" s="42"/>
      <c r="F1294" s="43" t="str">
        <f>IF(E1294="", "", IF(AND(E1294&gt;='PAINEL DE CONTROLE'!$C$5*(1-CONFIGURAÇÕES!$D$7), E1294&lt;='PAINEL DE CONTROLE'!$C$5*(1+CONFIGURAÇÕES!$D$7)), "DENTRO", "FORA"))</f>
        <v/>
      </c>
    </row>
    <row r="1295" spans="2:6" x14ac:dyDescent="0.2">
      <c r="B1295" s="44"/>
      <c r="C1295" s="44"/>
      <c r="D1295" s="44"/>
      <c r="E1295" s="42"/>
      <c r="F1295" s="43" t="str">
        <f>IF(E1295="", "", IF(AND(E1295&gt;='PAINEL DE CONTROLE'!$C$5*(1-CONFIGURAÇÕES!$D$7), E1295&lt;='PAINEL DE CONTROLE'!$C$5*(1+CONFIGURAÇÕES!$D$7)), "DENTRO", "FORA"))</f>
        <v/>
      </c>
    </row>
    <row r="1296" spans="2:6" x14ac:dyDescent="0.2">
      <c r="B1296" s="44"/>
      <c r="C1296" s="44"/>
      <c r="D1296" s="44"/>
      <c r="E1296" s="42"/>
      <c r="F1296" s="43" t="str">
        <f>IF(E1296="", "", IF(AND(E1296&gt;='PAINEL DE CONTROLE'!$C$5*(1-CONFIGURAÇÕES!$D$7), E1296&lt;='PAINEL DE CONTROLE'!$C$5*(1+CONFIGURAÇÕES!$D$7)), "DENTRO", "FORA"))</f>
        <v/>
      </c>
    </row>
    <row r="1297" spans="2:6" x14ac:dyDescent="0.2">
      <c r="B1297" s="44"/>
      <c r="C1297" s="44"/>
      <c r="D1297" s="44"/>
      <c r="E1297" s="42"/>
      <c r="F1297" s="43" t="str">
        <f>IF(E1297="", "", IF(AND(E1297&gt;='PAINEL DE CONTROLE'!$C$5*(1-CONFIGURAÇÕES!$D$7), E1297&lt;='PAINEL DE CONTROLE'!$C$5*(1+CONFIGURAÇÕES!$D$7)), "DENTRO", "FORA"))</f>
        <v/>
      </c>
    </row>
    <row r="1298" spans="2:6" x14ac:dyDescent="0.2">
      <c r="B1298" s="44"/>
      <c r="C1298" s="44"/>
      <c r="D1298" s="44"/>
      <c r="E1298" s="42"/>
      <c r="F1298" s="43" t="str">
        <f>IF(E1298="", "", IF(AND(E1298&gt;='PAINEL DE CONTROLE'!$C$5*(1-CONFIGURAÇÕES!$D$7), E1298&lt;='PAINEL DE CONTROLE'!$C$5*(1+CONFIGURAÇÕES!$D$7)), "DENTRO", "FORA"))</f>
        <v/>
      </c>
    </row>
    <row r="1299" spans="2:6" x14ac:dyDescent="0.2">
      <c r="B1299" s="44"/>
      <c r="C1299" s="44"/>
      <c r="D1299" s="44"/>
      <c r="E1299" s="42"/>
      <c r="F1299" s="43" t="str">
        <f>IF(E1299="", "", IF(AND(E1299&gt;='PAINEL DE CONTROLE'!$C$5*(1-CONFIGURAÇÕES!$D$7), E1299&lt;='PAINEL DE CONTROLE'!$C$5*(1+CONFIGURAÇÕES!$D$7)), "DENTRO", "FORA"))</f>
        <v/>
      </c>
    </row>
    <row r="1300" spans="2:6" x14ac:dyDescent="0.2">
      <c r="B1300" s="44"/>
      <c r="C1300" s="44"/>
      <c r="D1300" s="44"/>
      <c r="E1300" s="42"/>
      <c r="F1300" s="43" t="str">
        <f>IF(E1300="", "", IF(AND(E1300&gt;='PAINEL DE CONTROLE'!$C$5*(1-CONFIGURAÇÕES!$D$7), E1300&lt;='PAINEL DE CONTROLE'!$C$5*(1+CONFIGURAÇÕES!$D$7)), "DENTRO", "FORA"))</f>
        <v/>
      </c>
    </row>
    <row r="1301" spans="2:6" x14ac:dyDescent="0.2">
      <c r="B1301" s="44"/>
      <c r="C1301" s="44"/>
      <c r="D1301" s="44"/>
      <c r="E1301" s="42"/>
      <c r="F1301" s="43" t="str">
        <f>IF(E1301="", "", IF(AND(E1301&gt;='PAINEL DE CONTROLE'!$C$5*(1-CONFIGURAÇÕES!$D$7), E1301&lt;='PAINEL DE CONTROLE'!$C$5*(1+CONFIGURAÇÕES!$D$7)), "DENTRO", "FORA"))</f>
        <v/>
      </c>
    </row>
    <row r="1302" spans="2:6" x14ac:dyDescent="0.2">
      <c r="B1302" s="44"/>
      <c r="C1302" s="44"/>
      <c r="D1302" s="44"/>
      <c r="E1302" s="42"/>
      <c r="F1302" s="43" t="str">
        <f>IF(E1302="", "", IF(AND(E1302&gt;='PAINEL DE CONTROLE'!$C$5*(1-CONFIGURAÇÕES!$D$7), E1302&lt;='PAINEL DE CONTROLE'!$C$5*(1+CONFIGURAÇÕES!$D$7)), "DENTRO", "FORA"))</f>
        <v/>
      </c>
    </row>
    <row r="1303" spans="2:6" x14ac:dyDescent="0.2">
      <c r="B1303" s="44"/>
      <c r="C1303" s="44"/>
      <c r="D1303" s="44"/>
      <c r="E1303" s="42"/>
      <c r="F1303" s="43" t="str">
        <f>IF(E1303="", "", IF(AND(E1303&gt;='PAINEL DE CONTROLE'!$C$5*(1-CONFIGURAÇÕES!$D$7), E1303&lt;='PAINEL DE CONTROLE'!$C$5*(1+CONFIGURAÇÕES!$D$7)), "DENTRO", "FORA"))</f>
        <v/>
      </c>
    </row>
    <row r="1304" spans="2:6" x14ac:dyDescent="0.2">
      <c r="B1304" s="44"/>
      <c r="C1304" s="44"/>
      <c r="D1304" s="44"/>
      <c r="E1304" s="42"/>
      <c r="F1304" s="43" t="str">
        <f>IF(E1304="", "", IF(AND(E1304&gt;='PAINEL DE CONTROLE'!$C$5*(1-CONFIGURAÇÕES!$D$7), E1304&lt;='PAINEL DE CONTROLE'!$C$5*(1+CONFIGURAÇÕES!$D$7)), "DENTRO", "FORA"))</f>
        <v/>
      </c>
    </row>
    <row r="1305" spans="2:6" x14ac:dyDescent="0.2">
      <c r="B1305" s="44"/>
      <c r="C1305" s="44"/>
      <c r="D1305" s="44"/>
      <c r="E1305" s="42"/>
      <c r="F1305" s="43" t="str">
        <f>IF(E1305="", "", IF(AND(E1305&gt;='PAINEL DE CONTROLE'!$C$5*(1-CONFIGURAÇÕES!$D$7), E1305&lt;='PAINEL DE CONTROLE'!$C$5*(1+CONFIGURAÇÕES!$D$7)), "DENTRO", "FORA"))</f>
        <v/>
      </c>
    </row>
    <row r="1306" spans="2:6" x14ac:dyDescent="0.2">
      <c r="B1306" s="44"/>
      <c r="C1306" s="44"/>
      <c r="D1306" s="44"/>
      <c r="E1306" s="42"/>
      <c r="F1306" s="43" t="str">
        <f>IF(E1306="", "", IF(AND(E1306&gt;='PAINEL DE CONTROLE'!$C$5*(1-CONFIGURAÇÕES!$D$7), E1306&lt;='PAINEL DE CONTROLE'!$C$5*(1+CONFIGURAÇÕES!$D$7)), "DENTRO", "FORA"))</f>
        <v/>
      </c>
    </row>
    <row r="1307" spans="2:6" x14ac:dyDescent="0.2">
      <c r="B1307" s="44"/>
      <c r="C1307" s="44"/>
      <c r="D1307" s="44"/>
      <c r="E1307" s="42"/>
      <c r="F1307" s="43" t="str">
        <f>IF(E1307="", "", IF(AND(E1307&gt;='PAINEL DE CONTROLE'!$C$5*(1-CONFIGURAÇÕES!$D$7), E1307&lt;='PAINEL DE CONTROLE'!$C$5*(1+CONFIGURAÇÕES!$D$7)), "DENTRO", "FORA"))</f>
        <v/>
      </c>
    </row>
    <row r="1308" spans="2:6" x14ac:dyDescent="0.2">
      <c r="B1308" s="44"/>
      <c r="C1308" s="44"/>
      <c r="D1308" s="44"/>
      <c r="E1308" s="42"/>
      <c r="F1308" s="43" t="str">
        <f>IF(E1308="", "", IF(AND(E1308&gt;='PAINEL DE CONTROLE'!$C$5*(1-CONFIGURAÇÕES!$D$7), E1308&lt;='PAINEL DE CONTROLE'!$C$5*(1+CONFIGURAÇÕES!$D$7)), "DENTRO", "FORA"))</f>
        <v/>
      </c>
    </row>
    <row r="1309" spans="2:6" x14ac:dyDescent="0.2">
      <c r="B1309" s="44"/>
      <c r="C1309" s="44"/>
      <c r="D1309" s="44"/>
      <c r="E1309" s="42"/>
      <c r="F1309" s="43" t="str">
        <f>IF(E1309="", "", IF(AND(E1309&gt;='PAINEL DE CONTROLE'!$C$5*(1-CONFIGURAÇÕES!$D$7), E1309&lt;='PAINEL DE CONTROLE'!$C$5*(1+CONFIGURAÇÕES!$D$7)), "DENTRO", "FORA"))</f>
        <v/>
      </c>
    </row>
    <row r="1310" spans="2:6" x14ac:dyDescent="0.2">
      <c r="B1310" s="44"/>
      <c r="C1310" s="44"/>
      <c r="D1310" s="44"/>
      <c r="E1310" s="42"/>
      <c r="F1310" s="43" t="str">
        <f>IF(E1310="", "", IF(AND(E1310&gt;='PAINEL DE CONTROLE'!$C$5*(1-CONFIGURAÇÕES!$D$7), E1310&lt;='PAINEL DE CONTROLE'!$C$5*(1+CONFIGURAÇÕES!$D$7)), "DENTRO", "FORA"))</f>
        <v/>
      </c>
    </row>
    <row r="1311" spans="2:6" x14ac:dyDescent="0.2">
      <c r="B1311" s="44"/>
      <c r="C1311" s="44"/>
      <c r="D1311" s="44"/>
      <c r="E1311" s="42"/>
      <c r="F1311" s="43" t="str">
        <f>IF(E1311="", "", IF(AND(E1311&gt;='PAINEL DE CONTROLE'!$C$5*(1-CONFIGURAÇÕES!$D$7), E1311&lt;='PAINEL DE CONTROLE'!$C$5*(1+CONFIGURAÇÕES!$D$7)), "DENTRO", "FORA"))</f>
        <v/>
      </c>
    </row>
    <row r="1312" spans="2:6" x14ac:dyDescent="0.2">
      <c r="B1312" s="44"/>
      <c r="C1312" s="44"/>
      <c r="D1312" s="44"/>
      <c r="E1312" s="42"/>
      <c r="F1312" s="43" t="str">
        <f>IF(E1312="", "", IF(AND(E1312&gt;='PAINEL DE CONTROLE'!$C$5*(1-CONFIGURAÇÕES!$D$7), E1312&lt;='PAINEL DE CONTROLE'!$C$5*(1+CONFIGURAÇÕES!$D$7)), "DENTRO", "FORA"))</f>
        <v/>
      </c>
    </row>
    <row r="1313" spans="2:6" x14ac:dyDescent="0.2">
      <c r="B1313" s="44"/>
      <c r="C1313" s="44"/>
      <c r="D1313" s="44"/>
      <c r="E1313" s="42"/>
      <c r="F1313" s="43" t="str">
        <f>IF(E1313="", "", IF(AND(E1313&gt;='PAINEL DE CONTROLE'!$C$5*(1-CONFIGURAÇÕES!$D$7), E1313&lt;='PAINEL DE CONTROLE'!$C$5*(1+CONFIGURAÇÕES!$D$7)), "DENTRO", "FORA"))</f>
        <v/>
      </c>
    </row>
    <row r="1314" spans="2:6" x14ac:dyDescent="0.2">
      <c r="B1314" s="44"/>
      <c r="C1314" s="44"/>
      <c r="D1314" s="44"/>
      <c r="E1314" s="42"/>
      <c r="F1314" s="43" t="str">
        <f>IF(E1314="", "", IF(AND(E1314&gt;='PAINEL DE CONTROLE'!$C$5*(1-CONFIGURAÇÕES!$D$7), E1314&lt;='PAINEL DE CONTROLE'!$C$5*(1+CONFIGURAÇÕES!$D$7)), "DENTRO", "FORA"))</f>
        <v/>
      </c>
    </row>
    <row r="1315" spans="2:6" x14ac:dyDescent="0.2">
      <c r="B1315" s="44"/>
      <c r="C1315" s="44"/>
      <c r="D1315" s="44"/>
      <c r="E1315" s="42"/>
      <c r="F1315" s="43" t="str">
        <f>IF(E1315="", "", IF(AND(E1315&gt;='PAINEL DE CONTROLE'!$C$5*(1-CONFIGURAÇÕES!$D$7), E1315&lt;='PAINEL DE CONTROLE'!$C$5*(1+CONFIGURAÇÕES!$D$7)), "DENTRO", "FORA"))</f>
        <v/>
      </c>
    </row>
    <row r="1316" spans="2:6" x14ac:dyDescent="0.2">
      <c r="B1316" s="44"/>
      <c r="C1316" s="44"/>
      <c r="D1316" s="44"/>
      <c r="E1316" s="42"/>
      <c r="F1316" s="43" t="str">
        <f>IF(E1316="", "", IF(AND(E1316&gt;='PAINEL DE CONTROLE'!$C$5*(1-CONFIGURAÇÕES!$D$7), E1316&lt;='PAINEL DE CONTROLE'!$C$5*(1+CONFIGURAÇÕES!$D$7)), "DENTRO", "FORA"))</f>
        <v/>
      </c>
    </row>
    <row r="1317" spans="2:6" x14ac:dyDescent="0.2">
      <c r="B1317" s="44"/>
      <c r="C1317" s="44"/>
      <c r="D1317" s="44"/>
      <c r="E1317" s="42"/>
      <c r="F1317" s="43" t="str">
        <f>IF(E1317="", "", IF(AND(E1317&gt;='PAINEL DE CONTROLE'!$C$5*(1-CONFIGURAÇÕES!$D$7), E1317&lt;='PAINEL DE CONTROLE'!$C$5*(1+CONFIGURAÇÕES!$D$7)), "DENTRO", "FORA"))</f>
        <v/>
      </c>
    </row>
    <row r="1318" spans="2:6" x14ac:dyDescent="0.2">
      <c r="B1318" s="44"/>
      <c r="C1318" s="44"/>
      <c r="D1318" s="44"/>
      <c r="E1318" s="42"/>
      <c r="F1318" s="43" t="str">
        <f>IF(E1318="", "", IF(AND(E1318&gt;='PAINEL DE CONTROLE'!$C$5*(1-CONFIGURAÇÕES!$D$7), E1318&lt;='PAINEL DE CONTROLE'!$C$5*(1+CONFIGURAÇÕES!$D$7)), "DENTRO", "FORA"))</f>
        <v/>
      </c>
    </row>
    <row r="1319" spans="2:6" x14ac:dyDescent="0.2">
      <c r="B1319" s="44"/>
      <c r="C1319" s="44"/>
      <c r="D1319" s="44"/>
      <c r="E1319" s="42"/>
      <c r="F1319" s="43" t="str">
        <f>IF(E1319="", "", IF(AND(E1319&gt;='PAINEL DE CONTROLE'!$C$5*(1-CONFIGURAÇÕES!$D$7), E1319&lt;='PAINEL DE CONTROLE'!$C$5*(1+CONFIGURAÇÕES!$D$7)), "DENTRO", "FORA"))</f>
        <v/>
      </c>
    </row>
    <row r="1320" spans="2:6" x14ac:dyDescent="0.2">
      <c r="B1320" s="44"/>
      <c r="C1320" s="44"/>
      <c r="D1320" s="44"/>
      <c r="E1320" s="42"/>
      <c r="F1320" s="43" t="str">
        <f>IF(E1320="", "", IF(AND(E1320&gt;='PAINEL DE CONTROLE'!$C$5*(1-CONFIGURAÇÕES!$D$7), E1320&lt;='PAINEL DE CONTROLE'!$C$5*(1+CONFIGURAÇÕES!$D$7)), "DENTRO", "FORA"))</f>
        <v/>
      </c>
    </row>
    <row r="1321" spans="2:6" x14ac:dyDescent="0.2">
      <c r="B1321" s="44"/>
      <c r="C1321" s="44"/>
      <c r="D1321" s="44"/>
      <c r="E1321" s="42"/>
      <c r="F1321" s="43" t="str">
        <f>IF(E1321="", "", IF(AND(E1321&gt;='PAINEL DE CONTROLE'!$C$5*(1-CONFIGURAÇÕES!$D$7), E1321&lt;='PAINEL DE CONTROLE'!$C$5*(1+CONFIGURAÇÕES!$D$7)), "DENTRO", "FORA"))</f>
        <v/>
      </c>
    </row>
    <row r="1322" spans="2:6" x14ac:dyDescent="0.2">
      <c r="B1322" s="44"/>
      <c r="C1322" s="44"/>
      <c r="D1322" s="44"/>
      <c r="E1322" s="42"/>
      <c r="F1322" s="43" t="str">
        <f>IF(E1322="", "", IF(AND(E1322&gt;='PAINEL DE CONTROLE'!$C$5*(1-CONFIGURAÇÕES!$D$7), E1322&lt;='PAINEL DE CONTROLE'!$C$5*(1+CONFIGURAÇÕES!$D$7)), "DENTRO", "FORA"))</f>
        <v/>
      </c>
    </row>
    <row r="1323" spans="2:6" x14ac:dyDescent="0.2">
      <c r="B1323" s="44"/>
      <c r="C1323" s="44"/>
      <c r="D1323" s="44"/>
      <c r="E1323" s="42"/>
      <c r="F1323" s="43" t="str">
        <f>IF(E1323="", "", IF(AND(E1323&gt;='PAINEL DE CONTROLE'!$C$5*(1-CONFIGURAÇÕES!$D$7), E1323&lt;='PAINEL DE CONTROLE'!$C$5*(1+CONFIGURAÇÕES!$D$7)), "DENTRO", "FORA"))</f>
        <v/>
      </c>
    </row>
    <row r="1324" spans="2:6" x14ac:dyDescent="0.2">
      <c r="B1324" s="44"/>
      <c r="C1324" s="44"/>
      <c r="D1324" s="44"/>
      <c r="E1324" s="42"/>
      <c r="F1324" s="43" t="str">
        <f>IF(E1324="", "", IF(AND(E1324&gt;='PAINEL DE CONTROLE'!$C$5*(1-CONFIGURAÇÕES!$D$7), E1324&lt;='PAINEL DE CONTROLE'!$C$5*(1+CONFIGURAÇÕES!$D$7)), "DENTRO", "FORA"))</f>
        <v/>
      </c>
    </row>
    <row r="1325" spans="2:6" x14ac:dyDescent="0.2">
      <c r="B1325" s="44"/>
      <c r="C1325" s="44"/>
      <c r="D1325" s="44"/>
      <c r="E1325" s="42"/>
      <c r="F1325" s="43" t="str">
        <f>IF(E1325="", "", IF(AND(E1325&gt;='PAINEL DE CONTROLE'!$C$5*(1-CONFIGURAÇÕES!$D$7), E1325&lt;='PAINEL DE CONTROLE'!$C$5*(1+CONFIGURAÇÕES!$D$7)), "DENTRO", "FORA"))</f>
        <v/>
      </c>
    </row>
    <row r="1326" spans="2:6" x14ac:dyDescent="0.2">
      <c r="B1326" s="44"/>
      <c r="C1326" s="44"/>
      <c r="D1326" s="44"/>
      <c r="E1326" s="42"/>
      <c r="F1326" s="43" t="str">
        <f>IF(E1326="", "", IF(AND(E1326&gt;='PAINEL DE CONTROLE'!$C$5*(1-CONFIGURAÇÕES!$D$7), E1326&lt;='PAINEL DE CONTROLE'!$C$5*(1+CONFIGURAÇÕES!$D$7)), "DENTRO", "FORA"))</f>
        <v/>
      </c>
    </row>
    <row r="1327" spans="2:6" x14ac:dyDescent="0.2">
      <c r="B1327" s="44"/>
      <c r="C1327" s="44"/>
      <c r="D1327" s="44"/>
      <c r="E1327" s="42"/>
      <c r="F1327" s="43" t="str">
        <f>IF(E1327="", "", IF(AND(E1327&gt;='PAINEL DE CONTROLE'!$C$5*(1-CONFIGURAÇÕES!$D$7), E1327&lt;='PAINEL DE CONTROLE'!$C$5*(1+CONFIGURAÇÕES!$D$7)), "DENTRO", "FORA"))</f>
        <v/>
      </c>
    </row>
    <row r="1328" spans="2:6" x14ac:dyDescent="0.2">
      <c r="B1328" s="44"/>
      <c r="C1328" s="44"/>
      <c r="D1328" s="44"/>
      <c r="E1328" s="42"/>
      <c r="F1328" s="43" t="str">
        <f>IF(E1328="", "", IF(AND(E1328&gt;='PAINEL DE CONTROLE'!$C$5*(1-CONFIGURAÇÕES!$D$7), E1328&lt;='PAINEL DE CONTROLE'!$C$5*(1+CONFIGURAÇÕES!$D$7)), "DENTRO", "FORA"))</f>
        <v/>
      </c>
    </row>
    <row r="1329" spans="2:6" x14ac:dyDescent="0.2">
      <c r="B1329" s="44"/>
      <c r="C1329" s="44"/>
      <c r="D1329" s="44"/>
      <c r="E1329" s="42"/>
      <c r="F1329" s="43" t="str">
        <f>IF(E1329="", "", IF(AND(E1329&gt;='PAINEL DE CONTROLE'!$C$5*(1-CONFIGURAÇÕES!$D$7), E1329&lt;='PAINEL DE CONTROLE'!$C$5*(1+CONFIGURAÇÕES!$D$7)), "DENTRO", "FORA"))</f>
        <v/>
      </c>
    </row>
    <row r="1330" spans="2:6" x14ac:dyDescent="0.2">
      <c r="B1330" s="44"/>
      <c r="C1330" s="44"/>
      <c r="D1330" s="44"/>
      <c r="E1330" s="42"/>
      <c r="F1330" s="43" t="str">
        <f>IF(E1330="", "", IF(AND(E1330&gt;='PAINEL DE CONTROLE'!$C$5*(1-CONFIGURAÇÕES!$D$7), E1330&lt;='PAINEL DE CONTROLE'!$C$5*(1+CONFIGURAÇÕES!$D$7)), "DENTRO", "FORA"))</f>
        <v/>
      </c>
    </row>
    <row r="1331" spans="2:6" x14ac:dyDescent="0.2">
      <c r="B1331" s="44"/>
      <c r="C1331" s="44"/>
      <c r="D1331" s="44"/>
      <c r="E1331" s="42"/>
      <c r="F1331" s="43" t="str">
        <f>IF(E1331="", "", IF(AND(E1331&gt;='PAINEL DE CONTROLE'!$C$5*(1-CONFIGURAÇÕES!$D$7), E1331&lt;='PAINEL DE CONTROLE'!$C$5*(1+CONFIGURAÇÕES!$D$7)), "DENTRO", "FORA"))</f>
        <v/>
      </c>
    </row>
    <row r="1332" spans="2:6" x14ac:dyDescent="0.2">
      <c r="B1332" s="44"/>
      <c r="C1332" s="44"/>
      <c r="D1332" s="44"/>
      <c r="E1332" s="42"/>
      <c r="F1332" s="43" t="str">
        <f>IF(E1332="", "", IF(AND(E1332&gt;='PAINEL DE CONTROLE'!$C$5*(1-CONFIGURAÇÕES!$D$7), E1332&lt;='PAINEL DE CONTROLE'!$C$5*(1+CONFIGURAÇÕES!$D$7)), "DENTRO", "FORA"))</f>
        <v/>
      </c>
    </row>
    <row r="1333" spans="2:6" x14ac:dyDescent="0.2">
      <c r="B1333" s="44"/>
      <c r="C1333" s="44"/>
      <c r="D1333" s="44"/>
      <c r="E1333" s="42"/>
      <c r="F1333" s="43" t="str">
        <f>IF(E1333="", "", IF(AND(E1333&gt;='PAINEL DE CONTROLE'!$C$5*(1-CONFIGURAÇÕES!$D$7), E1333&lt;='PAINEL DE CONTROLE'!$C$5*(1+CONFIGURAÇÕES!$D$7)), "DENTRO", "FORA"))</f>
        <v/>
      </c>
    </row>
    <row r="1334" spans="2:6" x14ac:dyDescent="0.2">
      <c r="B1334" s="44"/>
      <c r="C1334" s="44"/>
      <c r="D1334" s="44"/>
      <c r="E1334" s="42"/>
      <c r="F1334" s="43" t="str">
        <f>IF(E1334="", "", IF(AND(E1334&gt;='PAINEL DE CONTROLE'!$C$5*(1-CONFIGURAÇÕES!$D$7), E1334&lt;='PAINEL DE CONTROLE'!$C$5*(1+CONFIGURAÇÕES!$D$7)), "DENTRO", "FORA"))</f>
        <v/>
      </c>
    </row>
    <row r="1335" spans="2:6" x14ac:dyDescent="0.2">
      <c r="B1335" s="44"/>
      <c r="C1335" s="44"/>
      <c r="D1335" s="44"/>
      <c r="E1335" s="42"/>
      <c r="F1335" s="43" t="str">
        <f>IF(E1335="", "", IF(AND(E1335&gt;='PAINEL DE CONTROLE'!$C$5*(1-CONFIGURAÇÕES!$D$7), E1335&lt;='PAINEL DE CONTROLE'!$C$5*(1+CONFIGURAÇÕES!$D$7)), "DENTRO", "FORA"))</f>
        <v/>
      </c>
    </row>
    <row r="1336" spans="2:6" x14ac:dyDescent="0.2">
      <c r="B1336" s="44"/>
      <c r="C1336" s="44"/>
      <c r="D1336" s="44"/>
      <c r="E1336" s="42"/>
      <c r="F1336" s="43" t="str">
        <f>IF(E1336="", "", IF(AND(E1336&gt;='PAINEL DE CONTROLE'!$C$5*(1-CONFIGURAÇÕES!$D$7), E1336&lt;='PAINEL DE CONTROLE'!$C$5*(1+CONFIGURAÇÕES!$D$7)), "DENTRO", "FORA"))</f>
        <v/>
      </c>
    </row>
    <row r="1337" spans="2:6" x14ac:dyDescent="0.2">
      <c r="B1337" s="44"/>
      <c r="C1337" s="44"/>
      <c r="D1337" s="44"/>
      <c r="E1337" s="42"/>
      <c r="F1337" s="43" t="str">
        <f>IF(E1337="", "", IF(AND(E1337&gt;='PAINEL DE CONTROLE'!$C$5*(1-CONFIGURAÇÕES!$D$7), E1337&lt;='PAINEL DE CONTROLE'!$C$5*(1+CONFIGURAÇÕES!$D$7)), "DENTRO", "FORA"))</f>
        <v/>
      </c>
    </row>
    <row r="1338" spans="2:6" x14ac:dyDescent="0.2">
      <c r="B1338" s="44"/>
      <c r="C1338" s="44"/>
      <c r="D1338" s="44"/>
      <c r="E1338" s="42"/>
      <c r="F1338" s="43" t="str">
        <f>IF(E1338="", "", IF(AND(E1338&gt;='PAINEL DE CONTROLE'!$C$5*(1-CONFIGURAÇÕES!$D$7), E1338&lt;='PAINEL DE CONTROLE'!$C$5*(1+CONFIGURAÇÕES!$D$7)), "DENTRO", "FORA"))</f>
        <v/>
      </c>
    </row>
    <row r="1339" spans="2:6" x14ac:dyDescent="0.2">
      <c r="B1339" s="44"/>
      <c r="C1339" s="44"/>
      <c r="D1339" s="44"/>
      <c r="E1339" s="42"/>
      <c r="F1339" s="43" t="str">
        <f>IF(E1339="", "", IF(AND(E1339&gt;='PAINEL DE CONTROLE'!$C$5*(1-CONFIGURAÇÕES!$D$7), E1339&lt;='PAINEL DE CONTROLE'!$C$5*(1+CONFIGURAÇÕES!$D$7)), "DENTRO", "FORA"))</f>
        <v/>
      </c>
    </row>
    <row r="1340" spans="2:6" x14ac:dyDescent="0.2">
      <c r="B1340" s="44"/>
      <c r="C1340" s="44"/>
      <c r="D1340" s="44"/>
      <c r="E1340" s="42"/>
      <c r="F1340" s="43" t="str">
        <f>IF(E1340="", "", IF(AND(E1340&gt;='PAINEL DE CONTROLE'!$C$5*(1-CONFIGURAÇÕES!$D$7), E1340&lt;='PAINEL DE CONTROLE'!$C$5*(1+CONFIGURAÇÕES!$D$7)), "DENTRO", "FORA"))</f>
        <v/>
      </c>
    </row>
    <row r="1341" spans="2:6" x14ac:dyDescent="0.2">
      <c r="B1341" s="44"/>
      <c r="C1341" s="44"/>
      <c r="D1341" s="44"/>
      <c r="E1341" s="42"/>
      <c r="F1341" s="43" t="str">
        <f>IF(E1341="", "", IF(AND(E1341&gt;='PAINEL DE CONTROLE'!$C$5*(1-CONFIGURAÇÕES!$D$7), E1341&lt;='PAINEL DE CONTROLE'!$C$5*(1+CONFIGURAÇÕES!$D$7)), "DENTRO", "FORA"))</f>
        <v/>
      </c>
    </row>
    <row r="1342" spans="2:6" x14ac:dyDescent="0.2">
      <c r="B1342" s="44"/>
      <c r="C1342" s="44"/>
      <c r="D1342" s="44"/>
      <c r="E1342" s="42"/>
      <c r="F1342" s="43" t="str">
        <f>IF(E1342="", "", IF(AND(E1342&gt;='PAINEL DE CONTROLE'!$C$5*(1-CONFIGURAÇÕES!$D$7), E1342&lt;='PAINEL DE CONTROLE'!$C$5*(1+CONFIGURAÇÕES!$D$7)), "DENTRO", "FORA"))</f>
        <v/>
      </c>
    </row>
    <row r="1343" spans="2:6" x14ac:dyDescent="0.2">
      <c r="B1343" s="44"/>
      <c r="C1343" s="44"/>
      <c r="D1343" s="44"/>
      <c r="E1343" s="42"/>
      <c r="F1343" s="43" t="str">
        <f>IF(E1343="", "", IF(AND(E1343&gt;='PAINEL DE CONTROLE'!$C$5*(1-CONFIGURAÇÕES!$D$7), E1343&lt;='PAINEL DE CONTROLE'!$C$5*(1+CONFIGURAÇÕES!$D$7)), "DENTRO", "FORA"))</f>
        <v/>
      </c>
    </row>
    <row r="1344" spans="2:6" x14ac:dyDescent="0.2">
      <c r="B1344" s="44"/>
      <c r="C1344" s="44"/>
      <c r="D1344" s="44"/>
      <c r="E1344" s="42"/>
      <c r="F1344" s="43" t="str">
        <f>IF(E1344="", "", IF(AND(E1344&gt;='PAINEL DE CONTROLE'!$C$5*(1-CONFIGURAÇÕES!$D$7), E1344&lt;='PAINEL DE CONTROLE'!$C$5*(1+CONFIGURAÇÕES!$D$7)), "DENTRO", "FORA"))</f>
        <v/>
      </c>
    </row>
    <row r="1345" spans="2:6" x14ac:dyDescent="0.2">
      <c r="B1345" s="44"/>
      <c r="C1345" s="44"/>
      <c r="D1345" s="44"/>
      <c r="E1345" s="42"/>
      <c r="F1345" s="43" t="str">
        <f>IF(E1345="", "", IF(AND(E1345&gt;='PAINEL DE CONTROLE'!$C$5*(1-CONFIGURAÇÕES!$D$7), E1345&lt;='PAINEL DE CONTROLE'!$C$5*(1+CONFIGURAÇÕES!$D$7)), "DENTRO", "FORA"))</f>
        <v/>
      </c>
    </row>
    <row r="1346" spans="2:6" x14ac:dyDescent="0.2">
      <c r="B1346" s="44"/>
      <c r="C1346" s="44"/>
      <c r="D1346" s="44"/>
      <c r="E1346" s="42"/>
      <c r="F1346" s="43" t="str">
        <f>IF(E1346="", "", IF(AND(E1346&gt;='PAINEL DE CONTROLE'!$C$5*(1-CONFIGURAÇÕES!$D$7), E1346&lt;='PAINEL DE CONTROLE'!$C$5*(1+CONFIGURAÇÕES!$D$7)), "DENTRO", "FORA"))</f>
        <v/>
      </c>
    </row>
    <row r="1347" spans="2:6" x14ac:dyDescent="0.2">
      <c r="B1347" s="44"/>
      <c r="C1347" s="44"/>
      <c r="D1347" s="44"/>
      <c r="E1347" s="42"/>
      <c r="F1347" s="43" t="str">
        <f>IF(E1347="", "", IF(AND(E1347&gt;='PAINEL DE CONTROLE'!$C$5*(1-CONFIGURAÇÕES!$D$7), E1347&lt;='PAINEL DE CONTROLE'!$C$5*(1+CONFIGURAÇÕES!$D$7)), "DENTRO", "FORA"))</f>
        <v/>
      </c>
    </row>
    <row r="1348" spans="2:6" x14ac:dyDescent="0.2">
      <c r="B1348" s="44"/>
      <c r="C1348" s="44"/>
      <c r="D1348" s="44"/>
      <c r="E1348" s="42"/>
      <c r="F1348" s="43" t="str">
        <f>IF(E1348="", "", IF(AND(E1348&gt;='PAINEL DE CONTROLE'!$C$5*(1-CONFIGURAÇÕES!$D$7), E1348&lt;='PAINEL DE CONTROLE'!$C$5*(1+CONFIGURAÇÕES!$D$7)), "DENTRO", "FORA"))</f>
        <v/>
      </c>
    </row>
    <row r="1349" spans="2:6" x14ac:dyDescent="0.2">
      <c r="B1349" s="44"/>
      <c r="C1349" s="44"/>
      <c r="D1349" s="44"/>
      <c r="E1349" s="42"/>
      <c r="F1349" s="43" t="str">
        <f>IF(E1349="", "", IF(AND(E1349&gt;='PAINEL DE CONTROLE'!$C$5*(1-CONFIGURAÇÕES!$D$7), E1349&lt;='PAINEL DE CONTROLE'!$C$5*(1+CONFIGURAÇÕES!$D$7)), "DENTRO", "FORA"))</f>
        <v/>
      </c>
    </row>
    <row r="1350" spans="2:6" x14ac:dyDescent="0.2">
      <c r="B1350" s="44"/>
      <c r="C1350" s="44"/>
      <c r="D1350" s="44"/>
      <c r="E1350" s="42"/>
      <c r="F1350" s="43" t="str">
        <f>IF(E1350="", "", IF(AND(E1350&gt;='PAINEL DE CONTROLE'!$C$5*(1-CONFIGURAÇÕES!$D$7), E1350&lt;='PAINEL DE CONTROLE'!$C$5*(1+CONFIGURAÇÕES!$D$7)), "DENTRO", "FORA"))</f>
        <v/>
      </c>
    </row>
    <row r="1351" spans="2:6" x14ac:dyDescent="0.2">
      <c r="B1351" s="44"/>
      <c r="C1351" s="44"/>
      <c r="D1351" s="44"/>
      <c r="E1351" s="42"/>
      <c r="F1351" s="43" t="str">
        <f>IF(E1351="", "", IF(AND(E1351&gt;='PAINEL DE CONTROLE'!$C$5*(1-CONFIGURAÇÕES!$D$7), E1351&lt;='PAINEL DE CONTROLE'!$C$5*(1+CONFIGURAÇÕES!$D$7)), "DENTRO", "FORA"))</f>
        <v/>
      </c>
    </row>
    <row r="1352" spans="2:6" x14ac:dyDescent="0.2">
      <c r="B1352" s="44"/>
      <c r="C1352" s="44"/>
      <c r="D1352" s="44"/>
      <c r="E1352" s="42"/>
      <c r="F1352" s="43" t="str">
        <f>IF(E1352="", "", IF(AND(E1352&gt;='PAINEL DE CONTROLE'!$C$5*(1-CONFIGURAÇÕES!$D$7), E1352&lt;='PAINEL DE CONTROLE'!$C$5*(1+CONFIGURAÇÕES!$D$7)), "DENTRO", "FORA"))</f>
        <v/>
      </c>
    </row>
    <row r="1353" spans="2:6" x14ac:dyDescent="0.2">
      <c r="B1353" s="44"/>
      <c r="C1353" s="44"/>
      <c r="D1353" s="44"/>
      <c r="E1353" s="42"/>
      <c r="F1353" s="43" t="str">
        <f>IF(E1353="", "", IF(AND(E1353&gt;='PAINEL DE CONTROLE'!$C$5*(1-CONFIGURAÇÕES!$D$7), E1353&lt;='PAINEL DE CONTROLE'!$C$5*(1+CONFIGURAÇÕES!$D$7)), "DENTRO", "FORA"))</f>
        <v/>
      </c>
    </row>
    <row r="1354" spans="2:6" x14ac:dyDescent="0.2">
      <c r="B1354" s="44"/>
      <c r="C1354" s="44"/>
      <c r="D1354" s="44"/>
      <c r="E1354" s="42"/>
      <c r="F1354" s="43" t="str">
        <f>IF(E1354="", "", IF(AND(E1354&gt;='PAINEL DE CONTROLE'!$C$5*(1-CONFIGURAÇÕES!$D$7), E1354&lt;='PAINEL DE CONTROLE'!$C$5*(1+CONFIGURAÇÕES!$D$7)), "DENTRO", "FORA"))</f>
        <v/>
      </c>
    </row>
    <row r="1355" spans="2:6" x14ac:dyDescent="0.2">
      <c r="B1355" s="44"/>
      <c r="C1355" s="44"/>
      <c r="D1355" s="44"/>
      <c r="E1355" s="42"/>
      <c r="F1355" s="43" t="str">
        <f>IF(E1355="", "", IF(AND(E1355&gt;='PAINEL DE CONTROLE'!$C$5*(1-CONFIGURAÇÕES!$D$7), E1355&lt;='PAINEL DE CONTROLE'!$C$5*(1+CONFIGURAÇÕES!$D$7)), "DENTRO", "FORA"))</f>
        <v/>
      </c>
    </row>
    <row r="1356" spans="2:6" x14ac:dyDescent="0.2">
      <c r="B1356" s="44"/>
      <c r="C1356" s="44"/>
      <c r="D1356" s="44"/>
      <c r="E1356" s="42"/>
      <c r="F1356" s="43" t="str">
        <f>IF(E1356="", "", IF(AND(E1356&gt;='PAINEL DE CONTROLE'!$C$5*(1-CONFIGURAÇÕES!$D$7), E1356&lt;='PAINEL DE CONTROLE'!$C$5*(1+CONFIGURAÇÕES!$D$7)), "DENTRO", "FORA"))</f>
        <v/>
      </c>
    </row>
    <row r="1357" spans="2:6" x14ac:dyDescent="0.2">
      <c r="B1357" s="44"/>
      <c r="C1357" s="44"/>
      <c r="D1357" s="44"/>
      <c r="E1357" s="42"/>
      <c r="F1357" s="43" t="str">
        <f>IF(E1357="", "", IF(AND(E1357&gt;='PAINEL DE CONTROLE'!$C$5*(1-CONFIGURAÇÕES!$D$7), E1357&lt;='PAINEL DE CONTROLE'!$C$5*(1+CONFIGURAÇÕES!$D$7)), "DENTRO", "FORA"))</f>
        <v/>
      </c>
    </row>
    <row r="1358" spans="2:6" x14ac:dyDescent="0.2">
      <c r="B1358" s="44"/>
      <c r="C1358" s="44"/>
      <c r="D1358" s="44"/>
      <c r="E1358" s="42"/>
      <c r="F1358" s="43" t="str">
        <f>IF(E1358="", "", IF(AND(E1358&gt;='PAINEL DE CONTROLE'!$C$5*(1-CONFIGURAÇÕES!$D$7), E1358&lt;='PAINEL DE CONTROLE'!$C$5*(1+CONFIGURAÇÕES!$D$7)), "DENTRO", "FORA"))</f>
        <v/>
      </c>
    </row>
    <row r="1359" spans="2:6" x14ac:dyDescent="0.2">
      <c r="B1359" s="44"/>
      <c r="C1359" s="44"/>
      <c r="D1359" s="44"/>
      <c r="E1359" s="42"/>
      <c r="F1359" s="43" t="str">
        <f>IF(E1359="", "", IF(AND(E1359&gt;='PAINEL DE CONTROLE'!$C$5*(1-CONFIGURAÇÕES!$D$7), E1359&lt;='PAINEL DE CONTROLE'!$C$5*(1+CONFIGURAÇÕES!$D$7)), "DENTRO", "FORA"))</f>
        <v/>
      </c>
    </row>
    <row r="1360" spans="2:6" x14ac:dyDescent="0.2">
      <c r="B1360" s="44"/>
      <c r="C1360" s="44"/>
      <c r="D1360" s="44"/>
      <c r="E1360" s="42"/>
      <c r="F1360" s="43" t="str">
        <f>IF(E1360="", "", IF(AND(E1360&gt;='PAINEL DE CONTROLE'!$C$5*(1-CONFIGURAÇÕES!$D$7), E1360&lt;='PAINEL DE CONTROLE'!$C$5*(1+CONFIGURAÇÕES!$D$7)), "DENTRO", "FORA"))</f>
        <v/>
      </c>
    </row>
    <row r="1361" spans="2:6" x14ac:dyDescent="0.2">
      <c r="B1361" s="44"/>
      <c r="C1361" s="44"/>
      <c r="D1361" s="44"/>
      <c r="E1361" s="42"/>
      <c r="F1361" s="43" t="str">
        <f>IF(E1361="", "", IF(AND(E1361&gt;='PAINEL DE CONTROLE'!$C$5*(1-CONFIGURAÇÕES!$D$7), E1361&lt;='PAINEL DE CONTROLE'!$C$5*(1+CONFIGURAÇÕES!$D$7)), "DENTRO", "FORA"))</f>
        <v/>
      </c>
    </row>
    <row r="1362" spans="2:6" x14ac:dyDescent="0.2">
      <c r="B1362" s="44"/>
      <c r="C1362" s="44"/>
      <c r="D1362" s="44"/>
      <c r="E1362" s="42"/>
      <c r="F1362" s="43" t="str">
        <f>IF(E1362="", "", IF(AND(E1362&gt;='PAINEL DE CONTROLE'!$C$5*(1-CONFIGURAÇÕES!$D$7), E1362&lt;='PAINEL DE CONTROLE'!$C$5*(1+CONFIGURAÇÕES!$D$7)), "DENTRO", "FORA"))</f>
        <v/>
      </c>
    </row>
    <row r="1363" spans="2:6" x14ac:dyDescent="0.2">
      <c r="B1363" s="44"/>
      <c r="C1363" s="44"/>
      <c r="D1363" s="44"/>
      <c r="E1363" s="42"/>
      <c r="F1363" s="43" t="str">
        <f>IF(E1363="", "", IF(AND(E1363&gt;='PAINEL DE CONTROLE'!$C$5*(1-CONFIGURAÇÕES!$D$7), E1363&lt;='PAINEL DE CONTROLE'!$C$5*(1+CONFIGURAÇÕES!$D$7)), "DENTRO", "FORA"))</f>
        <v/>
      </c>
    </row>
    <row r="1364" spans="2:6" x14ac:dyDescent="0.2">
      <c r="B1364" s="44"/>
      <c r="C1364" s="44"/>
      <c r="D1364" s="44"/>
      <c r="E1364" s="42"/>
      <c r="F1364" s="43" t="str">
        <f>IF(E1364="", "", IF(AND(E1364&gt;='PAINEL DE CONTROLE'!$C$5*(1-CONFIGURAÇÕES!$D$7), E1364&lt;='PAINEL DE CONTROLE'!$C$5*(1+CONFIGURAÇÕES!$D$7)), "DENTRO", "FORA"))</f>
        <v/>
      </c>
    </row>
    <row r="1365" spans="2:6" x14ac:dyDescent="0.2">
      <c r="B1365" s="44"/>
      <c r="C1365" s="44"/>
      <c r="D1365" s="44"/>
      <c r="E1365" s="42"/>
      <c r="F1365" s="43" t="str">
        <f>IF(E1365="", "", IF(AND(E1365&gt;='PAINEL DE CONTROLE'!$C$5*(1-CONFIGURAÇÕES!$D$7), E1365&lt;='PAINEL DE CONTROLE'!$C$5*(1+CONFIGURAÇÕES!$D$7)), "DENTRO", "FORA"))</f>
        <v/>
      </c>
    </row>
    <row r="1366" spans="2:6" x14ac:dyDescent="0.2">
      <c r="B1366" s="44"/>
      <c r="C1366" s="44"/>
      <c r="D1366" s="44"/>
      <c r="E1366" s="42"/>
      <c r="F1366" s="43" t="str">
        <f>IF(E1366="", "", IF(AND(E1366&gt;='PAINEL DE CONTROLE'!$C$5*(1-CONFIGURAÇÕES!$D$7), E1366&lt;='PAINEL DE CONTROLE'!$C$5*(1+CONFIGURAÇÕES!$D$7)), "DENTRO", "FORA"))</f>
        <v/>
      </c>
    </row>
    <row r="1367" spans="2:6" x14ac:dyDescent="0.2">
      <c r="B1367" s="44"/>
      <c r="C1367" s="44"/>
      <c r="D1367" s="44"/>
      <c r="E1367" s="42"/>
      <c r="F1367" s="43" t="str">
        <f>IF(E1367="", "", IF(AND(E1367&gt;='PAINEL DE CONTROLE'!$C$5*(1-CONFIGURAÇÕES!$D$7), E1367&lt;='PAINEL DE CONTROLE'!$C$5*(1+CONFIGURAÇÕES!$D$7)), "DENTRO", "FORA"))</f>
        <v/>
      </c>
    </row>
    <row r="1368" spans="2:6" x14ac:dyDescent="0.2">
      <c r="B1368" s="44"/>
      <c r="C1368" s="44"/>
      <c r="D1368" s="44"/>
      <c r="E1368" s="42"/>
      <c r="F1368" s="43" t="str">
        <f>IF(E1368="", "", IF(AND(E1368&gt;='PAINEL DE CONTROLE'!$C$5*(1-CONFIGURAÇÕES!$D$7), E1368&lt;='PAINEL DE CONTROLE'!$C$5*(1+CONFIGURAÇÕES!$D$7)), "DENTRO", "FORA"))</f>
        <v/>
      </c>
    </row>
    <row r="1369" spans="2:6" x14ac:dyDescent="0.2">
      <c r="B1369" s="44"/>
      <c r="C1369" s="44"/>
      <c r="D1369" s="44"/>
      <c r="E1369" s="42"/>
      <c r="F1369" s="43" t="str">
        <f>IF(E1369="", "", IF(AND(E1369&gt;='PAINEL DE CONTROLE'!$C$5*(1-CONFIGURAÇÕES!$D$7), E1369&lt;='PAINEL DE CONTROLE'!$C$5*(1+CONFIGURAÇÕES!$D$7)), "DENTRO", "FORA"))</f>
        <v/>
      </c>
    </row>
    <row r="1370" spans="2:6" x14ac:dyDescent="0.2">
      <c r="B1370" s="44"/>
      <c r="C1370" s="44"/>
      <c r="D1370" s="44"/>
      <c r="E1370" s="42"/>
      <c r="F1370" s="43" t="str">
        <f>IF(E1370="", "", IF(AND(E1370&gt;='PAINEL DE CONTROLE'!$C$5*(1-CONFIGURAÇÕES!$D$7), E1370&lt;='PAINEL DE CONTROLE'!$C$5*(1+CONFIGURAÇÕES!$D$7)), "DENTRO", "FORA"))</f>
        <v/>
      </c>
    </row>
    <row r="1371" spans="2:6" x14ac:dyDescent="0.2">
      <c r="B1371" s="44"/>
      <c r="C1371" s="44"/>
      <c r="D1371" s="44"/>
      <c r="E1371" s="42"/>
      <c r="F1371" s="43" t="str">
        <f>IF(E1371="", "", IF(AND(E1371&gt;='PAINEL DE CONTROLE'!$C$5*(1-CONFIGURAÇÕES!$D$7), E1371&lt;='PAINEL DE CONTROLE'!$C$5*(1+CONFIGURAÇÕES!$D$7)), "DENTRO", "FORA"))</f>
        <v/>
      </c>
    </row>
    <row r="1372" spans="2:6" x14ac:dyDescent="0.2">
      <c r="B1372" s="44"/>
      <c r="C1372" s="44"/>
      <c r="D1372" s="44"/>
      <c r="E1372" s="42"/>
      <c r="F1372" s="43" t="str">
        <f>IF(E1372="", "", IF(AND(E1372&gt;='PAINEL DE CONTROLE'!$C$5*(1-CONFIGURAÇÕES!$D$7), E1372&lt;='PAINEL DE CONTROLE'!$C$5*(1+CONFIGURAÇÕES!$D$7)), "DENTRO", "FORA"))</f>
        <v/>
      </c>
    </row>
    <row r="1373" spans="2:6" x14ac:dyDescent="0.2">
      <c r="B1373" s="44"/>
      <c r="C1373" s="44"/>
      <c r="D1373" s="44"/>
      <c r="E1373" s="42"/>
      <c r="F1373" s="43" t="str">
        <f>IF(E1373="", "", IF(AND(E1373&gt;='PAINEL DE CONTROLE'!$C$5*(1-CONFIGURAÇÕES!$D$7), E1373&lt;='PAINEL DE CONTROLE'!$C$5*(1+CONFIGURAÇÕES!$D$7)), "DENTRO", "FORA"))</f>
        <v/>
      </c>
    </row>
    <row r="1374" spans="2:6" x14ac:dyDescent="0.2">
      <c r="B1374" s="44"/>
      <c r="C1374" s="44"/>
      <c r="D1374" s="44"/>
      <c r="E1374" s="42"/>
      <c r="F1374" s="43" t="str">
        <f>IF(E1374="", "", IF(AND(E1374&gt;='PAINEL DE CONTROLE'!$C$5*(1-CONFIGURAÇÕES!$D$7), E1374&lt;='PAINEL DE CONTROLE'!$C$5*(1+CONFIGURAÇÕES!$D$7)), "DENTRO", "FORA"))</f>
        <v/>
      </c>
    </row>
    <row r="1375" spans="2:6" x14ac:dyDescent="0.2">
      <c r="B1375" s="44"/>
      <c r="C1375" s="44"/>
      <c r="D1375" s="44"/>
      <c r="E1375" s="42"/>
      <c r="F1375" s="43" t="str">
        <f>IF(E1375="", "", IF(AND(E1375&gt;='PAINEL DE CONTROLE'!$C$5*(1-CONFIGURAÇÕES!$D$7), E1375&lt;='PAINEL DE CONTROLE'!$C$5*(1+CONFIGURAÇÕES!$D$7)), "DENTRO", "FORA"))</f>
        <v/>
      </c>
    </row>
    <row r="1376" spans="2:6" x14ac:dyDescent="0.2">
      <c r="B1376" s="44"/>
      <c r="C1376" s="44"/>
      <c r="D1376" s="44"/>
      <c r="E1376" s="42"/>
      <c r="F1376" s="43" t="str">
        <f>IF(E1376="", "", IF(AND(E1376&gt;='PAINEL DE CONTROLE'!$C$5*(1-CONFIGURAÇÕES!$D$7), E1376&lt;='PAINEL DE CONTROLE'!$C$5*(1+CONFIGURAÇÕES!$D$7)), "DENTRO", "FORA"))</f>
        <v/>
      </c>
    </row>
    <row r="1377" spans="2:6" x14ac:dyDescent="0.2">
      <c r="B1377" s="44"/>
      <c r="C1377" s="44"/>
      <c r="D1377" s="44"/>
      <c r="E1377" s="42"/>
      <c r="F1377" s="43" t="str">
        <f>IF(E1377="", "", IF(AND(E1377&gt;='PAINEL DE CONTROLE'!$C$5*(1-CONFIGURAÇÕES!$D$7), E1377&lt;='PAINEL DE CONTROLE'!$C$5*(1+CONFIGURAÇÕES!$D$7)), "DENTRO", "FORA"))</f>
        <v/>
      </c>
    </row>
    <row r="1378" spans="2:6" x14ac:dyDescent="0.2">
      <c r="B1378" s="44"/>
      <c r="C1378" s="44"/>
      <c r="D1378" s="44"/>
      <c r="E1378" s="42"/>
      <c r="F1378" s="43" t="str">
        <f>IF(E1378="", "", IF(AND(E1378&gt;='PAINEL DE CONTROLE'!$C$5*(1-CONFIGURAÇÕES!$D$7), E1378&lt;='PAINEL DE CONTROLE'!$C$5*(1+CONFIGURAÇÕES!$D$7)), "DENTRO", "FORA"))</f>
        <v/>
      </c>
    </row>
    <row r="1379" spans="2:6" x14ac:dyDescent="0.2">
      <c r="B1379" s="44"/>
      <c r="C1379" s="44"/>
      <c r="D1379" s="44"/>
      <c r="E1379" s="42"/>
      <c r="F1379" s="43" t="str">
        <f>IF(E1379="", "", IF(AND(E1379&gt;='PAINEL DE CONTROLE'!$C$5*(1-CONFIGURAÇÕES!$D$7), E1379&lt;='PAINEL DE CONTROLE'!$C$5*(1+CONFIGURAÇÕES!$D$7)), "DENTRO", "FORA"))</f>
        <v/>
      </c>
    </row>
    <row r="1380" spans="2:6" x14ac:dyDescent="0.2">
      <c r="B1380" s="44"/>
      <c r="C1380" s="44"/>
      <c r="D1380" s="44"/>
      <c r="E1380" s="42"/>
      <c r="F1380" s="43" t="str">
        <f>IF(E1380="", "", IF(AND(E1380&gt;='PAINEL DE CONTROLE'!$C$5*(1-CONFIGURAÇÕES!$D$7), E1380&lt;='PAINEL DE CONTROLE'!$C$5*(1+CONFIGURAÇÕES!$D$7)), "DENTRO", "FORA"))</f>
        <v/>
      </c>
    </row>
    <row r="1381" spans="2:6" x14ac:dyDescent="0.2">
      <c r="B1381" s="44"/>
      <c r="C1381" s="44"/>
      <c r="D1381" s="44"/>
      <c r="E1381" s="42"/>
      <c r="F1381" s="43" t="str">
        <f>IF(E1381="", "", IF(AND(E1381&gt;='PAINEL DE CONTROLE'!$C$5*(1-CONFIGURAÇÕES!$D$7), E1381&lt;='PAINEL DE CONTROLE'!$C$5*(1+CONFIGURAÇÕES!$D$7)), "DENTRO", "FORA"))</f>
        <v/>
      </c>
    </row>
    <row r="1382" spans="2:6" x14ac:dyDescent="0.2">
      <c r="B1382" s="44"/>
      <c r="C1382" s="44"/>
      <c r="D1382" s="44"/>
      <c r="E1382" s="42"/>
      <c r="F1382" s="43" t="str">
        <f>IF(E1382="", "", IF(AND(E1382&gt;='PAINEL DE CONTROLE'!$C$5*(1-CONFIGURAÇÕES!$D$7), E1382&lt;='PAINEL DE CONTROLE'!$C$5*(1+CONFIGURAÇÕES!$D$7)), "DENTRO", "FORA"))</f>
        <v/>
      </c>
    </row>
    <row r="1383" spans="2:6" x14ac:dyDescent="0.2">
      <c r="B1383" s="44"/>
      <c r="C1383" s="44"/>
      <c r="D1383" s="44"/>
      <c r="E1383" s="42"/>
      <c r="F1383" s="43" t="str">
        <f>IF(E1383="", "", IF(AND(E1383&gt;='PAINEL DE CONTROLE'!$C$5*(1-CONFIGURAÇÕES!$D$7), E1383&lt;='PAINEL DE CONTROLE'!$C$5*(1+CONFIGURAÇÕES!$D$7)), "DENTRO", "FORA"))</f>
        <v/>
      </c>
    </row>
    <row r="1384" spans="2:6" x14ac:dyDescent="0.2">
      <c r="B1384" s="44"/>
      <c r="C1384" s="44"/>
      <c r="D1384" s="44"/>
      <c r="E1384" s="42"/>
      <c r="F1384" s="43" t="str">
        <f>IF(E1384="", "", IF(AND(E1384&gt;='PAINEL DE CONTROLE'!$C$5*(1-CONFIGURAÇÕES!$D$7), E1384&lt;='PAINEL DE CONTROLE'!$C$5*(1+CONFIGURAÇÕES!$D$7)), "DENTRO", "FORA"))</f>
        <v/>
      </c>
    </row>
    <row r="1385" spans="2:6" x14ac:dyDescent="0.2">
      <c r="B1385" s="44"/>
      <c r="C1385" s="44"/>
      <c r="D1385" s="44"/>
      <c r="E1385" s="42"/>
      <c r="F1385" s="43" t="str">
        <f>IF(E1385="", "", IF(AND(E1385&gt;='PAINEL DE CONTROLE'!$C$5*(1-CONFIGURAÇÕES!$D$7), E1385&lt;='PAINEL DE CONTROLE'!$C$5*(1+CONFIGURAÇÕES!$D$7)), "DENTRO", "FORA"))</f>
        <v/>
      </c>
    </row>
    <row r="1386" spans="2:6" x14ac:dyDescent="0.2">
      <c r="B1386" s="44"/>
      <c r="C1386" s="44"/>
      <c r="D1386" s="44"/>
      <c r="E1386" s="42"/>
      <c r="F1386" s="43" t="str">
        <f>IF(E1386="", "", IF(AND(E1386&gt;='PAINEL DE CONTROLE'!$C$5*(1-CONFIGURAÇÕES!$D$7), E1386&lt;='PAINEL DE CONTROLE'!$C$5*(1+CONFIGURAÇÕES!$D$7)), "DENTRO", "FORA"))</f>
        <v/>
      </c>
    </row>
    <row r="1387" spans="2:6" x14ac:dyDescent="0.2">
      <c r="B1387" s="44"/>
      <c r="C1387" s="44"/>
      <c r="D1387" s="44"/>
      <c r="E1387" s="42"/>
      <c r="F1387" s="43" t="str">
        <f>IF(E1387="", "", IF(AND(E1387&gt;='PAINEL DE CONTROLE'!$C$5*(1-CONFIGURAÇÕES!$D$7), E1387&lt;='PAINEL DE CONTROLE'!$C$5*(1+CONFIGURAÇÕES!$D$7)), "DENTRO", "FORA"))</f>
        <v/>
      </c>
    </row>
    <row r="1388" spans="2:6" x14ac:dyDescent="0.2">
      <c r="B1388" s="44"/>
      <c r="C1388" s="44"/>
      <c r="D1388" s="44"/>
      <c r="E1388" s="42"/>
      <c r="F1388" s="43" t="str">
        <f>IF(E1388="", "", IF(AND(E1388&gt;='PAINEL DE CONTROLE'!$C$5*(1-CONFIGURAÇÕES!$D$7), E1388&lt;='PAINEL DE CONTROLE'!$C$5*(1+CONFIGURAÇÕES!$D$7)), "DENTRO", "FORA"))</f>
        <v/>
      </c>
    </row>
    <row r="1389" spans="2:6" x14ac:dyDescent="0.2">
      <c r="B1389" s="44"/>
      <c r="C1389" s="44"/>
      <c r="D1389" s="44"/>
      <c r="E1389" s="42"/>
      <c r="F1389" s="43" t="str">
        <f>IF(E1389="", "", IF(AND(E1389&gt;='PAINEL DE CONTROLE'!$C$5*(1-CONFIGURAÇÕES!$D$7), E1389&lt;='PAINEL DE CONTROLE'!$C$5*(1+CONFIGURAÇÕES!$D$7)), "DENTRO", "FORA"))</f>
        <v/>
      </c>
    </row>
    <row r="1390" spans="2:6" x14ac:dyDescent="0.2">
      <c r="B1390" s="44"/>
      <c r="C1390" s="44"/>
      <c r="D1390" s="44"/>
      <c r="E1390" s="42"/>
      <c r="F1390" s="43" t="str">
        <f>IF(E1390="", "", IF(AND(E1390&gt;='PAINEL DE CONTROLE'!$C$5*(1-CONFIGURAÇÕES!$D$7), E1390&lt;='PAINEL DE CONTROLE'!$C$5*(1+CONFIGURAÇÕES!$D$7)), "DENTRO", "FORA"))</f>
        <v/>
      </c>
    </row>
    <row r="1391" spans="2:6" x14ac:dyDescent="0.2">
      <c r="B1391" s="44"/>
      <c r="C1391" s="44"/>
      <c r="D1391" s="44"/>
      <c r="E1391" s="42"/>
      <c r="F1391" s="43" t="str">
        <f>IF(E1391="", "", IF(AND(E1391&gt;='PAINEL DE CONTROLE'!$C$5*(1-CONFIGURAÇÕES!$D$7), E1391&lt;='PAINEL DE CONTROLE'!$C$5*(1+CONFIGURAÇÕES!$D$7)), "DENTRO", "FORA"))</f>
        <v/>
      </c>
    </row>
    <row r="1392" spans="2:6" x14ac:dyDescent="0.2">
      <c r="B1392" s="44"/>
      <c r="C1392" s="44"/>
      <c r="D1392" s="44"/>
      <c r="E1392" s="42"/>
      <c r="F1392" s="43" t="str">
        <f>IF(E1392="", "", IF(AND(E1392&gt;='PAINEL DE CONTROLE'!$C$5*(1-CONFIGURAÇÕES!$D$7), E1392&lt;='PAINEL DE CONTROLE'!$C$5*(1+CONFIGURAÇÕES!$D$7)), "DENTRO", "FORA"))</f>
        <v/>
      </c>
    </row>
    <row r="1393" spans="2:6" x14ac:dyDescent="0.2">
      <c r="B1393" s="44"/>
      <c r="C1393" s="44"/>
      <c r="D1393" s="44"/>
      <c r="E1393" s="42"/>
      <c r="F1393" s="43" t="str">
        <f>IF(E1393="", "", IF(AND(E1393&gt;='PAINEL DE CONTROLE'!$C$5*(1-CONFIGURAÇÕES!$D$7), E1393&lt;='PAINEL DE CONTROLE'!$C$5*(1+CONFIGURAÇÕES!$D$7)), "DENTRO", "FORA"))</f>
        <v/>
      </c>
    </row>
    <row r="1394" spans="2:6" x14ac:dyDescent="0.2">
      <c r="B1394" s="44"/>
      <c r="C1394" s="44"/>
      <c r="D1394" s="44"/>
      <c r="E1394" s="42"/>
      <c r="F1394" s="43" t="str">
        <f>IF(E1394="", "", IF(AND(E1394&gt;='PAINEL DE CONTROLE'!$C$5*(1-CONFIGURAÇÕES!$D$7), E1394&lt;='PAINEL DE CONTROLE'!$C$5*(1+CONFIGURAÇÕES!$D$7)), "DENTRO", "FORA"))</f>
        <v/>
      </c>
    </row>
    <row r="1395" spans="2:6" x14ac:dyDescent="0.2">
      <c r="B1395" s="44"/>
      <c r="C1395" s="44"/>
      <c r="D1395" s="44"/>
      <c r="E1395" s="42"/>
      <c r="F1395" s="43" t="str">
        <f>IF(E1395="", "", IF(AND(E1395&gt;='PAINEL DE CONTROLE'!$C$5*(1-CONFIGURAÇÕES!$D$7), E1395&lt;='PAINEL DE CONTROLE'!$C$5*(1+CONFIGURAÇÕES!$D$7)), "DENTRO", "FORA"))</f>
        <v/>
      </c>
    </row>
    <row r="1396" spans="2:6" x14ac:dyDescent="0.2">
      <c r="B1396" s="44"/>
      <c r="C1396" s="44"/>
      <c r="D1396" s="44"/>
      <c r="E1396" s="42"/>
      <c r="F1396" s="43" t="str">
        <f>IF(E1396="", "", IF(AND(E1396&gt;='PAINEL DE CONTROLE'!$C$5*(1-CONFIGURAÇÕES!$D$7), E1396&lt;='PAINEL DE CONTROLE'!$C$5*(1+CONFIGURAÇÕES!$D$7)), "DENTRO", "FORA"))</f>
        <v/>
      </c>
    </row>
    <row r="1397" spans="2:6" x14ac:dyDescent="0.2">
      <c r="B1397" s="44"/>
      <c r="C1397" s="44"/>
      <c r="D1397" s="44"/>
      <c r="E1397" s="42"/>
      <c r="F1397" s="43" t="str">
        <f>IF(E1397="", "", IF(AND(E1397&gt;='PAINEL DE CONTROLE'!$C$5*(1-CONFIGURAÇÕES!$D$7), E1397&lt;='PAINEL DE CONTROLE'!$C$5*(1+CONFIGURAÇÕES!$D$7)), "DENTRO", "FORA"))</f>
        <v/>
      </c>
    </row>
    <row r="1398" spans="2:6" x14ac:dyDescent="0.2">
      <c r="B1398" s="44"/>
      <c r="C1398" s="44"/>
      <c r="D1398" s="44"/>
      <c r="E1398" s="42"/>
      <c r="F1398" s="43" t="str">
        <f>IF(E1398="", "", IF(AND(E1398&gt;='PAINEL DE CONTROLE'!$C$5*(1-CONFIGURAÇÕES!$D$7), E1398&lt;='PAINEL DE CONTROLE'!$C$5*(1+CONFIGURAÇÕES!$D$7)), "DENTRO", "FORA"))</f>
        <v/>
      </c>
    </row>
    <row r="1399" spans="2:6" x14ac:dyDescent="0.2">
      <c r="B1399" s="44"/>
      <c r="C1399" s="44"/>
      <c r="D1399" s="44"/>
      <c r="E1399" s="42"/>
      <c r="F1399" s="43" t="str">
        <f>IF(E1399="", "", IF(AND(E1399&gt;='PAINEL DE CONTROLE'!$C$5*(1-CONFIGURAÇÕES!$D$7), E1399&lt;='PAINEL DE CONTROLE'!$C$5*(1+CONFIGURAÇÕES!$D$7)), "DENTRO", "FORA"))</f>
        <v/>
      </c>
    </row>
    <row r="1400" spans="2:6" x14ac:dyDescent="0.2">
      <c r="B1400" s="44"/>
      <c r="C1400" s="44"/>
      <c r="D1400" s="44"/>
      <c r="E1400" s="42"/>
      <c r="F1400" s="43" t="str">
        <f>IF(E1400="", "", IF(AND(E1400&gt;='PAINEL DE CONTROLE'!$C$5*(1-CONFIGURAÇÕES!$D$7), E1400&lt;='PAINEL DE CONTROLE'!$C$5*(1+CONFIGURAÇÕES!$D$7)), "DENTRO", "FORA"))</f>
        <v/>
      </c>
    </row>
    <row r="1401" spans="2:6" x14ac:dyDescent="0.2">
      <c r="B1401" s="44"/>
      <c r="C1401" s="44"/>
      <c r="D1401" s="44"/>
      <c r="E1401" s="42"/>
      <c r="F1401" s="43" t="str">
        <f>IF(E1401="", "", IF(AND(E1401&gt;='PAINEL DE CONTROLE'!$C$5*(1-CONFIGURAÇÕES!$D$7), E1401&lt;='PAINEL DE CONTROLE'!$C$5*(1+CONFIGURAÇÕES!$D$7)), "DENTRO", "FORA"))</f>
        <v/>
      </c>
    </row>
    <row r="1402" spans="2:6" x14ac:dyDescent="0.2">
      <c r="B1402" s="44"/>
      <c r="C1402" s="44"/>
      <c r="D1402" s="44"/>
      <c r="E1402" s="42"/>
      <c r="F1402" s="43" t="str">
        <f>IF(E1402="", "", IF(AND(E1402&gt;='PAINEL DE CONTROLE'!$C$5*(1-CONFIGURAÇÕES!$D$7), E1402&lt;='PAINEL DE CONTROLE'!$C$5*(1+CONFIGURAÇÕES!$D$7)), "DENTRO", "FORA"))</f>
        <v/>
      </c>
    </row>
    <row r="1403" spans="2:6" x14ac:dyDescent="0.2">
      <c r="B1403" s="44"/>
      <c r="C1403" s="44"/>
      <c r="D1403" s="44"/>
      <c r="E1403" s="42"/>
      <c r="F1403" s="43" t="str">
        <f>IF(E1403="", "", IF(AND(E1403&gt;='PAINEL DE CONTROLE'!$C$5*(1-CONFIGURAÇÕES!$D$7), E1403&lt;='PAINEL DE CONTROLE'!$C$5*(1+CONFIGURAÇÕES!$D$7)), "DENTRO", "FORA"))</f>
        <v/>
      </c>
    </row>
    <row r="1404" spans="2:6" x14ac:dyDescent="0.2">
      <c r="B1404" s="44"/>
      <c r="C1404" s="44"/>
      <c r="D1404" s="44"/>
      <c r="E1404" s="42"/>
      <c r="F1404" s="43" t="str">
        <f>IF(E1404="", "", IF(AND(E1404&gt;='PAINEL DE CONTROLE'!$C$5*(1-CONFIGURAÇÕES!$D$7), E1404&lt;='PAINEL DE CONTROLE'!$C$5*(1+CONFIGURAÇÕES!$D$7)), "DENTRO", "FORA"))</f>
        <v/>
      </c>
    </row>
    <row r="1405" spans="2:6" x14ac:dyDescent="0.2">
      <c r="B1405" s="44"/>
      <c r="C1405" s="44"/>
      <c r="D1405" s="44"/>
      <c r="E1405" s="42"/>
      <c r="F1405" s="43" t="str">
        <f>IF(E1405="", "", IF(AND(E1405&gt;='PAINEL DE CONTROLE'!$C$5*(1-CONFIGURAÇÕES!$D$7), E1405&lt;='PAINEL DE CONTROLE'!$C$5*(1+CONFIGURAÇÕES!$D$7)), "DENTRO", "FORA"))</f>
        <v/>
      </c>
    </row>
    <row r="1406" spans="2:6" x14ac:dyDescent="0.2">
      <c r="B1406" s="44"/>
      <c r="C1406" s="44"/>
      <c r="D1406" s="44"/>
      <c r="E1406" s="42"/>
      <c r="F1406" s="43" t="str">
        <f>IF(E1406="", "", IF(AND(E1406&gt;='PAINEL DE CONTROLE'!$C$5*(1-CONFIGURAÇÕES!$D$7), E1406&lt;='PAINEL DE CONTROLE'!$C$5*(1+CONFIGURAÇÕES!$D$7)), "DENTRO", "FORA"))</f>
        <v/>
      </c>
    </row>
    <row r="1407" spans="2:6" x14ac:dyDescent="0.2">
      <c r="B1407" s="44"/>
      <c r="C1407" s="44"/>
      <c r="D1407" s="44"/>
      <c r="E1407" s="42"/>
      <c r="F1407" s="43" t="str">
        <f>IF(E1407="", "", IF(AND(E1407&gt;='PAINEL DE CONTROLE'!$C$5*(1-CONFIGURAÇÕES!$D$7), E1407&lt;='PAINEL DE CONTROLE'!$C$5*(1+CONFIGURAÇÕES!$D$7)), "DENTRO", "FORA"))</f>
        <v/>
      </c>
    </row>
    <row r="1408" spans="2:6" x14ac:dyDescent="0.2">
      <c r="B1408" s="44"/>
      <c r="C1408" s="44"/>
      <c r="D1408" s="44"/>
      <c r="E1408" s="42"/>
      <c r="F1408" s="43" t="str">
        <f>IF(E1408="", "", IF(AND(E1408&gt;='PAINEL DE CONTROLE'!$C$5*(1-CONFIGURAÇÕES!$D$7), E1408&lt;='PAINEL DE CONTROLE'!$C$5*(1+CONFIGURAÇÕES!$D$7)), "DENTRO", "FORA"))</f>
        <v/>
      </c>
    </row>
    <row r="1409" spans="2:6" x14ac:dyDescent="0.2">
      <c r="B1409" s="44"/>
      <c r="C1409" s="44"/>
      <c r="D1409" s="44"/>
      <c r="E1409" s="42"/>
      <c r="F1409" s="43" t="str">
        <f>IF(E1409="", "", IF(AND(E1409&gt;='PAINEL DE CONTROLE'!$C$5*(1-CONFIGURAÇÕES!$D$7), E1409&lt;='PAINEL DE CONTROLE'!$C$5*(1+CONFIGURAÇÕES!$D$7)), "DENTRO", "FORA"))</f>
        <v/>
      </c>
    </row>
    <row r="1410" spans="2:6" x14ac:dyDescent="0.2">
      <c r="B1410" s="44"/>
      <c r="C1410" s="44"/>
      <c r="D1410" s="44"/>
      <c r="E1410" s="42"/>
      <c r="F1410" s="43" t="str">
        <f>IF(E1410="", "", IF(AND(E1410&gt;='PAINEL DE CONTROLE'!$C$5*(1-CONFIGURAÇÕES!$D$7), E1410&lt;='PAINEL DE CONTROLE'!$C$5*(1+CONFIGURAÇÕES!$D$7)), "DENTRO", "FORA"))</f>
        <v/>
      </c>
    </row>
    <row r="1411" spans="2:6" x14ac:dyDescent="0.2">
      <c r="B1411" s="44"/>
      <c r="C1411" s="44"/>
      <c r="D1411" s="44"/>
      <c r="E1411" s="42"/>
      <c r="F1411" s="43" t="str">
        <f>IF(E1411="", "", IF(AND(E1411&gt;='PAINEL DE CONTROLE'!$C$5*(1-CONFIGURAÇÕES!$D$7), E1411&lt;='PAINEL DE CONTROLE'!$C$5*(1+CONFIGURAÇÕES!$D$7)), "DENTRO", "FORA"))</f>
        <v/>
      </c>
    </row>
    <row r="1412" spans="2:6" x14ac:dyDescent="0.2">
      <c r="B1412" s="44"/>
      <c r="C1412" s="44"/>
      <c r="D1412" s="44"/>
      <c r="E1412" s="42"/>
      <c r="F1412" s="43" t="str">
        <f>IF(E1412="", "", IF(AND(E1412&gt;='PAINEL DE CONTROLE'!$C$5*(1-CONFIGURAÇÕES!$D$7), E1412&lt;='PAINEL DE CONTROLE'!$C$5*(1+CONFIGURAÇÕES!$D$7)), "DENTRO", "FORA"))</f>
        <v/>
      </c>
    </row>
    <row r="1413" spans="2:6" x14ac:dyDescent="0.2">
      <c r="B1413" s="44"/>
      <c r="C1413" s="44"/>
      <c r="D1413" s="44"/>
      <c r="E1413" s="42"/>
      <c r="F1413" s="43" t="str">
        <f>IF(E1413="", "", IF(AND(E1413&gt;='PAINEL DE CONTROLE'!$C$5*(1-CONFIGURAÇÕES!$D$7), E1413&lt;='PAINEL DE CONTROLE'!$C$5*(1+CONFIGURAÇÕES!$D$7)), "DENTRO", "FORA"))</f>
        <v/>
      </c>
    </row>
    <row r="1414" spans="2:6" x14ac:dyDescent="0.2">
      <c r="B1414" s="44"/>
      <c r="C1414" s="44"/>
      <c r="D1414" s="44"/>
      <c r="E1414" s="42"/>
      <c r="F1414" s="43" t="str">
        <f>IF(E1414="", "", IF(AND(E1414&gt;='PAINEL DE CONTROLE'!$C$5*(1-CONFIGURAÇÕES!$D$7), E1414&lt;='PAINEL DE CONTROLE'!$C$5*(1+CONFIGURAÇÕES!$D$7)), "DENTRO", "FORA"))</f>
        <v/>
      </c>
    </row>
    <row r="1415" spans="2:6" x14ac:dyDescent="0.2">
      <c r="B1415" s="44"/>
      <c r="C1415" s="44"/>
      <c r="D1415" s="44"/>
      <c r="E1415" s="42"/>
      <c r="F1415" s="43" t="str">
        <f>IF(E1415="", "", IF(AND(E1415&gt;='PAINEL DE CONTROLE'!$C$5*(1-CONFIGURAÇÕES!$D$7), E1415&lt;='PAINEL DE CONTROLE'!$C$5*(1+CONFIGURAÇÕES!$D$7)), "DENTRO", "FORA"))</f>
        <v/>
      </c>
    </row>
    <row r="1416" spans="2:6" x14ac:dyDescent="0.2">
      <c r="B1416" s="44"/>
      <c r="C1416" s="44"/>
      <c r="D1416" s="44"/>
      <c r="E1416" s="42"/>
      <c r="F1416" s="43" t="str">
        <f>IF(E1416="", "", IF(AND(E1416&gt;='PAINEL DE CONTROLE'!$C$5*(1-CONFIGURAÇÕES!$D$7), E1416&lt;='PAINEL DE CONTROLE'!$C$5*(1+CONFIGURAÇÕES!$D$7)), "DENTRO", "FORA"))</f>
        <v/>
      </c>
    </row>
    <row r="1417" spans="2:6" x14ac:dyDescent="0.2">
      <c r="B1417" s="44"/>
      <c r="C1417" s="44"/>
      <c r="D1417" s="44"/>
      <c r="E1417" s="42"/>
      <c r="F1417" s="43" t="str">
        <f>IF(E1417="", "", IF(AND(E1417&gt;='PAINEL DE CONTROLE'!$C$5*(1-CONFIGURAÇÕES!$D$7), E1417&lt;='PAINEL DE CONTROLE'!$C$5*(1+CONFIGURAÇÕES!$D$7)), "DENTRO", "FORA"))</f>
        <v/>
      </c>
    </row>
    <row r="1418" spans="2:6" x14ac:dyDescent="0.2">
      <c r="B1418" s="44"/>
      <c r="C1418" s="44"/>
      <c r="D1418" s="44"/>
      <c r="E1418" s="42"/>
      <c r="F1418" s="43" t="str">
        <f>IF(E1418="", "", IF(AND(E1418&gt;='PAINEL DE CONTROLE'!$C$5*(1-CONFIGURAÇÕES!$D$7), E1418&lt;='PAINEL DE CONTROLE'!$C$5*(1+CONFIGURAÇÕES!$D$7)), "DENTRO", "FORA"))</f>
        <v/>
      </c>
    </row>
    <row r="1419" spans="2:6" x14ac:dyDescent="0.2">
      <c r="B1419" s="44"/>
      <c r="C1419" s="44"/>
      <c r="D1419" s="44"/>
      <c r="E1419" s="42"/>
      <c r="F1419" s="43" t="str">
        <f>IF(E1419="", "", IF(AND(E1419&gt;='PAINEL DE CONTROLE'!$C$5*(1-CONFIGURAÇÕES!$D$7), E1419&lt;='PAINEL DE CONTROLE'!$C$5*(1+CONFIGURAÇÕES!$D$7)), "DENTRO", "FORA"))</f>
        <v/>
      </c>
    </row>
    <row r="1420" spans="2:6" x14ac:dyDescent="0.2">
      <c r="B1420" s="44"/>
      <c r="C1420" s="44"/>
      <c r="D1420" s="44"/>
      <c r="E1420" s="42"/>
      <c r="F1420" s="43" t="str">
        <f>IF(E1420="", "", IF(AND(E1420&gt;='PAINEL DE CONTROLE'!$C$5*(1-CONFIGURAÇÕES!$D$7), E1420&lt;='PAINEL DE CONTROLE'!$C$5*(1+CONFIGURAÇÕES!$D$7)), "DENTRO", "FORA"))</f>
        <v/>
      </c>
    </row>
    <row r="1421" spans="2:6" x14ac:dyDescent="0.2">
      <c r="B1421" s="44"/>
      <c r="C1421" s="44"/>
      <c r="D1421" s="44"/>
      <c r="E1421" s="42"/>
      <c r="F1421" s="43" t="str">
        <f>IF(E1421="", "", IF(AND(E1421&gt;='PAINEL DE CONTROLE'!$C$5*(1-CONFIGURAÇÕES!$D$7), E1421&lt;='PAINEL DE CONTROLE'!$C$5*(1+CONFIGURAÇÕES!$D$7)), "DENTRO", "FORA"))</f>
        <v/>
      </c>
    </row>
    <row r="1422" spans="2:6" x14ac:dyDescent="0.2">
      <c r="B1422" s="44"/>
      <c r="C1422" s="44"/>
      <c r="D1422" s="44"/>
      <c r="E1422" s="42"/>
      <c r="F1422" s="43" t="str">
        <f>IF(E1422="", "", IF(AND(E1422&gt;='PAINEL DE CONTROLE'!$C$5*(1-CONFIGURAÇÕES!$D$7), E1422&lt;='PAINEL DE CONTROLE'!$C$5*(1+CONFIGURAÇÕES!$D$7)), "DENTRO", "FORA"))</f>
        <v/>
      </c>
    </row>
    <row r="1423" spans="2:6" x14ac:dyDescent="0.2">
      <c r="B1423" s="44"/>
      <c r="C1423" s="44"/>
      <c r="D1423" s="44"/>
      <c r="E1423" s="42"/>
      <c r="F1423" s="43" t="str">
        <f>IF(E1423="", "", IF(AND(E1423&gt;='PAINEL DE CONTROLE'!$C$5*(1-CONFIGURAÇÕES!$D$7), E1423&lt;='PAINEL DE CONTROLE'!$C$5*(1+CONFIGURAÇÕES!$D$7)), "DENTRO", "FORA"))</f>
        <v/>
      </c>
    </row>
    <row r="1424" spans="2:6" x14ac:dyDescent="0.2">
      <c r="B1424" s="44"/>
      <c r="C1424" s="44"/>
      <c r="D1424" s="44"/>
      <c r="E1424" s="42"/>
      <c r="F1424" s="43" t="str">
        <f>IF(E1424="", "", IF(AND(E1424&gt;='PAINEL DE CONTROLE'!$C$5*(1-CONFIGURAÇÕES!$D$7), E1424&lt;='PAINEL DE CONTROLE'!$C$5*(1+CONFIGURAÇÕES!$D$7)), "DENTRO", "FORA"))</f>
        <v/>
      </c>
    </row>
    <row r="1425" spans="2:6" x14ac:dyDescent="0.2">
      <c r="B1425" s="44"/>
      <c r="C1425" s="44"/>
      <c r="D1425" s="44"/>
      <c r="E1425" s="42"/>
      <c r="F1425" s="43" t="str">
        <f>IF(E1425="", "", IF(AND(E1425&gt;='PAINEL DE CONTROLE'!$C$5*(1-CONFIGURAÇÕES!$D$7), E1425&lt;='PAINEL DE CONTROLE'!$C$5*(1+CONFIGURAÇÕES!$D$7)), "DENTRO", "FORA"))</f>
        <v/>
      </c>
    </row>
    <row r="1426" spans="2:6" x14ac:dyDescent="0.2">
      <c r="B1426" s="44"/>
      <c r="C1426" s="44"/>
      <c r="D1426" s="44"/>
      <c r="E1426" s="42"/>
      <c r="F1426" s="43" t="str">
        <f>IF(E1426="", "", IF(AND(E1426&gt;='PAINEL DE CONTROLE'!$C$5*(1-CONFIGURAÇÕES!$D$7), E1426&lt;='PAINEL DE CONTROLE'!$C$5*(1+CONFIGURAÇÕES!$D$7)), "DENTRO", "FORA"))</f>
        <v/>
      </c>
    </row>
    <row r="1427" spans="2:6" x14ac:dyDescent="0.2">
      <c r="B1427" s="44"/>
      <c r="C1427" s="44"/>
      <c r="D1427" s="44"/>
      <c r="E1427" s="42"/>
      <c r="F1427" s="43" t="str">
        <f>IF(E1427="", "", IF(AND(E1427&gt;='PAINEL DE CONTROLE'!$C$5*(1-CONFIGURAÇÕES!$D$7), E1427&lt;='PAINEL DE CONTROLE'!$C$5*(1+CONFIGURAÇÕES!$D$7)), "DENTRO", "FORA"))</f>
        <v/>
      </c>
    </row>
    <row r="1428" spans="2:6" x14ac:dyDescent="0.2">
      <c r="B1428" s="44"/>
      <c r="C1428" s="44"/>
      <c r="D1428" s="44"/>
      <c r="E1428" s="42"/>
      <c r="F1428" s="43" t="str">
        <f>IF(E1428="", "", IF(AND(E1428&gt;='PAINEL DE CONTROLE'!$C$5*(1-CONFIGURAÇÕES!$D$7), E1428&lt;='PAINEL DE CONTROLE'!$C$5*(1+CONFIGURAÇÕES!$D$7)), "DENTRO", "FORA"))</f>
        <v/>
      </c>
    </row>
    <row r="1429" spans="2:6" x14ac:dyDescent="0.2">
      <c r="B1429" s="44"/>
      <c r="C1429" s="44"/>
      <c r="D1429" s="44"/>
      <c r="E1429" s="42"/>
      <c r="F1429" s="43" t="str">
        <f>IF(E1429="", "", IF(AND(E1429&gt;='PAINEL DE CONTROLE'!$C$5*(1-CONFIGURAÇÕES!$D$7), E1429&lt;='PAINEL DE CONTROLE'!$C$5*(1+CONFIGURAÇÕES!$D$7)), "DENTRO", "FORA"))</f>
        <v/>
      </c>
    </row>
    <row r="1430" spans="2:6" x14ac:dyDescent="0.2">
      <c r="B1430" s="44"/>
      <c r="C1430" s="44"/>
      <c r="D1430" s="44"/>
      <c r="E1430" s="42"/>
      <c r="F1430" s="43" t="str">
        <f>IF(E1430="", "", IF(AND(E1430&gt;='PAINEL DE CONTROLE'!$C$5*(1-CONFIGURAÇÕES!$D$7), E1430&lt;='PAINEL DE CONTROLE'!$C$5*(1+CONFIGURAÇÕES!$D$7)), "DENTRO", "FORA"))</f>
        <v/>
      </c>
    </row>
    <row r="1431" spans="2:6" x14ac:dyDescent="0.2">
      <c r="B1431" s="44"/>
      <c r="C1431" s="44"/>
      <c r="D1431" s="44"/>
      <c r="E1431" s="42"/>
      <c r="F1431" s="43" t="str">
        <f>IF(E1431="", "", IF(AND(E1431&gt;='PAINEL DE CONTROLE'!$C$5*(1-CONFIGURAÇÕES!$D$7), E1431&lt;='PAINEL DE CONTROLE'!$C$5*(1+CONFIGURAÇÕES!$D$7)), "DENTRO", "FORA"))</f>
        <v/>
      </c>
    </row>
    <row r="1432" spans="2:6" x14ac:dyDescent="0.2">
      <c r="B1432" s="44"/>
      <c r="C1432" s="44"/>
      <c r="D1432" s="44"/>
      <c r="E1432" s="42"/>
      <c r="F1432" s="43" t="str">
        <f>IF(E1432="", "", IF(AND(E1432&gt;='PAINEL DE CONTROLE'!$C$5*(1-CONFIGURAÇÕES!$D$7), E1432&lt;='PAINEL DE CONTROLE'!$C$5*(1+CONFIGURAÇÕES!$D$7)), "DENTRO", "FORA"))</f>
        <v/>
      </c>
    </row>
    <row r="1433" spans="2:6" x14ac:dyDescent="0.2">
      <c r="B1433" s="44"/>
      <c r="C1433" s="44"/>
      <c r="D1433" s="44"/>
      <c r="E1433" s="42"/>
      <c r="F1433" s="43" t="str">
        <f>IF(E1433="", "", IF(AND(E1433&gt;='PAINEL DE CONTROLE'!$C$5*(1-CONFIGURAÇÕES!$D$7), E1433&lt;='PAINEL DE CONTROLE'!$C$5*(1+CONFIGURAÇÕES!$D$7)), "DENTRO", "FORA"))</f>
        <v/>
      </c>
    </row>
    <row r="1434" spans="2:6" x14ac:dyDescent="0.2">
      <c r="B1434" s="44"/>
      <c r="C1434" s="44"/>
      <c r="D1434" s="44"/>
      <c r="E1434" s="42"/>
      <c r="F1434" s="43" t="str">
        <f>IF(E1434="", "", IF(AND(E1434&gt;='PAINEL DE CONTROLE'!$C$5*(1-CONFIGURAÇÕES!$D$7), E1434&lt;='PAINEL DE CONTROLE'!$C$5*(1+CONFIGURAÇÕES!$D$7)), "DENTRO", "FORA"))</f>
        <v/>
      </c>
    </row>
    <row r="1435" spans="2:6" x14ac:dyDescent="0.2">
      <c r="B1435" s="44"/>
      <c r="C1435" s="44"/>
      <c r="D1435" s="44"/>
      <c r="E1435" s="42"/>
      <c r="F1435" s="43" t="str">
        <f>IF(E1435="", "", IF(AND(E1435&gt;='PAINEL DE CONTROLE'!$C$5*(1-CONFIGURAÇÕES!$D$7), E1435&lt;='PAINEL DE CONTROLE'!$C$5*(1+CONFIGURAÇÕES!$D$7)), "DENTRO", "FORA"))</f>
        <v/>
      </c>
    </row>
    <row r="1436" spans="2:6" x14ac:dyDescent="0.2">
      <c r="B1436" s="44"/>
      <c r="C1436" s="44"/>
      <c r="D1436" s="44"/>
      <c r="E1436" s="42"/>
      <c r="F1436" s="43" t="str">
        <f>IF(E1436="", "", IF(AND(E1436&gt;='PAINEL DE CONTROLE'!$C$5*(1-CONFIGURAÇÕES!$D$7), E1436&lt;='PAINEL DE CONTROLE'!$C$5*(1+CONFIGURAÇÕES!$D$7)), "DENTRO", "FORA"))</f>
        <v/>
      </c>
    </row>
    <row r="1437" spans="2:6" x14ac:dyDescent="0.2">
      <c r="B1437" s="44"/>
      <c r="C1437" s="44"/>
      <c r="D1437" s="44"/>
      <c r="E1437" s="42"/>
      <c r="F1437" s="43" t="str">
        <f>IF(E1437="", "", IF(AND(E1437&gt;='PAINEL DE CONTROLE'!$C$5*(1-CONFIGURAÇÕES!$D$7), E1437&lt;='PAINEL DE CONTROLE'!$C$5*(1+CONFIGURAÇÕES!$D$7)), "DENTRO", "FORA"))</f>
        <v/>
      </c>
    </row>
    <row r="1438" spans="2:6" x14ac:dyDescent="0.2">
      <c r="B1438" s="44"/>
      <c r="C1438" s="44"/>
      <c r="D1438" s="44"/>
      <c r="E1438" s="42"/>
      <c r="F1438" s="43" t="str">
        <f>IF(E1438="", "", IF(AND(E1438&gt;='PAINEL DE CONTROLE'!$C$5*(1-CONFIGURAÇÕES!$D$7), E1438&lt;='PAINEL DE CONTROLE'!$C$5*(1+CONFIGURAÇÕES!$D$7)), "DENTRO", "FORA"))</f>
        <v/>
      </c>
    </row>
    <row r="1439" spans="2:6" x14ac:dyDescent="0.2">
      <c r="B1439" s="44"/>
      <c r="C1439" s="44"/>
      <c r="D1439" s="44"/>
      <c r="E1439" s="42"/>
      <c r="F1439" s="43" t="str">
        <f>IF(E1439="", "", IF(AND(E1439&gt;='PAINEL DE CONTROLE'!$C$5*(1-CONFIGURAÇÕES!$D$7), E1439&lt;='PAINEL DE CONTROLE'!$C$5*(1+CONFIGURAÇÕES!$D$7)), "DENTRO", "FORA"))</f>
        <v/>
      </c>
    </row>
    <row r="1440" spans="2:6" x14ac:dyDescent="0.2">
      <c r="B1440" s="44"/>
      <c r="C1440" s="44"/>
      <c r="D1440" s="44"/>
      <c r="E1440" s="42"/>
      <c r="F1440" s="43" t="str">
        <f>IF(E1440="", "", IF(AND(E1440&gt;='PAINEL DE CONTROLE'!$C$5*(1-CONFIGURAÇÕES!$D$7), E1440&lt;='PAINEL DE CONTROLE'!$C$5*(1+CONFIGURAÇÕES!$D$7)), "DENTRO", "FORA"))</f>
        <v/>
      </c>
    </row>
    <row r="1441" spans="2:6" x14ac:dyDescent="0.2">
      <c r="B1441" s="44"/>
      <c r="C1441" s="44"/>
      <c r="D1441" s="44"/>
      <c r="E1441" s="42"/>
      <c r="F1441" s="43" t="str">
        <f>IF(E1441="", "", IF(AND(E1441&gt;='PAINEL DE CONTROLE'!$C$5*(1-CONFIGURAÇÕES!$D$7), E1441&lt;='PAINEL DE CONTROLE'!$C$5*(1+CONFIGURAÇÕES!$D$7)), "DENTRO", "FORA"))</f>
        <v/>
      </c>
    </row>
    <row r="1442" spans="2:6" x14ac:dyDescent="0.2">
      <c r="B1442" s="44"/>
      <c r="C1442" s="44"/>
      <c r="D1442" s="44"/>
      <c r="E1442" s="42"/>
      <c r="F1442" s="43" t="str">
        <f>IF(E1442="", "", IF(AND(E1442&gt;='PAINEL DE CONTROLE'!$C$5*(1-CONFIGURAÇÕES!$D$7), E1442&lt;='PAINEL DE CONTROLE'!$C$5*(1+CONFIGURAÇÕES!$D$7)), "DENTRO", "FORA"))</f>
        <v/>
      </c>
    </row>
    <row r="1443" spans="2:6" x14ac:dyDescent="0.2">
      <c r="B1443" s="44"/>
      <c r="C1443" s="44"/>
      <c r="D1443" s="44"/>
      <c r="E1443" s="42"/>
      <c r="F1443" s="43" t="str">
        <f>IF(E1443="", "", IF(AND(E1443&gt;='PAINEL DE CONTROLE'!$C$5*(1-CONFIGURAÇÕES!$D$7), E1443&lt;='PAINEL DE CONTROLE'!$C$5*(1+CONFIGURAÇÕES!$D$7)), "DENTRO", "FORA"))</f>
        <v/>
      </c>
    </row>
    <row r="1444" spans="2:6" x14ac:dyDescent="0.2">
      <c r="B1444" s="44"/>
      <c r="C1444" s="44"/>
      <c r="D1444" s="44"/>
      <c r="E1444" s="42"/>
      <c r="F1444" s="43" t="str">
        <f>IF(E1444="", "", IF(AND(E1444&gt;='PAINEL DE CONTROLE'!$C$5*(1-CONFIGURAÇÕES!$D$7), E1444&lt;='PAINEL DE CONTROLE'!$C$5*(1+CONFIGURAÇÕES!$D$7)), "DENTRO", "FORA"))</f>
        <v/>
      </c>
    </row>
    <row r="1445" spans="2:6" x14ac:dyDescent="0.2">
      <c r="B1445" s="44"/>
      <c r="C1445" s="44"/>
      <c r="D1445" s="44"/>
      <c r="E1445" s="42"/>
      <c r="F1445" s="43" t="str">
        <f>IF(E1445="", "", IF(AND(E1445&gt;='PAINEL DE CONTROLE'!$C$5*(1-CONFIGURAÇÕES!$D$7), E1445&lt;='PAINEL DE CONTROLE'!$C$5*(1+CONFIGURAÇÕES!$D$7)), "DENTRO", "FORA"))</f>
        <v/>
      </c>
    </row>
    <row r="1446" spans="2:6" x14ac:dyDescent="0.2">
      <c r="B1446" s="44"/>
      <c r="C1446" s="44"/>
      <c r="D1446" s="44"/>
      <c r="E1446" s="42"/>
      <c r="F1446" s="43" t="str">
        <f>IF(E1446="", "", IF(AND(E1446&gt;='PAINEL DE CONTROLE'!$C$5*(1-CONFIGURAÇÕES!$D$7), E1446&lt;='PAINEL DE CONTROLE'!$C$5*(1+CONFIGURAÇÕES!$D$7)), "DENTRO", "FORA"))</f>
        <v/>
      </c>
    </row>
    <row r="1447" spans="2:6" x14ac:dyDescent="0.2">
      <c r="B1447" s="44"/>
      <c r="C1447" s="44"/>
      <c r="D1447" s="44"/>
      <c r="E1447" s="42"/>
      <c r="F1447" s="43" t="str">
        <f>IF(E1447="", "", IF(AND(E1447&gt;='PAINEL DE CONTROLE'!$C$5*(1-CONFIGURAÇÕES!$D$7), E1447&lt;='PAINEL DE CONTROLE'!$C$5*(1+CONFIGURAÇÕES!$D$7)), "DENTRO", "FORA"))</f>
        <v/>
      </c>
    </row>
    <row r="1448" spans="2:6" x14ac:dyDescent="0.2">
      <c r="B1448" s="44"/>
      <c r="C1448" s="44"/>
      <c r="D1448" s="44"/>
      <c r="E1448" s="42"/>
      <c r="F1448" s="43" t="str">
        <f>IF(E1448="", "", IF(AND(E1448&gt;='PAINEL DE CONTROLE'!$C$5*(1-CONFIGURAÇÕES!$D$7), E1448&lt;='PAINEL DE CONTROLE'!$C$5*(1+CONFIGURAÇÕES!$D$7)), "DENTRO", "FORA"))</f>
        <v/>
      </c>
    </row>
    <row r="1449" spans="2:6" x14ac:dyDescent="0.2">
      <c r="B1449" s="44"/>
      <c r="C1449" s="44"/>
      <c r="D1449" s="44"/>
      <c r="E1449" s="42"/>
      <c r="F1449" s="43" t="str">
        <f>IF(E1449="", "", IF(AND(E1449&gt;='PAINEL DE CONTROLE'!$C$5*(1-CONFIGURAÇÕES!$D$7), E1449&lt;='PAINEL DE CONTROLE'!$C$5*(1+CONFIGURAÇÕES!$D$7)), "DENTRO", "FORA"))</f>
        <v/>
      </c>
    </row>
    <row r="1450" spans="2:6" x14ac:dyDescent="0.2">
      <c r="B1450" s="44"/>
      <c r="C1450" s="44"/>
      <c r="D1450" s="44"/>
      <c r="E1450" s="42"/>
      <c r="F1450" s="43" t="str">
        <f>IF(E1450="", "", IF(AND(E1450&gt;='PAINEL DE CONTROLE'!$C$5*(1-CONFIGURAÇÕES!$D$7), E1450&lt;='PAINEL DE CONTROLE'!$C$5*(1+CONFIGURAÇÕES!$D$7)), "DENTRO", "FORA"))</f>
        <v/>
      </c>
    </row>
    <row r="1451" spans="2:6" x14ac:dyDescent="0.2">
      <c r="B1451" s="44"/>
      <c r="C1451" s="44"/>
      <c r="D1451" s="44"/>
      <c r="E1451" s="42"/>
      <c r="F1451" s="43" t="str">
        <f>IF(E1451="", "", IF(AND(E1451&gt;='PAINEL DE CONTROLE'!$C$5*(1-CONFIGURAÇÕES!$D$7), E1451&lt;='PAINEL DE CONTROLE'!$C$5*(1+CONFIGURAÇÕES!$D$7)), "DENTRO", "FORA"))</f>
        <v/>
      </c>
    </row>
    <row r="1452" spans="2:6" x14ac:dyDescent="0.2">
      <c r="B1452" s="44"/>
      <c r="C1452" s="44"/>
      <c r="D1452" s="44"/>
      <c r="E1452" s="42"/>
      <c r="F1452" s="43" t="str">
        <f>IF(E1452="", "", IF(AND(E1452&gt;='PAINEL DE CONTROLE'!$C$5*(1-CONFIGURAÇÕES!$D$7), E1452&lt;='PAINEL DE CONTROLE'!$C$5*(1+CONFIGURAÇÕES!$D$7)), "DENTRO", "FORA"))</f>
        <v/>
      </c>
    </row>
    <row r="1453" spans="2:6" x14ac:dyDescent="0.2">
      <c r="B1453" s="44"/>
      <c r="C1453" s="44"/>
      <c r="D1453" s="44"/>
      <c r="E1453" s="42"/>
      <c r="F1453" s="43" t="str">
        <f>IF(E1453="", "", IF(AND(E1453&gt;='PAINEL DE CONTROLE'!$C$5*(1-CONFIGURAÇÕES!$D$7), E1453&lt;='PAINEL DE CONTROLE'!$C$5*(1+CONFIGURAÇÕES!$D$7)), "DENTRO", "FORA"))</f>
        <v/>
      </c>
    </row>
    <row r="1454" spans="2:6" x14ac:dyDescent="0.2">
      <c r="B1454" s="44"/>
      <c r="C1454" s="44"/>
      <c r="D1454" s="44"/>
      <c r="E1454" s="42"/>
      <c r="F1454" s="43" t="str">
        <f>IF(E1454="", "", IF(AND(E1454&gt;='PAINEL DE CONTROLE'!$C$5*(1-CONFIGURAÇÕES!$D$7), E1454&lt;='PAINEL DE CONTROLE'!$C$5*(1+CONFIGURAÇÕES!$D$7)), "DENTRO", "FORA"))</f>
        <v/>
      </c>
    </row>
    <row r="1455" spans="2:6" x14ac:dyDescent="0.2">
      <c r="B1455" s="44"/>
      <c r="C1455" s="44"/>
      <c r="D1455" s="44"/>
      <c r="E1455" s="42"/>
      <c r="F1455" s="43" t="str">
        <f>IF(E1455="", "", IF(AND(E1455&gt;='PAINEL DE CONTROLE'!$C$5*(1-CONFIGURAÇÕES!$D$7), E1455&lt;='PAINEL DE CONTROLE'!$C$5*(1+CONFIGURAÇÕES!$D$7)), "DENTRO", "FORA"))</f>
        <v/>
      </c>
    </row>
    <row r="1456" spans="2:6" x14ac:dyDescent="0.2">
      <c r="B1456" s="44"/>
      <c r="C1456" s="44"/>
      <c r="D1456" s="44"/>
      <c r="E1456" s="42"/>
      <c r="F1456" s="43" t="str">
        <f>IF(E1456="", "", IF(AND(E1456&gt;='PAINEL DE CONTROLE'!$C$5*(1-CONFIGURAÇÕES!$D$7), E1456&lt;='PAINEL DE CONTROLE'!$C$5*(1+CONFIGURAÇÕES!$D$7)), "DENTRO", "FORA"))</f>
        <v/>
      </c>
    </row>
    <row r="1457" spans="2:6" x14ac:dyDescent="0.2">
      <c r="B1457" s="44"/>
      <c r="C1457" s="44"/>
      <c r="D1457" s="44"/>
      <c r="E1457" s="42"/>
      <c r="F1457" s="43" t="str">
        <f>IF(E1457="", "", IF(AND(E1457&gt;='PAINEL DE CONTROLE'!$C$5*(1-CONFIGURAÇÕES!$D$7), E1457&lt;='PAINEL DE CONTROLE'!$C$5*(1+CONFIGURAÇÕES!$D$7)), "DENTRO", "FORA"))</f>
        <v/>
      </c>
    </row>
    <row r="1458" spans="2:6" x14ac:dyDescent="0.2">
      <c r="B1458" s="44"/>
      <c r="C1458" s="44"/>
      <c r="D1458" s="44"/>
      <c r="E1458" s="42"/>
      <c r="F1458" s="43" t="str">
        <f>IF(E1458="", "", IF(AND(E1458&gt;='PAINEL DE CONTROLE'!$C$5*(1-CONFIGURAÇÕES!$D$7), E1458&lt;='PAINEL DE CONTROLE'!$C$5*(1+CONFIGURAÇÕES!$D$7)), "DENTRO", "FORA"))</f>
        <v/>
      </c>
    </row>
    <row r="1459" spans="2:6" x14ac:dyDescent="0.2">
      <c r="B1459" s="44"/>
      <c r="C1459" s="44"/>
      <c r="D1459" s="44"/>
      <c r="E1459" s="42"/>
      <c r="F1459" s="43" t="str">
        <f>IF(E1459="", "", IF(AND(E1459&gt;='PAINEL DE CONTROLE'!$C$5*(1-CONFIGURAÇÕES!$D$7), E1459&lt;='PAINEL DE CONTROLE'!$C$5*(1+CONFIGURAÇÕES!$D$7)), "DENTRO", "FORA"))</f>
        <v/>
      </c>
    </row>
    <row r="1460" spans="2:6" x14ac:dyDescent="0.2">
      <c r="B1460" s="44"/>
      <c r="C1460" s="44"/>
      <c r="D1460" s="44"/>
      <c r="E1460" s="42"/>
      <c r="F1460" s="43" t="str">
        <f>IF(E1460="", "", IF(AND(E1460&gt;='PAINEL DE CONTROLE'!$C$5*(1-CONFIGURAÇÕES!$D$7), E1460&lt;='PAINEL DE CONTROLE'!$C$5*(1+CONFIGURAÇÕES!$D$7)), "DENTRO", "FORA"))</f>
        <v/>
      </c>
    </row>
    <row r="1461" spans="2:6" x14ac:dyDescent="0.2">
      <c r="B1461" s="44"/>
      <c r="C1461" s="44"/>
      <c r="D1461" s="44"/>
      <c r="E1461" s="42"/>
      <c r="F1461" s="43" t="str">
        <f>IF(E1461="", "", IF(AND(E1461&gt;='PAINEL DE CONTROLE'!$C$5*(1-CONFIGURAÇÕES!$D$7), E1461&lt;='PAINEL DE CONTROLE'!$C$5*(1+CONFIGURAÇÕES!$D$7)), "DENTRO", "FORA"))</f>
        <v/>
      </c>
    </row>
    <row r="1462" spans="2:6" x14ac:dyDescent="0.2">
      <c r="B1462" s="44"/>
      <c r="C1462" s="44"/>
      <c r="D1462" s="44"/>
      <c r="E1462" s="42"/>
      <c r="F1462" s="43" t="str">
        <f>IF(E1462="", "", IF(AND(E1462&gt;='PAINEL DE CONTROLE'!$C$5*(1-CONFIGURAÇÕES!$D$7), E1462&lt;='PAINEL DE CONTROLE'!$C$5*(1+CONFIGURAÇÕES!$D$7)), "DENTRO", "FORA"))</f>
        <v/>
      </c>
    </row>
    <row r="1463" spans="2:6" x14ac:dyDescent="0.2">
      <c r="B1463" s="44"/>
      <c r="C1463" s="44"/>
      <c r="D1463" s="44"/>
      <c r="E1463" s="42"/>
      <c r="F1463" s="43" t="str">
        <f>IF(E1463="", "", IF(AND(E1463&gt;='PAINEL DE CONTROLE'!$C$5*(1-CONFIGURAÇÕES!$D$7), E1463&lt;='PAINEL DE CONTROLE'!$C$5*(1+CONFIGURAÇÕES!$D$7)), "DENTRO", "FORA"))</f>
        <v/>
      </c>
    </row>
    <row r="1464" spans="2:6" x14ac:dyDescent="0.2">
      <c r="B1464" s="44"/>
      <c r="C1464" s="44"/>
      <c r="D1464" s="44"/>
      <c r="E1464" s="42"/>
      <c r="F1464" s="43" t="str">
        <f>IF(E1464="", "", IF(AND(E1464&gt;='PAINEL DE CONTROLE'!$C$5*(1-CONFIGURAÇÕES!$D$7), E1464&lt;='PAINEL DE CONTROLE'!$C$5*(1+CONFIGURAÇÕES!$D$7)), "DENTRO", "FORA"))</f>
        <v/>
      </c>
    </row>
    <row r="1465" spans="2:6" x14ac:dyDescent="0.2">
      <c r="B1465" s="44"/>
      <c r="C1465" s="44"/>
      <c r="D1465" s="44"/>
      <c r="E1465" s="42"/>
      <c r="F1465" s="43" t="str">
        <f>IF(E1465="", "", IF(AND(E1465&gt;='PAINEL DE CONTROLE'!$C$5*(1-CONFIGURAÇÕES!$D$7), E1465&lt;='PAINEL DE CONTROLE'!$C$5*(1+CONFIGURAÇÕES!$D$7)), "DENTRO", "FORA"))</f>
        <v/>
      </c>
    </row>
    <row r="1466" spans="2:6" x14ac:dyDescent="0.2">
      <c r="B1466" s="44"/>
      <c r="C1466" s="44"/>
      <c r="D1466" s="44"/>
      <c r="E1466" s="42"/>
      <c r="F1466" s="43" t="str">
        <f>IF(E1466="", "", IF(AND(E1466&gt;='PAINEL DE CONTROLE'!$C$5*(1-CONFIGURAÇÕES!$D$7), E1466&lt;='PAINEL DE CONTROLE'!$C$5*(1+CONFIGURAÇÕES!$D$7)), "DENTRO", "FORA"))</f>
        <v/>
      </c>
    </row>
    <row r="1467" spans="2:6" x14ac:dyDescent="0.2">
      <c r="B1467" s="44"/>
      <c r="C1467" s="44"/>
      <c r="D1467" s="44"/>
      <c r="E1467" s="42"/>
      <c r="F1467" s="43" t="str">
        <f>IF(E1467="", "", IF(AND(E1467&gt;='PAINEL DE CONTROLE'!$C$5*(1-CONFIGURAÇÕES!$D$7), E1467&lt;='PAINEL DE CONTROLE'!$C$5*(1+CONFIGURAÇÕES!$D$7)), "DENTRO", "FORA"))</f>
        <v/>
      </c>
    </row>
    <row r="1468" spans="2:6" x14ac:dyDescent="0.2">
      <c r="B1468" s="44"/>
      <c r="C1468" s="44"/>
      <c r="D1468" s="44"/>
      <c r="E1468" s="42"/>
      <c r="F1468" s="43" t="str">
        <f>IF(E1468="", "", IF(AND(E1468&gt;='PAINEL DE CONTROLE'!$C$5*(1-CONFIGURAÇÕES!$D$7), E1468&lt;='PAINEL DE CONTROLE'!$C$5*(1+CONFIGURAÇÕES!$D$7)), "DENTRO", "FORA"))</f>
        <v/>
      </c>
    </row>
    <row r="1469" spans="2:6" x14ac:dyDescent="0.2">
      <c r="B1469" s="44"/>
      <c r="C1469" s="44"/>
      <c r="D1469" s="44"/>
      <c r="E1469" s="42"/>
      <c r="F1469" s="43" t="str">
        <f>IF(E1469="", "", IF(AND(E1469&gt;='PAINEL DE CONTROLE'!$C$5*(1-CONFIGURAÇÕES!$D$7), E1469&lt;='PAINEL DE CONTROLE'!$C$5*(1+CONFIGURAÇÕES!$D$7)), "DENTRO", "FORA"))</f>
        <v/>
      </c>
    </row>
    <row r="1470" spans="2:6" x14ac:dyDescent="0.2">
      <c r="B1470" s="44"/>
      <c r="C1470" s="44"/>
      <c r="D1470" s="44"/>
      <c r="E1470" s="42"/>
      <c r="F1470" s="43" t="str">
        <f>IF(E1470="", "", IF(AND(E1470&gt;='PAINEL DE CONTROLE'!$C$5*(1-CONFIGURAÇÕES!$D$7), E1470&lt;='PAINEL DE CONTROLE'!$C$5*(1+CONFIGURAÇÕES!$D$7)), "DENTRO", "FORA"))</f>
        <v/>
      </c>
    </row>
    <row r="1471" spans="2:6" x14ac:dyDescent="0.2">
      <c r="B1471" s="44"/>
      <c r="C1471" s="44"/>
      <c r="D1471" s="44"/>
      <c r="E1471" s="42"/>
      <c r="F1471" s="43" t="str">
        <f>IF(E1471="", "", IF(AND(E1471&gt;='PAINEL DE CONTROLE'!$C$5*(1-CONFIGURAÇÕES!$D$7), E1471&lt;='PAINEL DE CONTROLE'!$C$5*(1+CONFIGURAÇÕES!$D$7)), "DENTRO", "FORA"))</f>
        <v/>
      </c>
    </row>
    <row r="1472" spans="2:6" x14ac:dyDescent="0.2">
      <c r="B1472" s="44"/>
      <c r="C1472" s="44"/>
      <c r="D1472" s="44"/>
      <c r="E1472" s="42"/>
      <c r="F1472" s="43" t="str">
        <f>IF(E1472="", "", IF(AND(E1472&gt;='PAINEL DE CONTROLE'!$C$5*(1-CONFIGURAÇÕES!$D$7), E1472&lt;='PAINEL DE CONTROLE'!$C$5*(1+CONFIGURAÇÕES!$D$7)), "DENTRO", "FORA"))</f>
        <v/>
      </c>
    </row>
    <row r="1473" spans="2:6" x14ac:dyDescent="0.2">
      <c r="B1473" s="44"/>
      <c r="C1473" s="44"/>
      <c r="D1473" s="44"/>
      <c r="E1473" s="42"/>
      <c r="F1473" s="43" t="str">
        <f>IF(E1473="", "", IF(AND(E1473&gt;='PAINEL DE CONTROLE'!$C$5*(1-CONFIGURAÇÕES!$D$7), E1473&lt;='PAINEL DE CONTROLE'!$C$5*(1+CONFIGURAÇÕES!$D$7)), "DENTRO", "FORA"))</f>
        <v/>
      </c>
    </row>
    <row r="1474" spans="2:6" x14ac:dyDescent="0.2">
      <c r="B1474" s="44"/>
      <c r="C1474" s="44"/>
      <c r="D1474" s="44"/>
      <c r="E1474" s="42"/>
      <c r="F1474" s="43" t="str">
        <f>IF(E1474="", "", IF(AND(E1474&gt;='PAINEL DE CONTROLE'!$C$5*(1-CONFIGURAÇÕES!$D$7), E1474&lt;='PAINEL DE CONTROLE'!$C$5*(1+CONFIGURAÇÕES!$D$7)), "DENTRO", "FORA"))</f>
        <v/>
      </c>
    </row>
    <row r="1475" spans="2:6" x14ac:dyDescent="0.2">
      <c r="B1475" s="44"/>
      <c r="C1475" s="44"/>
      <c r="D1475" s="44"/>
      <c r="E1475" s="42"/>
      <c r="F1475" s="43" t="str">
        <f>IF(E1475="", "", IF(AND(E1475&gt;='PAINEL DE CONTROLE'!$C$5*(1-CONFIGURAÇÕES!$D$7), E1475&lt;='PAINEL DE CONTROLE'!$C$5*(1+CONFIGURAÇÕES!$D$7)), "DENTRO", "FORA"))</f>
        <v/>
      </c>
    </row>
    <row r="1476" spans="2:6" x14ac:dyDescent="0.2">
      <c r="B1476" s="44"/>
      <c r="C1476" s="44"/>
      <c r="D1476" s="44"/>
      <c r="E1476" s="42"/>
      <c r="F1476" s="43" t="str">
        <f>IF(E1476="", "", IF(AND(E1476&gt;='PAINEL DE CONTROLE'!$C$5*(1-CONFIGURAÇÕES!$D$7), E1476&lt;='PAINEL DE CONTROLE'!$C$5*(1+CONFIGURAÇÕES!$D$7)), "DENTRO", "FORA"))</f>
        <v/>
      </c>
    </row>
    <row r="1477" spans="2:6" x14ac:dyDescent="0.2">
      <c r="B1477" s="44"/>
      <c r="C1477" s="44"/>
      <c r="D1477" s="44"/>
      <c r="E1477" s="42"/>
      <c r="F1477" s="43" t="str">
        <f>IF(E1477="", "", IF(AND(E1477&gt;='PAINEL DE CONTROLE'!$C$5*(1-CONFIGURAÇÕES!$D$7), E1477&lt;='PAINEL DE CONTROLE'!$C$5*(1+CONFIGURAÇÕES!$D$7)), "DENTRO", "FORA"))</f>
        <v/>
      </c>
    </row>
    <row r="1478" spans="2:6" x14ac:dyDescent="0.2">
      <c r="B1478" s="44"/>
      <c r="C1478" s="44"/>
      <c r="D1478" s="44"/>
      <c r="E1478" s="42"/>
      <c r="F1478" s="43" t="str">
        <f>IF(E1478="", "", IF(AND(E1478&gt;='PAINEL DE CONTROLE'!$C$5*(1-CONFIGURAÇÕES!$D$7), E1478&lt;='PAINEL DE CONTROLE'!$C$5*(1+CONFIGURAÇÕES!$D$7)), "DENTRO", "FORA"))</f>
        <v/>
      </c>
    </row>
    <row r="1479" spans="2:6" x14ac:dyDescent="0.2">
      <c r="B1479" s="44"/>
      <c r="C1479" s="44"/>
      <c r="D1479" s="44"/>
      <c r="E1479" s="42"/>
      <c r="F1479" s="43" t="str">
        <f>IF(E1479="", "", IF(AND(E1479&gt;='PAINEL DE CONTROLE'!$C$5*(1-CONFIGURAÇÕES!$D$7), E1479&lt;='PAINEL DE CONTROLE'!$C$5*(1+CONFIGURAÇÕES!$D$7)), "DENTRO", "FORA"))</f>
        <v/>
      </c>
    </row>
    <row r="1480" spans="2:6" x14ac:dyDescent="0.2">
      <c r="B1480" s="44"/>
      <c r="C1480" s="44"/>
      <c r="D1480" s="44"/>
      <c r="E1480" s="42"/>
      <c r="F1480" s="43" t="str">
        <f>IF(E1480="", "", IF(AND(E1480&gt;='PAINEL DE CONTROLE'!$C$5*(1-CONFIGURAÇÕES!$D$7), E1480&lt;='PAINEL DE CONTROLE'!$C$5*(1+CONFIGURAÇÕES!$D$7)), "DENTRO", "FORA"))</f>
        <v/>
      </c>
    </row>
    <row r="1481" spans="2:6" x14ac:dyDescent="0.2">
      <c r="B1481" s="44"/>
      <c r="C1481" s="44"/>
      <c r="D1481" s="44"/>
      <c r="E1481" s="42"/>
      <c r="F1481" s="43" t="str">
        <f>IF(E1481="", "", IF(AND(E1481&gt;='PAINEL DE CONTROLE'!$C$5*(1-CONFIGURAÇÕES!$D$7), E1481&lt;='PAINEL DE CONTROLE'!$C$5*(1+CONFIGURAÇÕES!$D$7)), "DENTRO", "FORA"))</f>
        <v/>
      </c>
    </row>
    <row r="1482" spans="2:6" x14ac:dyDescent="0.2">
      <c r="B1482" s="44"/>
      <c r="C1482" s="44"/>
      <c r="D1482" s="44"/>
      <c r="E1482" s="42"/>
      <c r="F1482" s="43" t="str">
        <f>IF(E1482="", "", IF(AND(E1482&gt;='PAINEL DE CONTROLE'!$C$5*(1-CONFIGURAÇÕES!$D$7), E1482&lt;='PAINEL DE CONTROLE'!$C$5*(1+CONFIGURAÇÕES!$D$7)), "DENTRO", "FORA"))</f>
        <v/>
      </c>
    </row>
    <row r="1483" spans="2:6" x14ac:dyDescent="0.2">
      <c r="B1483" s="44"/>
      <c r="C1483" s="44"/>
      <c r="D1483" s="44"/>
      <c r="E1483" s="42"/>
      <c r="F1483" s="43" t="str">
        <f>IF(E1483="", "", IF(AND(E1483&gt;='PAINEL DE CONTROLE'!$C$5*(1-CONFIGURAÇÕES!$D$7), E1483&lt;='PAINEL DE CONTROLE'!$C$5*(1+CONFIGURAÇÕES!$D$7)), "DENTRO", "FORA"))</f>
        <v/>
      </c>
    </row>
    <row r="1484" spans="2:6" x14ac:dyDescent="0.2">
      <c r="B1484" s="44"/>
      <c r="C1484" s="44"/>
      <c r="D1484" s="44"/>
      <c r="E1484" s="42"/>
      <c r="F1484" s="43" t="str">
        <f>IF(E1484="", "", IF(AND(E1484&gt;='PAINEL DE CONTROLE'!$C$5*(1-CONFIGURAÇÕES!$D$7), E1484&lt;='PAINEL DE CONTROLE'!$C$5*(1+CONFIGURAÇÕES!$D$7)), "DENTRO", "FORA"))</f>
        <v/>
      </c>
    </row>
    <row r="1485" spans="2:6" x14ac:dyDescent="0.2">
      <c r="B1485" s="44"/>
      <c r="C1485" s="44"/>
      <c r="D1485" s="44"/>
      <c r="E1485" s="42"/>
      <c r="F1485" s="43" t="str">
        <f>IF(E1485="", "", IF(AND(E1485&gt;='PAINEL DE CONTROLE'!$C$5*(1-CONFIGURAÇÕES!$D$7), E1485&lt;='PAINEL DE CONTROLE'!$C$5*(1+CONFIGURAÇÕES!$D$7)), "DENTRO", "FORA"))</f>
        <v/>
      </c>
    </row>
    <row r="1486" spans="2:6" x14ac:dyDescent="0.2">
      <c r="B1486" s="44"/>
      <c r="C1486" s="44"/>
      <c r="D1486" s="44"/>
      <c r="E1486" s="42"/>
      <c r="F1486" s="43" t="str">
        <f>IF(E1486="", "", IF(AND(E1486&gt;='PAINEL DE CONTROLE'!$C$5*(1-CONFIGURAÇÕES!$D$7), E1486&lt;='PAINEL DE CONTROLE'!$C$5*(1+CONFIGURAÇÕES!$D$7)), "DENTRO", "FORA"))</f>
        <v/>
      </c>
    </row>
    <row r="1487" spans="2:6" x14ac:dyDescent="0.2">
      <c r="B1487" s="44"/>
      <c r="C1487" s="44"/>
      <c r="D1487" s="44"/>
      <c r="E1487" s="42"/>
      <c r="F1487" s="43" t="str">
        <f>IF(E1487="", "", IF(AND(E1487&gt;='PAINEL DE CONTROLE'!$C$5*(1-CONFIGURAÇÕES!$D$7), E1487&lt;='PAINEL DE CONTROLE'!$C$5*(1+CONFIGURAÇÕES!$D$7)), "DENTRO", "FORA"))</f>
        <v/>
      </c>
    </row>
    <row r="1488" spans="2:6" x14ac:dyDescent="0.2">
      <c r="B1488" s="44"/>
      <c r="C1488" s="44"/>
      <c r="D1488" s="44"/>
      <c r="E1488" s="42"/>
      <c r="F1488" s="43" t="str">
        <f>IF(E1488="", "", IF(AND(E1488&gt;='PAINEL DE CONTROLE'!$C$5*(1-CONFIGURAÇÕES!$D$7), E1488&lt;='PAINEL DE CONTROLE'!$C$5*(1+CONFIGURAÇÕES!$D$7)), "DENTRO", "FORA"))</f>
        <v/>
      </c>
    </row>
    <row r="1489" spans="2:6" x14ac:dyDescent="0.2">
      <c r="B1489" s="44"/>
      <c r="C1489" s="44"/>
      <c r="D1489" s="44"/>
      <c r="E1489" s="42"/>
      <c r="F1489" s="43" t="str">
        <f>IF(E1489="", "", IF(AND(E1489&gt;='PAINEL DE CONTROLE'!$C$5*(1-CONFIGURAÇÕES!$D$7), E1489&lt;='PAINEL DE CONTROLE'!$C$5*(1+CONFIGURAÇÕES!$D$7)), "DENTRO", "FORA"))</f>
        <v/>
      </c>
    </row>
    <row r="1490" spans="2:6" x14ac:dyDescent="0.2">
      <c r="B1490" s="44"/>
      <c r="C1490" s="44"/>
      <c r="D1490" s="44"/>
      <c r="E1490" s="42"/>
      <c r="F1490" s="43" t="str">
        <f>IF(E1490="", "", IF(AND(E1490&gt;='PAINEL DE CONTROLE'!$C$5*(1-CONFIGURAÇÕES!$D$7), E1490&lt;='PAINEL DE CONTROLE'!$C$5*(1+CONFIGURAÇÕES!$D$7)), "DENTRO", "FORA"))</f>
        <v/>
      </c>
    </row>
    <row r="1491" spans="2:6" x14ac:dyDescent="0.2">
      <c r="B1491" s="44"/>
      <c r="C1491" s="44"/>
      <c r="D1491" s="44"/>
      <c r="E1491" s="42"/>
      <c r="F1491" s="43" t="str">
        <f>IF(E1491="", "", IF(AND(E1491&gt;='PAINEL DE CONTROLE'!$C$5*(1-CONFIGURAÇÕES!$D$7), E1491&lt;='PAINEL DE CONTROLE'!$C$5*(1+CONFIGURAÇÕES!$D$7)), "DENTRO", "FORA"))</f>
        <v/>
      </c>
    </row>
    <row r="1492" spans="2:6" x14ac:dyDescent="0.2">
      <c r="B1492" s="44"/>
      <c r="C1492" s="44"/>
      <c r="D1492" s="44"/>
      <c r="E1492" s="42"/>
      <c r="F1492" s="43" t="str">
        <f>IF(E1492="", "", IF(AND(E1492&gt;='PAINEL DE CONTROLE'!$C$5*(1-CONFIGURAÇÕES!$D$7), E1492&lt;='PAINEL DE CONTROLE'!$C$5*(1+CONFIGURAÇÕES!$D$7)), "DENTRO", "FORA"))</f>
        <v/>
      </c>
    </row>
    <row r="1493" spans="2:6" x14ac:dyDescent="0.2">
      <c r="B1493" s="44"/>
      <c r="C1493" s="44"/>
      <c r="D1493" s="44"/>
      <c r="E1493" s="42"/>
      <c r="F1493" s="43" t="str">
        <f>IF(E1493="", "", IF(AND(E1493&gt;='PAINEL DE CONTROLE'!$C$5*(1-CONFIGURAÇÕES!$D$7), E1493&lt;='PAINEL DE CONTROLE'!$C$5*(1+CONFIGURAÇÕES!$D$7)), "DENTRO", "FORA"))</f>
        <v/>
      </c>
    </row>
    <row r="1494" spans="2:6" x14ac:dyDescent="0.2">
      <c r="B1494" s="44"/>
      <c r="C1494" s="44"/>
      <c r="D1494" s="44"/>
      <c r="E1494" s="42"/>
      <c r="F1494" s="43" t="str">
        <f>IF(E1494="", "", IF(AND(E1494&gt;='PAINEL DE CONTROLE'!$C$5*(1-CONFIGURAÇÕES!$D$7), E1494&lt;='PAINEL DE CONTROLE'!$C$5*(1+CONFIGURAÇÕES!$D$7)), "DENTRO", "FORA"))</f>
        <v/>
      </c>
    </row>
    <row r="1495" spans="2:6" x14ac:dyDescent="0.2">
      <c r="B1495" s="44"/>
      <c r="C1495" s="44"/>
      <c r="D1495" s="44"/>
      <c r="E1495" s="42"/>
      <c r="F1495" s="43" t="str">
        <f>IF(E1495="", "", IF(AND(E1495&gt;='PAINEL DE CONTROLE'!$C$5*(1-CONFIGURAÇÕES!$D$7), E1495&lt;='PAINEL DE CONTROLE'!$C$5*(1+CONFIGURAÇÕES!$D$7)), "DENTRO", "FORA"))</f>
        <v/>
      </c>
    </row>
    <row r="1496" spans="2:6" x14ac:dyDescent="0.2">
      <c r="B1496" s="44"/>
      <c r="C1496" s="44"/>
      <c r="D1496" s="44"/>
      <c r="E1496" s="42"/>
      <c r="F1496" s="43" t="str">
        <f>IF(E1496="", "", IF(AND(E1496&gt;='PAINEL DE CONTROLE'!$C$5*(1-CONFIGURAÇÕES!$D$7), E1496&lt;='PAINEL DE CONTROLE'!$C$5*(1+CONFIGURAÇÕES!$D$7)), "DENTRO", "FORA"))</f>
        <v/>
      </c>
    </row>
    <row r="1497" spans="2:6" x14ac:dyDescent="0.2">
      <c r="B1497" s="44"/>
      <c r="C1497" s="44"/>
      <c r="D1497" s="44"/>
      <c r="E1497" s="42"/>
      <c r="F1497" s="43" t="str">
        <f>IF(E1497="", "", IF(AND(E1497&gt;='PAINEL DE CONTROLE'!$C$5*(1-CONFIGURAÇÕES!$D$7), E1497&lt;='PAINEL DE CONTROLE'!$C$5*(1+CONFIGURAÇÕES!$D$7)), "DENTRO", "FORA"))</f>
        <v/>
      </c>
    </row>
    <row r="1498" spans="2:6" x14ac:dyDescent="0.2">
      <c r="B1498" s="44"/>
      <c r="C1498" s="44"/>
      <c r="D1498" s="44"/>
      <c r="E1498" s="42"/>
      <c r="F1498" s="43" t="str">
        <f>IF(E1498="", "", IF(AND(E1498&gt;='PAINEL DE CONTROLE'!$C$5*(1-CONFIGURAÇÕES!$D$7), E1498&lt;='PAINEL DE CONTROLE'!$C$5*(1+CONFIGURAÇÕES!$D$7)), "DENTRO", "FORA"))</f>
        <v/>
      </c>
    </row>
    <row r="1499" spans="2:6" x14ac:dyDescent="0.2">
      <c r="B1499" s="44"/>
      <c r="C1499" s="44"/>
      <c r="D1499" s="44"/>
      <c r="E1499" s="42"/>
      <c r="F1499" s="43" t="str">
        <f>IF(E1499="", "", IF(AND(E1499&gt;='PAINEL DE CONTROLE'!$C$5*(1-CONFIGURAÇÕES!$D$7), E1499&lt;='PAINEL DE CONTROLE'!$C$5*(1+CONFIGURAÇÕES!$D$7)), "DENTRO", "FORA"))</f>
        <v/>
      </c>
    </row>
    <row r="1500" spans="2:6" x14ac:dyDescent="0.2">
      <c r="B1500" s="44"/>
      <c r="C1500" s="44"/>
      <c r="D1500" s="44"/>
      <c r="E1500" s="42"/>
      <c r="F1500" s="43" t="str">
        <f>IF(E1500="", "", IF(AND(E1500&gt;='PAINEL DE CONTROLE'!$C$5*(1-CONFIGURAÇÕES!$D$7), E1500&lt;='PAINEL DE CONTROLE'!$C$5*(1+CONFIGURAÇÕES!$D$7)), "DENTRO", "FORA"))</f>
        <v/>
      </c>
    </row>
    <row r="1501" spans="2:6" x14ac:dyDescent="0.2">
      <c r="B1501" s="44"/>
      <c r="C1501" s="44"/>
      <c r="D1501" s="44"/>
      <c r="E1501" s="42"/>
      <c r="F1501" s="43" t="str">
        <f>IF(E1501="", "", IF(AND(E1501&gt;='PAINEL DE CONTROLE'!$C$5*(1-CONFIGURAÇÕES!$D$7), E1501&lt;='PAINEL DE CONTROLE'!$C$5*(1+CONFIGURAÇÕES!$D$7)), "DENTRO", "FORA"))</f>
        <v/>
      </c>
    </row>
    <row r="1502" spans="2:6" x14ac:dyDescent="0.2">
      <c r="B1502" s="44"/>
      <c r="C1502" s="44"/>
      <c r="D1502" s="44"/>
      <c r="E1502" s="42"/>
      <c r="F1502" s="43" t="str">
        <f>IF(E1502="", "", IF(AND(E1502&gt;='PAINEL DE CONTROLE'!$C$5*(1-CONFIGURAÇÕES!$D$7), E1502&lt;='PAINEL DE CONTROLE'!$C$5*(1+CONFIGURAÇÕES!$D$7)), "DENTRO", "FORA"))</f>
        <v/>
      </c>
    </row>
    <row r="1503" spans="2:6" x14ac:dyDescent="0.2">
      <c r="B1503" s="44"/>
      <c r="C1503" s="44"/>
      <c r="D1503" s="44"/>
      <c r="E1503" s="42"/>
      <c r="F1503" s="43" t="str">
        <f>IF(E1503="", "", IF(AND(E1503&gt;='PAINEL DE CONTROLE'!$C$5*(1-CONFIGURAÇÕES!$D$7), E1503&lt;='PAINEL DE CONTROLE'!$C$5*(1+CONFIGURAÇÕES!$D$7)), "DENTRO", "FORA"))</f>
        <v/>
      </c>
    </row>
    <row r="1504" spans="2:6" x14ac:dyDescent="0.2">
      <c r="B1504" s="44"/>
      <c r="C1504" s="44"/>
      <c r="D1504" s="44"/>
      <c r="E1504" s="42"/>
      <c r="F1504" s="43" t="str">
        <f>IF(E1504="", "", IF(AND(E1504&gt;='PAINEL DE CONTROLE'!$C$5*(1-CONFIGURAÇÕES!$D$7), E1504&lt;='PAINEL DE CONTROLE'!$C$5*(1+CONFIGURAÇÕES!$D$7)), "DENTRO", "FORA"))</f>
        <v/>
      </c>
    </row>
    <row r="1505" spans="2:6" x14ac:dyDescent="0.2">
      <c r="B1505" s="44"/>
      <c r="C1505" s="44"/>
      <c r="D1505" s="44"/>
      <c r="E1505" s="42"/>
      <c r="F1505" s="43" t="str">
        <f>IF(E1505="", "", IF(AND(E1505&gt;='PAINEL DE CONTROLE'!$C$5*(1-CONFIGURAÇÕES!$D$7), E1505&lt;='PAINEL DE CONTROLE'!$C$5*(1+CONFIGURAÇÕES!$D$7)), "DENTRO", "FORA"))</f>
        <v/>
      </c>
    </row>
    <row r="1506" spans="2:6" x14ac:dyDescent="0.2">
      <c r="B1506" s="44"/>
      <c r="C1506" s="44"/>
      <c r="D1506" s="44"/>
      <c r="E1506" s="42"/>
      <c r="F1506" s="43" t="str">
        <f>IF(E1506="", "", IF(AND(E1506&gt;='PAINEL DE CONTROLE'!$C$5*(1-CONFIGURAÇÕES!$D$7), E1506&lt;='PAINEL DE CONTROLE'!$C$5*(1+CONFIGURAÇÕES!$D$7)), "DENTRO", "FORA"))</f>
        <v/>
      </c>
    </row>
    <row r="1507" spans="2:6" x14ac:dyDescent="0.2">
      <c r="B1507" s="44"/>
      <c r="C1507" s="44"/>
      <c r="D1507" s="44"/>
      <c r="E1507" s="42"/>
      <c r="F1507" s="43" t="str">
        <f>IF(E1507="", "", IF(AND(E1507&gt;='PAINEL DE CONTROLE'!$C$5*(1-CONFIGURAÇÕES!$D$7), E1507&lt;='PAINEL DE CONTROLE'!$C$5*(1+CONFIGURAÇÕES!$D$7)), "DENTRO", "FORA"))</f>
        <v/>
      </c>
    </row>
    <row r="1508" spans="2:6" x14ac:dyDescent="0.2">
      <c r="B1508" s="44"/>
      <c r="C1508" s="44"/>
      <c r="D1508" s="44"/>
      <c r="E1508" s="42"/>
      <c r="F1508" s="43" t="str">
        <f>IF(E1508="", "", IF(AND(E1508&gt;='PAINEL DE CONTROLE'!$C$5*(1-CONFIGURAÇÕES!$D$7), E1508&lt;='PAINEL DE CONTROLE'!$C$5*(1+CONFIGURAÇÕES!$D$7)), "DENTRO", "FORA"))</f>
        <v/>
      </c>
    </row>
    <row r="1509" spans="2:6" x14ac:dyDescent="0.2">
      <c r="B1509" s="44"/>
      <c r="C1509" s="44"/>
      <c r="D1509" s="44"/>
      <c r="E1509" s="42"/>
      <c r="F1509" s="43" t="str">
        <f>IF(E1509="", "", IF(AND(E1509&gt;='PAINEL DE CONTROLE'!$C$5*(1-CONFIGURAÇÕES!$D$7), E1509&lt;='PAINEL DE CONTROLE'!$C$5*(1+CONFIGURAÇÕES!$D$7)), "DENTRO", "FORA"))</f>
        <v/>
      </c>
    </row>
    <row r="1510" spans="2:6" x14ac:dyDescent="0.2">
      <c r="B1510" s="44"/>
      <c r="C1510" s="44"/>
      <c r="D1510" s="44"/>
      <c r="E1510" s="42"/>
      <c r="F1510" s="43" t="str">
        <f>IF(E1510="", "", IF(AND(E1510&gt;='PAINEL DE CONTROLE'!$C$5*(1-CONFIGURAÇÕES!$D$7), E1510&lt;='PAINEL DE CONTROLE'!$C$5*(1+CONFIGURAÇÕES!$D$7)), "DENTRO", "FORA"))</f>
        <v/>
      </c>
    </row>
    <row r="1511" spans="2:6" x14ac:dyDescent="0.2">
      <c r="B1511" s="44"/>
      <c r="C1511" s="44"/>
      <c r="D1511" s="44"/>
      <c r="E1511" s="42"/>
      <c r="F1511" s="43" t="str">
        <f>IF(E1511="", "", IF(AND(E1511&gt;='PAINEL DE CONTROLE'!$C$5*(1-CONFIGURAÇÕES!$D$7), E1511&lt;='PAINEL DE CONTROLE'!$C$5*(1+CONFIGURAÇÕES!$D$7)), "DENTRO", "FORA"))</f>
        <v/>
      </c>
    </row>
    <row r="1512" spans="2:6" x14ac:dyDescent="0.2">
      <c r="B1512" s="44"/>
      <c r="C1512" s="44"/>
      <c r="D1512" s="44"/>
      <c r="E1512" s="42"/>
      <c r="F1512" s="43" t="str">
        <f>IF(E1512="", "", IF(AND(E1512&gt;='PAINEL DE CONTROLE'!$C$5*(1-CONFIGURAÇÕES!$D$7), E1512&lt;='PAINEL DE CONTROLE'!$C$5*(1+CONFIGURAÇÕES!$D$7)), "DENTRO", "FORA"))</f>
        <v/>
      </c>
    </row>
    <row r="1513" spans="2:6" x14ac:dyDescent="0.2">
      <c r="B1513" s="44"/>
      <c r="C1513" s="44"/>
      <c r="D1513" s="44"/>
      <c r="E1513" s="42"/>
      <c r="F1513" s="43" t="str">
        <f>IF(E1513="", "", IF(AND(E1513&gt;='PAINEL DE CONTROLE'!$C$5*(1-CONFIGURAÇÕES!$D$7), E1513&lt;='PAINEL DE CONTROLE'!$C$5*(1+CONFIGURAÇÕES!$D$7)), "DENTRO", "FORA"))</f>
        <v/>
      </c>
    </row>
    <row r="1514" spans="2:6" x14ac:dyDescent="0.2">
      <c r="B1514" s="44"/>
      <c r="C1514" s="44"/>
      <c r="D1514" s="44"/>
      <c r="E1514" s="42"/>
      <c r="F1514" s="43" t="str">
        <f>IF(E1514="", "", IF(AND(E1514&gt;='PAINEL DE CONTROLE'!$C$5*(1-CONFIGURAÇÕES!$D$7), E1514&lt;='PAINEL DE CONTROLE'!$C$5*(1+CONFIGURAÇÕES!$D$7)), "DENTRO", "FORA"))</f>
        <v/>
      </c>
    </row>
    <row r="1515" spans="2:6" x14ac:dyDescent="0.2">
      <c r="B1515" s="44"/>
      <c r="C1515" s="44"/>
      <c r="D1515" s="44"/>
      <c r="E1515" s="42"/>
      <c r="F1515" s="43" t="str">
        <f>IF(E1515="", "", IF(AND(E1515&gt;='PAINEL DE CONTROLE'!$C$5*(1-CONFIGURAÇÕES!$D$7), E1515&lt;='PAINEL DE CONTROLE'!$C$5*(1+CONFIGURAÇÕES!$D$7)), "DENTRO", "FORA"))</f>
        <v/>
      </c>
    </row>
    <row r="1516" spans="2:6" x14ac:dyDescent="0.2">
      <c r="B1516" s="44"/>
      <c r="C1516" s="44"/>
      <c r="D1516" s="44"/>
      <c r="E1516" s="42"/>
      <c r="F1516" s="43" t="str">
        <f>IF(E1516="", "", IF(AND(E1516&gt;='PAINEL DE CONTROLE'!$C$5*(1-CONFIGURAÇÕES!$D$7), E1516&lt;='PAINEL DE CONTROLE'!$C$5*(1+CONFIGURAÇÕES!$D$7)), "DENTRO", "FORA"))</f>
        <v/>
      </c>
    </row>
    <row r="1517" spans="2:6" x14ac:dyDescent="0.2">
      <c r="B1517" s="44"/>
      <c r="C1517" s="44"/>
      <c r="D1517" s="44"/>
      <c r="E1517" s="42"/>
      <c r="F1517" s="43" t="str">
        <f>IF(E1517="", "", IF(AND(E1517&gt;='PAINEL DE CONTROLE'!$C$5*(1-CONFIGURAÇÕES!$D$7), E1517&lt;='PAINEL DE CONTROLE'!$C$5*(1+CONFIGURAÇÕES!$D$7)), "DENTRO", "FORA"))</f>
        <v/>
      </c>
    </row>
    <row r="1518" spans="2:6" x14ac:dyDescent="0.2">
      <c r="B1518" s="44"/>
      <c r="C1518" s="44"/>
      <c r="D1518" s="44"/>
      <c r="E1518" s="42"/>
      <c r="F1518" s="43" t="str">
        <f>IF(E1518="", "", IF(AND(E1518&gt;='PAINEL DE CONTROLE'!$C$5*(1-CONFIGURAÇÕES!$D$7), E1518&lt;='PAINEL DE CONTROLE'!$C$5*(1+CONFIGURAÇÕES!$D$7)), "DENTRO", "FORA"))</f>
        <v/>
      </c>
    </row>
    <row r="1519" spans="2:6" x14ac:dyDescent="0.2">
      <c r="B1519" s="44"/>
      <c r="C1519" s="44"/>
      <c r="D1519" s="44"/>
      <c r="E1519" s="42"/>
      <c r="F1519" s="43" t="str">
        <f>IF(E1519="", "", IF(AND(E1519&gt;='PAINEL DE CONTROLE'!$C$5*(1-CONFIGURAÇÕES!$D$7), E1519&lt;='PAINEL DE CONTROLE'!$C$5*(1+CONFIGURAÇÕES!$D$7)), "DENTRO", "FORA"))</f>
        <v/>
      </c>
    </row>
    <row r="1520" spans="2:6" x14ac:dyDescent="0.2">
      <c r="B1520" s="44"/>
      <c r="C1520" s="44"/>
      <c r="D1520" s="44"/>
      <c r="E1520" s="42"/>
      <c r="F1520" s="43" t="str">
        <f>IF(E1520="", "", IF(AND(E1520&gt;='PAINEL DE CONTROLE'!$C$5*(1-CONFIGURAÇÕES!$D$7), E1520&lt;='PAINEL DE CONTROLE'!$C$5*(1+CONFIGURAÇÕES!$D$7)), "DENTRO", "FORA"))</f>
        <v/>
      </c>
    </row>
    <row r="1521" spans="2:6" x14ac:dyDescent="0.2">
      <c r="B1521" s="44"/>
      <c r="C1521" s="44"/>
      <c r="D1521" s="44"/>
      <c r="E1521" s="42"/>
      <c r="F1521" s="43" t="str">
        <f>IF(E1521="", "", IF(AND(E1521&gt;='PAINEL DE CONTROLE'!$C$5*(1-CONFIGURAÇÕES!$D$7), E1521&lt;='PAINEL DE CONTROLE'!$C$5*(1+CONFIGURAÇÕES!$D$7)), "DENTRO", "FORA"))</f>
        <v/>
      </c>
    </row>
    <row r="1522" spans="2:6" x14ac:dyDescent="0.2">
      <c r="B1522" s="44"/>
      <c r="C1522" s="44"/>
      <c r="D1522" s="44"/>
      <c r="E1522" s="42"/>
      <c r="F1522" s="43" t="str">
        <f>IF(E1522="", "", IF(AND(E1522&gt;='PAINEL DE CONTROLE'!$C$5*(1-CONFIGURAÇÕES!$D$7), E1522&lt;='PAINEL DE CONTROLE'!$C$5*(1+CONFIGURAÇÕES!$D$7)), "DENTRO", "FORA"))</f>
        <v/>
      </c>
    </row>
    <row r="1523" spans="2:6" x14ac:dyDescent="0.2">
      <c r="B1523" s="44"/>
      <c r="C1523" s="44"/>
      <c r="D1523" s="44"/>
      <c r="E1523" s="42"/>
      <c r="F1523" s="43" t="str">
        <f>IF(E1523="", "", IF(AND(E1523&gt;='PAINEL DE CONTROLE'!$C$5*(1-CONFIGURAÇÕES!$D$7), E1523&lt;='PAINEL DE CONTROLE'!$C$5*(1+CONFIGURAÇÕES!$D$7)), "DENTRO", "FORA"))</f>
        <v/>
      </c>
    </row>
    <row r="1524" spans="2:6" x14ac:dyDescent="0.2">
      <c r="B1524" s="44"/>
      <c r="C1524" s="44"/>
      <c r="D1524" s="44"/>
      <c r="E1524" s="42"/>
      <c r="F1524" s="43" t="str">
        <f>IF(E1524="", "", IF(AND(E1524&gt;='PAINEL DE CONTROLE'!$C$5*(1-CONFIGURAÇÕES!$D$7), E1524&lt;='PAINEL DE CONTROLE'!$C$5*(1+CONFIGURAÇÕES!$D$7)), "DENTRO", "FORA"))</f>
        <v/>
      </c>
    </row>
    <row r="1525" spans="2:6" x14ac:dyDescent="0.2">
      <c r="B1525" s="44"/>
      <c r="C1525" s="44"/>
      <c r="D1525" s="44"/>
      <c r="E1525" s="42"/>
      <c r="F1525" s="43" t="str">
        <f>IF(E1525="", "", IF(AND(E1525&gt;='PAINEL DE CONTROLE'!$C$5*(1-CONFIGURAÇÕES!$D$7), E1525&lt;='PAINEL DE CONTROLE'!$C$5*(1+CONFIGURAÇÕES!$D$7)), "DENTRO", "FORA"))</f>
        <v/>
      </c>
    </row>
    <row r="1526" spans="2:6" x14ac:dyDescent="0.2">
      <c r="B1526" s="44"/>
      <c r="C1526" s="44"/>
      <c r="D1526" s="44"/>
      <c r="E1526" s="42"/>
      <c r="F1526" s="43" t="str">
        <f>IF(E1526="", "", IF(AND(E1526&gt;='PAINEL DE CONTROLE'!$C$5*(1-CONFIGURAÇÕES!$D$7), E1526&lt;='PAINEL DE CONTROLE'!$C$5*(1+CONFIGURAÇÕES!$D$7)), "DENTRO", "FORA"))</f>
        <v/>
      </c>
    </row>
    <row r="1527" spans="2:6" x14ac:dyDescent="0.2">
      <c r="B1527" s="44"/>
      <c r="C1527" s="44"/>
      <c r="D1527" s="44"/>
      <c r="E1527" s="42"/>
      <c r="F1527" s="43" t="str">
        <f>IF(E1527="", "", IF(AND(E1527&gt;='PAINEL DE CONTROLE'!$C$5*(1-CONFIGURAÇÕES!$D$7), E1527&lt;='PAINEL DE CONTROLE'!$C$5*(1+CONFIGURAÇÕES!$D$7)), "DENTRO", "FORA"))</f>
        <v/>
      </c>
    </row>
    <row r="1528" spans="2:6" x14ac:dyDescent="0.2">
      <c r="B1528" s="44"/>
      <c r="C1528" s="44"/>
      <c r="D1528" s="44"/>
      <c r="E1528" s="42"/>
      <c r="F1528" s="43" t="str">
        <f>IF(E1528="", "", IF(AND(E1528&gt;='PAINEL DE CONTROLE'!$C$5*(1-CONFIGURAÇÕES!$D$7), E1528&lt;='PAINEL DE CONTROLE'!$C$5*(1+CONFIGURAÇÕES!$D$7)), "DENTRO", "FORA"))</f>
        <v/>
      </c>
    </row>
    <row r="1529" spans="2:6" x14ac:dyDescent="0.2">
      <c r="B1529" s="44"/>
      <c r="C1529" s="44"/>
      <c r="D1529" s="44"/>
      <c r="E1529" s="42"/>
      <c r="F1529" s="43" t="str">
        <f>IF(E1529="", "", IF(AND(E1529&gt;='PAINEL DE CONTROLE'!$C$5*(1-CONFIGURAÇÕES!$D$7), E1529&lt;='PAINEL DE CONTROLE'!$C$5*(1+CONFIGURAÇÕES!$D$7)), "DENTRO", "FORA"))</f>
        <v/>
      </c>
    </row>
    <row r="1530" spans="2:6" x14ac:dyDescent="0.2">
      <c r="B1530" s="44"/>
      <c r="C1530" s="44"/>
      <c r="D1530" s="44"/>
      <c r="E1530" s="42"/>
      <c r="F1530" s="43" t="str">
        <f>IF(E1530="", "", IF(AND(E1530&gt;='PAINEL DE CONTROLE'!$C$5*(1-CONFIGURAÇÕES!$D$7), E1530&lt;='PAINEL DE CONTROLE'!$C$5*(1+CONFIGURAÇÕES!$D$7)), "DENTRO", "FORA"))</f>
        <v/>
      </c>
    </row>
    <row r="1531" spans="2:6" x14ac:dyDescent="0.2">
      <c r="B1531" s="44"/>
      <c r="C1531" s="44"/>
      <c r="D1531" s="44"/>
      <c r="E1531" s="42"/>
      <c r="F1531" s="43" t="str">
        <f>IF(E1531="", "", IF(AND(E1531&gt;='PAINEL DE CONTROLE'!$C$5*(1-CONFIGURAÇÕES!$D$7), E1531&lt;='PAINEL DE CONTROLE'!$C$5*(1+CONFIGURAÇÕES!$D$7)), "DENTRO", "FORA"))</f>
        <v/>
      </c>
    </row>
    <row r="1532" spans="2:6" x14ac:dyDescent="0.2">
      <c r="B1532" s="44"/>
      <c r="C1532" s="44"/>
      <c r="D1532" s="44"/>
      <c r="E1532" s="42"/>
      <c r="F1532" s="43" t="str">
        <f>IF(E1532="", "", IF(AND(E1532&gt;='PAINEL DE CONTROLE'!$C$5*(1-CONFIGURAÇÕES!$D$7), E1532&lt;='PAINEL DE CONTROLE'!$C$5*(1+CONFIGURAÇÕES!$D$7)), "DENTRO", "FORA"))</f>
        <v/>
      </c>
    </row>
    <row r="1533" spans="2:6" x14ac:dyDescent="0.2">
      <c r="B1533" s="44"/>
      <c r="C1533" s="44"/>
      <c r="D1533" s="44"/>
      <c r="E1533" s="42"/>
      <c r="F1533" s="43" t="str">
        <f>IF(E1533="", "", IF(AND(E1533&gt;='PAINEL DE CONTROLE'!$C$5*(1-CONFIGURAÇÕES!$D$7), E1533&lt;='PAINEL DE CONTROLE'!$C$5*(1+CONFIGURAÇÕES!$D$7)), "DENTRO", "FORA"))</f>
        <v/>
      </c>
    </row>
    <row r="1534" spans="2:6" x14ac:dyDescent="0.2">
      <c r="B1534" s="44"/>
      <c r="C1534" s="44"/>
      <c r="D1534" s="44"/>
      <c r="E1534" s="42"/>
      <c r="F1534" s="43" t="str">
        <f>IF(E1534="", "", IF(AND(E1534&gt;='PAINEL DE CONTROLE'!$C$5*(1-CONFIGURAÇÕES!$D$7), E1534&lt;='PAINEL DE CONTROLE'!$C$5*(1+CONFIGURAÇÕES!$D$7)), "DENTRO", "FORA"))</f>
        <v/>
      </c>
    </row>
    <row r="1535" spans="2:6" x14ac:dyDescent="0.2">
      <c r="B1535" s="44"/>
      <c r="C1535" s="44"/>
      <c r="D1535" s="44"/>
      <c r="E1535" s="42"/>
      <c r="F1535" s="43" t="str">
        <f>IF(E1535="", "", IF(AND(E1535&gt;='PAINEL DE CONTROLE'!$C$5*(1-CONFIGURAÇÕES!$D$7), E1535&lt;='PAINEL DE CONTROLE'!$C$5*(1+CONFIGURAÇÕES!$D$7)), "DENTRO", "FORA"))</f>
        <v/>
      </c>
    </row>
    <row r="1536" spans="2:6" x14ac:dyDescent="0.2">
      <c r="B1536" s="44"/>
      <c r="C1536" s="44"/>
      <c r="D1536" s="44"/>
      <c r="E1536" s="42"/>
      <c r="F1536" s="43" t="str">
        <f>IF(E1536="", "", IF(AND(E1536&gt;='PAINEL DE CONTROLE'!$C$5*(1-CONFIGURAÇÕES!$D$7), E1536&lt;='PAINEL DE CONTROLE'!$C$5*(1+CONFIGURAÇÕES!$D$7)), "DENTRO", "FORA"))</f>
        <v/>
      </c>
    </row>
    <row r="1537" spans="2:6" x14ac:dyDescent="0.2">
      <c r="B1537" s="44"/>
      <c r="C1537" s="44"/>
      <c r="D1537" s="44"/>
      <c r="E1537" s="42"/>
      <c r="F1537" s="43" t="str">
        <f>IF(E1537="", "", IF(AND(E1537&gt;='PAINEL DE CONTROLE'!$C$5*(1-CONFIGURAÇÕES!$D$7), E1537&lt;='PAINEL DE CONTROLE'!$C$5*(1+CONFIGURAÇÕES!$D$7)), "DENTRO", "FORA"))</f>
        <v/>
      </c>
    </row>
    <row r="1538" spans="2:6" x14ac:dyDescent="0.2">
      <c r="B1538" s="44"/>
      <c r="C1538" s="44"/>
      <c r="D1538" s="44"/>
      <c r="E1538" s="42"/>
      <c r="F1538" s="43" t="str">
        <f>IF(E1538="", "", IF(AND(E1538&gt;='PAINEL DE CONTROLE'!$C$5*(1-CONFIGURAÇÕES!$D$7), E1538&lt;='PAINEL DE CONTROLE'!$C$5*(1+CONFIGURAÇÕES!$D$7)), "DENTRO", "FORA"))</f>
        <v/>
      </c>
    </row>
    <row r="1539" spans="2:6" x14ac:dyDescent="0.2">
      <c r="B1539" s="44"/>
      <c r="C1539" s="44"/>
      <c r="D1539" s="44"/>
      <c r="E1539" s="42"/>
      <c r="F1539" s="43" t="str">
        <f>IF(E1539="", "", IF(AND(E1539&gt;='PAINEL DE CONTROLE'!$C$5*(1-CONFIGURAÇÕES!$D$7), E1539&lt;='PAINEL DE CONTROLE'!$C$5*(1+CONFIGURAÇÕES!$D$7)), "DENTRO", "FORA"))</f>
        <v/>
      </c>
    </row>
    <row r="1540" spans="2:6" x14ac:dyDescent="0.2">
      <c r="B1540" s="44"/>
      <c r="C1540" s="44"/>
      <c r="D1540" s="44"/>
      <c r="E1540" s="42"/>
      <c r="F1540" s="43" t="str">
        <f>IF(E1540="", "", IF(AND(E1540&gt;='PAINEL DE CONTROLE'!$C$5*(1-CONFIGURAÇÕES!$D$7), E1540&lt;='PAINEL DE CONTROLE'!$C$5*(1+CONFIGURAÇÕES!$D$7)), "DENTRO", "FORA"))</f>
        <v/>
      </c>
    </row>
    <row r="1541" spans="2:6" x14ac:dyDescent="0.2">
      <c r="B1541" s="44"/>
      <c r="C1541" s="44"/>
      <c r="D1541" s="44"/>
      <c r="E1541" s="42"/>
      <c r="F1541" s="43" t="str">
        <f>IF(E1541="", "", IF(AND(E1541&gt;='PAINEL DE CONTROLE'!$C$5*(1-CONFIGURAÇÕES!$D$7), E1541&lt;='PAINEL DE CONTROLE'!$C$5*(1+CONFIGURAÇÕES!$D$7)), "DENTRO", "FORA"))</f>
        <v/>
      </c>
    </row>
    <row r="1542" spans="2:6" x14ac:dyDescent="0.2">
      <c r="B1542" s="44"/>
      <c r="C1542" s="44"/>
      <c r="D1542" s="44"/>
      <c r="E1542" s="42"/>
      <c r="F1542" s="43" t="str">
        <f>IF(E1542="", "", IF(AND(E1542&gt;='PAINEL DE CONTROLE'!$C$5*(1-CONFIGURAÇÕES!$D$7), E1542&lt;='PAINEL DE CONTROLE'!$C$5*(1+CONFIGURAÇÕES!$D$7)), "DENTRO", "FORA"))</f>
        <v/>
      </c>
    </row>
    <row r="1543" spans="2:6" x14ac:dyDescent="0.2">
      <c r="B1543" s="44"/>
      <c r="C1543" s="44"/>
      <c r="D1543" s="44"/>
      <c r="E1543" s="42"/>
      <c r="F1543" s="43" t="str">
        <f>IF(E1543="", "", IF(AND(E1543&gt;='PAINEL DE CONTROLE'!$C$5*(1-CONFIGURAÇÕES!$D$7), E1543&lt;='PAINEL DE CONTROLE'!$C$5*(1+CONFIGURAÇÕES!$D$7)), "DENTRO", "FORA"))</f>
        <v/>
      </c>
    </row>
    <row r="1544" spans="2:6" x14ac:dyDescent="0.2">
      <c r="B1544" s="44"/>
      <c r="C1544" s="44"/>
      <c r="D1544" s="44"/>
      <c r="E1544" s="42"/>
      <c r="F1544" s="43" t="str">
        <f>IF(E1544="", "", IF(AND(E1544&gt;='PAINEL DE CONTROLE'!$C$5*(1-CONFIGURAÇÕES!$D$7), E1544&lt;='PAINEL DE CONTROLE'!$C$5*(1+CONFIGURAÇÕES!$D$7)), "DENTRO", "FORA"))</f>
        <v/>
      </c>
    </row>
    <row r="1545" spans="2:6" x14ac:dyDescent="0.2">
      <c r="B1545" s="44"/>
      <c r="C1545" s="44"/>
      <c r="D1545" s="44"/>
      <c r="E1545" s="42"/>
      <c r="F1545" s="43" t="str">
        <f>IF(E1545="", "", IF(AND(E1545&gt;='PAINEL DE CONTROLE'!$C$5*(1-CONFIGURAÇÕES!$D$7), E1545&lt;='PAINEL DE CONTROLE'!$C$5*(1+CONFIGURAÇÕES!$D$7)), "DENTRO", "FORA"))</f>
        <v/>
      </c>
    </row>
    <row r="1546" spans="2:6" x14ac:dyDescent="0.2">
      <c r="B1546" s="44"/>
      <c r="C1546" s="44"/>
      <c r="D1546" s="44"/>
      <c r="E1546" s="42"/>
      <c r="F1546" s="43" t="str">
        <f>IF(E1546="", "", IF(AND(E1546&gt;='PAINEL DE CONTROLE'!$C$5*(1-CONFIGURAÇÕES!$D$7), E1546&lt;='PAINEL DE CONTROLE'!$C$5*(1+CONFIGURAÇÕES!$D$7)), "DENTRO", "FORA"))</f>
        <v/>
      </c>
    </row>
    <row r="1547" spans="2:6" x14ac:dyDescent="0.2">
      <c r="B1547" s="44"/>
      <c r="C1547" s="44"/>
      <c r="D1547" s="44"/>
      <c r="E1547" s="42"/>
      <c r="F1547" s="43" t="str">
        <f>IF(E1547="", "", IF(AND(E1547&gt;='PAINEL DE CONTROLE'!$C$5*(1-CONFIGURAÇÕES!$D$7), E1547&lt;='PAINEL DE CONTROLE'!$C$5*(1+CONFIGURAÇÕES!$D$7)), "DENTRO", "FORA"))</f>
        <v/>
      </c>
    </row>
    <row r="1548" spans="2:6" x14ac:dyDescent="0.2">
      <c r="B1548" s="44"/>
      <c r="C1548" s="44"/>
      <c r="D1548" s="44"/>
      <c r="E1548" s="42"/>
      <c r="F1548" s="43" t="str">
        <f>IF(E1548="", "", IF(AND(E1548&gt;='PAINEL DE CONTROLE'!$C$5*(1-CONFIGURAÇÕES!$D$7), E1548&lt;='PAINEL DE CONTROLE'!$C$5*(1+CONFIGURAÇÕES!$D$7)), "DENTRO", "FORA"))</f>
        <v/>
      </c>
    </row>
    <row r="1549" spans="2:6" x14ac:dyDescent="0.2">
      <c r="B1549" s="44"/>
      <c r="C1549" s="44"/>
      <c r="D1549" s="44"/>
      <c r="E1549" s="42"/>
      <c r="F1549" s="43" t="str">
        <f>IF(E1549="", "", IF(AND(E1549&gt;='PAINEL DE CONTROLE'!$C$5*(1-CONFIGURAÇÕES!$D$7), E1549&lt;='PAINEL DE CONTROLE'!$C$5*(1+CONFIGURAÇÕES!$D$7)), "DENTRO", "FORA"))</f>
        <v/>
      </c>
    </row>
    <row r="1550" spans="2:6" x14ac:dyDescent="0.2">
      <c r="B1550" s="44"/>
      <c r="C1550" s="44"/>
      <c r="D1550" s="44"/>
      <c r="E1550" s="42"/>
      <c r="F1550" s="43" t="str">
        <f>IF(E1550="", "", IF(AND(E1550&gt;='PAINEL DE CONTROLE'!$C$5*(1-CONFIGURAÇÕES!$D$7), E1550&lt;='PAINEL DE CONTROLE'!$C$5*(1+CONFIGURAÇÕES!$D$7)), "DENTRO", "FORA"))</f>
        <v/>
      </c>
    </row>
    <row r="1551" spans="2:6" x14ac:dyDescent="0.2">
      <c r="B1551" s="44"/>
      <c r="C1551" s="44"/>
      <c r="D1551" s="44"/>
      <c r="E1551" s="42"/>
      <c r="F1551" s="43" t="str">
        <f>IF(E1551="", "", IF(AND(E1551&gt;='PAINEL DE CONTROLE'!$C$5*(1-CONFIGURAÇÕES!$D$7), E1551&lt;='PAINEL DE CONTROLE'!$C$5*(1+CONFIGURAÇÕES!$D$7)), "DENTRO", "FORA"))</f>
        <v/>
      </c>
    </row>
    <row r="1552" spans="2:6" x14ac:dyDescent="0.2">
      <c r="B1552" s="44"/>
      <c r="C1552" s="44"/>
      <c r="D1552" s="44"/>
      <c r="E1552" s="42"/>
      <c r="F1552" s="43" t="str">
        <f>IF(E1552="", "", IF(AND(E1552&gt;='PAINEL DE CONTROLE'!$C$5*(1-CONFIGURAÇÕES!$D$7), E1552&lt;='PAINEL DE CONTROLE'!$C$5*(1+CONFIGURAÇÕES!$D$7)), "DENTRO", "FORA"))</f>
        <v/>
      </c>
    </row>
    <row r="1553" spans="2:6" x14ac:dyDescent="0.2">
      <c r="B1553" s="44"/>
      <c r="C1553" s="44"/>
      <c r="D1553" s="44"/>
      <c r="E1553" s="42"/>
      <c r="F1553" s="43" t="str">
        <f>IF(E1553="", "", IF(AND(E1553&gt;='PAINEL DE CONTROLE'!$C$5*(1-CONFIGURAÇÕES!$D$7), E1553&lt;='PAINEL DE CONTROLE'!$C$5*(1+CONFIGURAÇÕES!$D$7)), "DENTRO", "FORA"))</f>
        <v/>
      </c>
    </row>
    <row r="1554" spans="2:6" x14ac:dyDescent="0.2">
      <c r="B1554" s="44"/>
      <c r="C1554" s="44"/>
      <c r="D1554" s="44"/>
      <c r="E1554" s="42"/>
      <c r="F1554" s="43" t="str">
        <f>IF(E1554="", "", IF(AND(E1554&gt;='PAINEL DE CONTROLE'!$C$5*(1-CONFIGURAÇÕES!$D$7), E1554&lt;='PAINEL DE CONTROLE'!$C$5*(1+CONFIGURAÇÕES!$D$7)), "DENTRO", "FORA"))</f>
        <v/>
      </c>
    </row>
    <row r="1555" spans="2:6" x14ac:dyDescent="0.2">
      <c r="B1555" s="44"/>
      <c r="C1555" s="44"/>
      <c r="D1555" s="44"/>
      <c r="E1555" s="42"/>
      <c r="F1555" s="43" t="str">
        <f>IF(E1555="", "", IF(AND(E1555&gt;='PAINEL DE CONTROLE'!$C$5*(1-CONFIGURAÇÕES!$D$7), E1555&lt;='PAINEL DE CONTROLE'!$C$5*(1+CONFIGURAÇÕES!$D$7)), "DENTRO", "FORA"))</f>
        <v/>
      </c>
    </row>
    <row r="1556" spans="2:6" x14ac:dyDescent="0.2">
      <c r="B1556" s="44"/>
      <c r="C1556" s="44"/>
      <c r="D1556" s="44"/>
      <c r="E1556" s="42"/>
      <c r="F1556" s="43" t="str">
        <f>IF(E1556="", "", IF(AND(E1556&gt;='PAINEL DE CONTROLE'!$C$5*(1-CONFIGURAÇÕES!$D$7), E1556&lt;='PAINEL DE CONTROLE'!$C$5*(1+CONFIGURAÇÕES!$D$7)), "DENTRO", "FORA"))</f>
        <v/>
      </c>
    </row>
    <row r="1557" spans="2:6" x14ac:dyDescent="0.2">
      <c r="B1557" s="44"/>
      <c r="C1557" s="44"/>
      <c r="D1557" s="44"/>
      <c r="E1557" s="42"/>
      <c r="F1557" s="43" t="str">
        <f>IF(E1557="", "", IF(AND(E1557&gt;='PAINEL DE CONTROLE'!$C$5*(1-CONFIGURAÇÕES!$D$7), E1557&lt;='PAINEL DE CONTROLE'!$C$5*(1+CONFIGURAÇÕES!$D$7)), "DENTRO", "FORA"))</f>
        <v/>
      </c>
    </row>
    <row r="1558" spans="2:6" x14ac:dyDescent="0.2">
      <c r="B1558" s="44"/>
      <c r="C1558" s="44"/>
      <c r="D1558" s="44"/>
      <c r="E1558" s="42"/>
      <c r="F1558" s="43" t="str">
        <f>IF(E1558="", "", IF(AND(E1558&gt;='PAINEL DE CONTROLE'!$C$5*(1-CONFIGURAÇÕES!$D$7), E1558&lt;='PAINEL DE CONTROLE'!$C$5*(1+CONFIGURAÇÕES!$D$7)), "DENTRO", "FORA"))</f>
        <v/>
      </c>
    </row>
    <row r="1559" spans="2:6" x14ac:dyDescent="0.2">
      <c r="B1559" s="44"/>
      <c r="C1559" s="44"/>
      <c r="D1559" s="44"/>
      <c r="E1559" s="42"/>
      <c r="F1559" s="43" t="str">
        <f>IF(E1559="", "", IF(AND(E1559&gt;='PAINEL DE CONTROLE'!$C$5*(1-CONFIGURAÇÕES!$D$7), E1559&lt;='PAINEL DE CONTROLE'!$C$5*(1+CONFIGURAÇÕES!$D$7)), "DENTRO", "FORA"))</f>
        <v/>
      </c>
    </row>
    <row r="1560" spans="2:6" x14ac:dyDescent="0.2">
      <c r="B1560" s="44"/>
      <c r="C1560" s="44"/>
      <c r="D1560" s="44"/>
      <c r="E1560" s="42"/>
      <c r="F1560" s="43" t="str">
        <f>IF(E1560="", "", IF(AND(E1560&gt;='PAINEL DE CONTROLE'!$C$5*(1-CONFIGURAÇÕES!$D$7), E1560&lt;='PAINEL DE CONTROLE'!$C$5*(1+CONFIGURAÇÕES!$D$7)), "DENTRO", "FORA"))</f>
        <v/>
      </c>
    </row>
    <row r="1561" spans="2:6" x14ac:dyDescent="0.2">
      <c r="B1561" s="44"/>
      <c r="C1561" s="44"/>
      <c r="D1561" s="44"/>
      <c r="E1561" s="42"/>
      <c r="F1561" s="43" t="str">
        <f>IF(E1561="", "", IF(AND(E1561&gt;='PAINEL DE CONTROLE'!$C$5*(1-CONFIGURAÇÕES!$D$7), E1561&lt;='PAINEL DE CONTROLE'!$C$5*(1+CONFIGURAÇÕES!$D$7)), "DENTRO", "FORA"))</f>
        <v/>
      </c>
    </row>
    <row r="1562" spans="2:6" x14ac:dyDescent="0.2">
      <c r="B1562" s="44"/>
      <c r="C1562" s="44"/>
      <c r="D1562" s="44"/>
      <c r="E1562" s="42"/>
      <c r="F1562" s="43" t="str">
        <f>IF(E1562="", "", IF(AND(E1562&gt;='PAINEL DE CONTROLE'!$C$5*(1-CONFIGURAÇÕES!$D$7), E1562&lt;='PAINEL DE CONTROLE'!$C$5*(1+CONFIGURAÇÕES!$D$7)), "DENTRO", "FORA"))</f>
        <v/>
      </c>
    </row>
    <row r="1563" spans="2:6" x14ac:dyDescent="0.2">
      <c r="B1563" s="44"/>
      <c r="C1563" s="44"/>
      <c r="D1563" s="44"/>
      <c r="E1563" s="42"/>
      <c r="F1563" s="43" t="str">
        <f>IF(E1563="", "", IF(AND(E1563&gt;='PAINEL DE CONTROLE'!$C$5*(1-CONFIGURAÇÕES!$D$7), E1563&lt;='PAINEL DE CONTROLE'!$C$5*(1+CONFIGURAÇÕES!$D$7)), "DENTRO", "FORA"))</f>
        <v/>
      </c>
    </row>
    <row r="1564" spans="2:6" x14ac:dyDescent="0.2">
      <c r="B1564" s="44"/>
      <c r="C1564" s="44"/>
      <c r="D1564" s="44"/>
      <c r="E1564" s="42"/>
      <c r="F1564" s="43" t="str">
        <f>IF(E1564="", "", IF(AND(E1564&gt;='PAINEL DE CONTROLE'!$C$5*(1-CONFIGURAÇÕES!$D$7), E1564&lt;='PAINEL DE CONTROLE'!$C$5*(1+CONFIGURAÇÕES!$D$7)), "DENTRO", "FORA"))</f>
        <v/>
      </c>
    </row>
    <row r="1565" spans="2:6" x14ac:dyDescent="0.2">
      <c r="B1565" s="44"/>
      <c r="C1565" s="44"/>
      <c r="D1565" s="44"/>
      <c r="E1565" s="42"/>
      <c r="F1565" s="43" t="str">
        <f>IF(E1565="", "", IF(AND(E1565&gt;='PAINEL DE CONTROLE'!$C$5*(1-CONFIGURAÇÕES!$D$7), E1565&lt;='PAINEL DE CONTROLE'!$C$5*(1+CONFIGURAÇÕES!$D$7)), "DENTRO", "FORA"))</f>
        <v/>
      </c>
    </row>
    <row r="1566" spans="2:6" x14ac:dyDescent="0.2">
      <c r="B1566" s="44"/>
      <c r="C1566" s="44"/>
      <c r="D1566" s="44"/>
      <c r="E1566" s="42"/>
      <c r="F1566" s="43" t="str">
        <f>IF(E1566="", "", IF(AND(E1566&gt;='PAINEL DE CONTROLE'!$C$5*(1-CONFIGURAÇÕES!$D$7), E1566&lt;='PAINEL DE CONTROLE'!$C$5*(1+CONFIGURAÇÕES!$D$7)), "DENTRO", "FORA"))</f>
        <v/>
      </c>
    </row>
    <row r="1567" spans="2:6" x14ac:dyDescent="0.2">
      <c r="B1567" s="44"/>
      <c r="C1567" s="44"/>
      <c r="D1567" s="44"/>
      <c r="E1567" s="42"/>
      <c r="F1567" s="43" t="str">
        <f>IF(E1567="", "", IF(AND(E1567&gt;='PAINEL DE CONTROLE'!$C$5*(1-CONFIGURAÇÕES!$D$7), E1567&lt;='PAINEL DE CONTROLE'!$C$5*(1+CONFIGURAÇÕES!$D$7)), "DENTRO", "FORA"))</f>
        <v/>
      </c>
    </row>
    <row r="1568" spans="2:6" x14ac:dyDescent="0.2">
      <c r="B1568" s="44"/>
      <c r="C1568" s="44"/>
      <c r="D1568" s="44"/>
      <c r="E1568" s="42"/>
      <c r="F1568" s="43" t="str">
        <f>IF(E1568="", "", IF(AND(E1568&gt;='PAINEL DE CONTROLE'!$C$5*(1-CONFIGURAÇÕES!$D$7), E1568&lt;='PAINEL DE CONTROLE'!$C$5*(1+CONFIGURAÇÕES!$D$7)), "DENTRO", "FORA"))</f>
        <v/>
      </c>
    </row>
    <row r="1569" spans="2:6" x14ac:dyDescent="0.2">
      <c r="B1569" s="44"/>
      <c r="C1569" s="44"/>
      <c r="D1569" s="44"/>
      <c r="E1569" s="42"/>
      <c r="F1569" s="43" t="str">
        <f>IF(E1569="", "", IF(AND(E1569&gt;='PAINEL DE CONTROLE'!$C$5*(1-CONFIGURAÇÕES!$D$7), E1569&lt;='PAINEL DE CONTROLE'!$C$5*(1+CONFIGURAÇÕES!$D$7)), "DENTRO", "FORA"))</f>
        <v/>
      </c>
    </row>
    <row r="1570" spans="2:6" x14ac:dyDescent="0.2">
      <c r="B1570" s="44"/>
      <c r="C1570" s="44"/>
      <c r="D1570" s="44"/>
      <c r="E1570" s="42"/>
      <c r="F1570" s="43" t="str">
        <f>IF(E1570="", "", IF(AND(E1570&gt;='PAINEL DE CONTROLE'!$C$5*(1-CONFIGURAÇÕES!$D$7), E1570&lt;='PAINEL DE CONTROLE'!$C$5*(1+CONFIGURAÇÕES!$D$7)), "DENTRO", "FORA"))</f>
        <v/>
      </c>
    </row>
    <row r="1571" spans="2:6" x14ac:dyDescent="0.2">
      <c r="B1571" s="44"/>
      <c r="C1571" s="44"/>
      <c r="D1571" s="44"/>
      <c r="E1571" s="42"/>
      <c r="F1571" s="43" t="str">
        <f>IF(E1571="", "", IF(AND(E1571&gt;='PAINEL DE CONTROLE'!$C$5*(1-CONFIGURAÇÕES!$D$7), E1571&lt;='PAINEL DE CONTROLE'!$C$5*(1+CONFIGURAÇÕES!$D$7)), "DENTRO", "FORA"))</f>
        <v/>
      </c>
    </row>
    <row r="1572" spans="2:6" x14ac:dyDescent="0.2">
      <c r="B1572" s="44"/>
      <c r="C1572" s="44"/>
      <c r="D1572" s="44"/>
      <c r="E1572" s="42"/>
      <c r="F1572" s="43" t="str">
        <f>IF(E1572="", "", IF(AND(E1572&gt;='PAINEL DE CONTROLE'!$C$5*(1-CONFIGURAÇÕES!$D$7), E1572&lt;='PAINEL DE CONTROLE'!$C$5*(1+CONFIGURAÇÕES!$D$7)), "DENTRO", "FORA"))</f>
        <v/>
      </c>
    </row>
    <row r="1573" spans="2:6" x14ac:dyDescent="0.2">
      <c r="B1573" s="44"/>
      <c r="C1573" s="44"/>
      <c r="D1573" s="44"/>
      <c r="E1573" s="42"/>
      <c r="F1573" s="43" t="str">
        <f>IF(E1573="", "", IF(AND(E1573&gt;='PAINEL DE CONTROLE'!$C$5*(1-CONFIGURAÇÕES!$D$7), E1573&lt;='PAINEL DE CONTROLE'!$C$5*(1+CONFIGURAÇÕES!$D$7)), "DENTRO", "FORA"))</f>
        <v/>
      </c>
    </row>
    <row r="1574" spans="2:6" x14ac:dyDescent="0.2">
      <c r="B1574" s="44"/>
      <c r="C1574" s="44"/>
      <c r="D1574" s="44"/>
      <c r="E1574" s="42"/>
      <c r="F1574" s="43" t="str">
        <f>IF(E1574="", "", IF(AND(E1574&gt;='PAINEL DE CONTROLE'!$C$5*(1-CONFIGURAÇÕES!$D$7), E1574&lt;='PAINEL DE CONTROLE'!$C$5*(1+CONFIGURAÇÕES!$D$7)), "DENTRO", "FORA"))</f>
        <v/>
      </c>
    </row>
    <row r="1575" spans="2:6" x14ac:dyDescent="0.2">
      <c r="B1575" s="44"/>
      <c r="C1575" s="44"/>
      <c r="D1575" s="44"/>
      <c r="E1575" s="42"/>
      <c r="F1575" s="43" t="str">
        <f>IF(E1575="", "", IF(AND(E1575&gt;='PAINEL DE CONTROLE'!$C$5*(1-CONFIGURAÇÕES!$D$7), E1575&lt;='PAINEL DE CONTROLE'!$C$5*(1+CONFIGURAÇÕES!$D$7)), "DENTRO", "FORA"))</f>
        <v/>
      </c>
    </row>
    <row r="1576" spans="2:6" x14ac:dyDescent="0.2">
      <c r="B1576" s="44"/>
      <c r="C1576" s="44"/>
      <c r="D1576" s="44"/>
      <c r="E1576" s="42"/>
      <c r="F1576" s="43" t="str">
        <f>IF(E1576="", "", IF(AND(E1576&gt;='PAINEL DE CONTROLE'!$C$5*(1-CONFIGURAÇÕES!$D$7), E1576&lt;='PAINEL DE CONTROLE'!$C$5*(1+CONFIGURAÇÕES!$D$7)), "DENTRO", "FORA"))</f>
        <v/>
      </c>
    </row>
    <row r="1577" spans="2:6" x14ac:dyDescent="0.2">
      <c r="B1577" s="44"/>
      <c r="C1577" s="44"/>
      <c r="D1577" s="44"/>
      <c r="E1577" s="42"/>
      <c r="F1577" s="43" t="str">
        <f>IF(E1577="", "", IF(AND(E1577&gt;='PAINEL DE CONTROLE'!$C$5*(1-CONFIGURAÇÕES!$D$7), E1577&lt;='PAINEL DE CONTROLE'!$C$5*(1+CONFIGURAÇÕES!$D$7)), "DENTRO", "FORA"))</f>
        <v/>
      </c>
    </row>
    <row r="1578" spans="2:6" x14ac:dyDescent="0.2">
      <c r="B1578" s="44"/>
      <c r="C1578" s="44"/>
      <c r="D1578" s="44"/>
      <c r="E1578" s="42"/>
      <c r="F1578" s="43" t="str">
        <f>IF(E1578="", "", IF(AND(E1578&gt;='PAINEL DE CONTROLE'!$C$5*(1-CONFIGURAÇÕES!$D$7), E1578&lt;='PAINEL DE CONTROLE'!$C$5*(1+CONFIGURAÇÕES!$D$7)), "DENTRO", "FORA"))</f>
        <v/>
      </c>
    </row>
    <row r="1579" spans="2:6" x14ac:dyDescent="0.2">
      <c r="B1579" s="44"/>
      <c r="C1579" s="44"/>
      <c r="D1579" s="44"/>
      <c r="E1579" s="42"/>
      <c r="F1579" s="43" t="str">
        <f>IF(E1579="", "", IF(AND(E1579&gt;='PAINEL DE CONTROLE'!$C$5*(1-CONFIGURAÇÕES!$D$7), E1579&lt;='PAINEL DE CONTROLE'!$C$5*(1+CONFIGURAÇÕES!$D$7)), "DENTRO", "FORA"))</f>
        <v/>
      </c>
    </row>
    <row r="1580" spans="2:6" x14ac:dyDescent="0.2">
      <c r="B1580" s="44"/>
      <c r="C1580" s="44"/>
      <c r="D1580" s="44"/>
      <c r="E1580" s="42"/>
      <c r="F1580" s="43" t="str">
        <f>IF(E1580="", "", IF(AND(E1580&gt;='PAINEL DE CONTROLE'!$C$5*(1-CONFIGURAÇÕES!$D$7), E1580&lt;='PAINEL DE CONTROLE'!$C$5*(1+CONFIGURAÇÕES!$D$7)), "DENTRO", "FORA"))</f>
        <v/>
      </c>
    </row>
    <row r="1581" spans="2:6" x14ac:dyDescent="0.2">
      <c r="B1581" s="44"/>
      <c r="C1581" s="44"/>
      <c r="D1581" s="44"/>
      <c r="E1581" s="42"/>
      <c r="F1581" s="43" t="str">
        <f>IF(E1581="", "", IF(AND(E1581&gt;='PAINEL DE CONTROLE'!$C$5*(1-CONFIGURAÇÕES!$D$7), E1581&lt;='PAINEL DE CONTROLE'!$C$5*(1+CONFIGURAÇÕES!$D$7)), "DENTRO", "FORA"))</f>
        <v/>
      </c>
    </row>
    <row r="1582" spans="2:6" x14ac:dyDescent="0.2">
      <c r="B1582" s="44"/>
      <c r="C1582" s="44"/>
      <c r="D1582" s="44"/>
      <c r="E1582" s="42"/>
      <c r="F1582" s="43" t="str">
        <f>IF(E1582="", "", IF(AND(E1582&gt;='PAINEL DE CONTROLE'!$C$5*(1-CONFIGURAÇÕES!$D$7), E1582&lt;='PAINEL DE CONTROLE'!$C$5*(1+CONFIGURAÇÕES!$D$7)), "DENTRO", "FORA"))</f>
        <v/>
      </c>
    </row>
    <row r="1583" spans="2:6" x14ac:dyDescent="0.2">
      <c r="B1583" s="44"/>
      <c r="C1583" s="44"/>
      <c r="D1583" s="44"/>
      <c r="E1583" s="42"/>
      <c r="F1583" s="43" t="str">
        <f>IF(E1583="", "", IF(AND(E1583&gt;='PAINEL DE CONTROLE'!$C$5*(1-CONFIGURAÇÕES!$D$7), E1583&lt;='PAINEL DE CONTROLE'!$C$5*(1+CONFIGURAÇÕES!$D$7)), "DENTRO", "FORA"))</f>
        <v/>
      </c>
    </row>
    <row r="1584" spans="2:6" x14ac:dyDescent="0.2">
      <c r="B1584" s="44"/>
      <c r="C1584" s="44"/>
      <c r="D1584" s="44"/>
      <c r="E1584" s="42"/>
      <c r="F1584" s="43" t="str">
        <f>IF(E1584="", "", IF(AND(E1584&gt;='PAINEL DE CONTROLE'!$C$5*(1-CONFIGURAÇÕES!$D$7), E1584&lt;='PAINEL DE CONTROLE'!$C$5*(1+CONFIGURAÇÕES!$D$7)), "DENTRO", "FORA"))</f>
        <v/>
      </c>
    </row>
    <row r="1585" spans="2:6" x14ac:dyDescent="0.2">
      <c r="B1585" s="44"/>
      <c r="C1585" s="44"/>
      <c r="D1585" s="44"/>
      <c r="E1585" s="42"/>
      <c r="F1585" s="43" t="str">
        <f>IF(E1585="", "", IF(AND(E1585&gt;='PAINEL DE CONTROLE'!$C$5*(1-CONFIGURAÇÕES!$D$7), E1585&lt;='PAINEL DE CONTROLE'!$C$5*(1+CONFIGURAÇÕES!$D$7)), "DENTRO", "FORA"))</f>
        <v/>
      </c>
    </row>
    <row r="1586" spans="2:6" x14ac:dyDescent="0.2">
      <c r="B1586" s="44"/>
      <c r="C1586" s="44"/>
      <c r="D1586" s="44"/>
      <c r="E1586" s="42"/>
      <c r="F1586" s="43" t="str">
        <f>IF(E1586="", "", IF(AND(E1586&gt;='PAINEL DE CONTROLE'!$C$5*(1-CONFIGURAÇÕES!$D$7), E1586&lt;='PAINEL DE CONTROLE'!$C$5*(1+CONFIGURAÇÕES!$D$7)), "DENTRO", "FORA"))</f>
        <v/>
      </c>
    </row>
    <row r="1587" spans="2:6" x14ac:dyDescent="0.2">
      <c r="B1587" s="44"/>
      <c r="C1587" s="44"/>
      <c r="D1587" s="44"/>
      <c r="E1587" s="42"/>
      <c r="F1587" s="43" t="str">
        <f>IF(E1587="", "", IF(AND(E1587&gt;='PAINEL DE CONTROLE'!$C$5*(1-CONFIGURAÇÕES!$D$7), E1587&lt;='PAINEL DE CONTROLE'!$C$5*(1+CONFIGURAÇÕES!$D$7)), "DENTRO", "FORA"))</f>
        <v/>
      </c>
    </row>
    <row r="1588" spans="2:6" x14ac:dyDescent="0.2">
      <c r="B1588" s="44"/>
      <c r="C1588" s="44"/>
      <c r="D1588" s="44"/>
      <c r="E1588" s="42"/>
      <c r="F1588" s="43" t="str">
        <f>IF(E1588="", "", IF(AND(E1588&gt;='PAINEL DE CONTROLE'!$C$5*(1-CONFIGURAÇÕES!$D$7), E1588&lt;='PAINEL DE CONTROLE'!$C$5*(1+CONFIGURAÇÕES!$D$7)), "DENTRO", "FORA"))</f>
        <v/>
      </c>
    </row>
    <row r="1589" spans="2:6" x14ac:dyDescent="0.2">
      <c r="B1589" s="44"/>
      <c r="C1589" s="44"/>
      <c r="D1589" s="44"/>
      <c r="E1589" s="42"/>
      <c r="F1589" s="43" t="str">
        <f>IF(E1589="", "", IF(AND(E1589&gt;='PAINEL DE CONTROLE'!$C$5*(1-CONFIGURAÇÕES!$D$7), E1589&lt;='PAINEL DE CONTROLE'!$C$5*(1+CONFIGURAÇÕES!$D$7)), "DENTRO", "FORA"))</f>
        <v/>
      </c>
    </row>
    <row r="1590" spans="2:6" x14ac:dyDescent="0.2">
      <c r="B1590" s="44"/>
      <c r="C1590" s="44"/>
      <c r="D1590" s="44"/>
      <c r="E1590" s="42"/>
      <c r="F1590" s="43" t="str">
        <f>IF(E1590="", "", IF(AND(E1590&gt;='PAINEL DE CONTROLE'!$C$5*(1-CONFIGURAÇÕES!$D$7), E1590&lt;='PAINEL DE CONTROLE'!$C$5*(1+CONFIGURAÇÕES!$D$7)), "DENTRO", "FORA"))</f>
        <v/>
      </c>
    </row>
    <row r="1591" spans="2:6" x14ac:dyDescent="0.2">
      <c r="B1591" s="44"/>
      <c r="C1591" s="44"/>
      <c r="D1591" s="44"/>
      <c r="E1591" s="42"/>
      <c r="F1591" s="43" t="str">
        <f>IF(E1591="", "", IF(AND(E1591&gt;='PAINEL DE CONTROLE'!$C$5*(1-CONFIGURAÇÕES!$D$7), E1591&lt;='PAINEL DE CONTROLE'!$C$5*(1+CONFIGURAÇÕES!$D$7)), "DENTRO", "FORA"))</f>
        <v/>
      </c>
    </row>
    <row r="1592" spans="2:6" x14ac:dyDescent="0.2">
      <c r="B1592" s="44"/>
      <c r="C1592" s="44"/>
      <c r="D1592" s="44"/>
      <c r="E1592" s="42"/>
      <c r="F1592" s="43" t="str">
        <f>IF(E1592="", "", IF(AND(E1592&gt;='PAINEL DE CONTROLE'!$C$5*(1-CONFIGURAÇÕES!$D$7), E1592&lt;='PAINEL DE CONTROLE'!$C$5*(1+CONFIGURAÇÕES!$D$7)), "DENTRO", "FORA"))</f>
        <v/>
      </c>
    </row>
    <row r="1593" spans="2:6" x14ac:dyDescent="0.2">
      <c r="B1593" s="44"/>
      <c r="C1593" s="44"/>
      <c r="D1593" s="44"/>
      <c r="E1593" s="42"/>
      <c r="F1593" s="43" t="str">
        <f>IF(E1593="", "", IF(AND(E1593&gt;='PAINEL DE CONTROLE'!$C$5*(1-CONFIGURAÇÕES!$D$7), E1593&lt;='PAINEL DE CONTROLE'!$C$5*(1+CONFIGURAÇÕES!$D$7)), "DENTRO", "FORA"))</f>
        <v/>
      </c>
    </row>
    <row r="1594" spans="2:6" x14ac:dyDescent="0.2">
      <c r="B1594" s="44"/>
      <c r="C1594" s="44"/>
      <c r="D1594" s="44"/>
      <c r="E1594" s="42"/>
      <c r="F1594" s="43" t="str">
        <f>IF(E1594="", "", IF(AND(E1594&gt;='PAINEL DE CONTROLE'!$C$5*(1-CONFIGURAÇÕES!$D$7), E1594&lt;='PAINEL DE CONTROLE'!$C$5*(1+CONFIGURAÇÕES!$D$7)), "DENTRO", "FORA"))</f>
        <v/>
      </c>
    </row>
    <row r="1595" spans="2:6" x14ac:dyDescent="0.2">
      <c r="B1595" s="44"/>
      <c r="C1595" s="44"/>
      <c r="D1595" s="44"/>
      <c r="E1595" s="42"/>
      <c r="F1595" s="43" t="str">
        <f>IF(E1595="", "", IF(AND(E1595&gt;='PAINEL DE CONTROLE'!$C$5*(1-CONFIGURAÇÕES!$D$7), E1595&lt;='PAINEL DE CONTROLE'!$C$5*(1+CONFIGURAÇÕES!$D$7)), "DENTRO", "FORA"))</f>
        <v/>
      </c>
    </row>
    <row r="1596" spans="2:6" x14ac:dyDescent="0.2">
      <c r="B1596" s="44"/>
      <c r="C1596" s="44"/>
      <c r="D1596" s="44"/>
      <c r="E1596" s="42"/>
      <c r="F1596" s="43" t="str">
        <f>IF(E1596="", "", IF(AND(E1596&gt;='PAINEL DE CONTROLE'!$C$5*(1-CONFIGURAÇÕES!$D$7), E1596&lt;='PAINEL DE CONTROLE'!$C$5*(1+CONFIGURAÇÕES!$D$7)), "DENTRO", "FORA"))</f>
        <v/>
      </c>
    </row>
    <row r="1597" spans="2:6" x14ac:dyDescent="0.2">
      <c r="B1597" s="44"/>
      <c r="C1597" s="44"/>
      <c r="D1597" s="44"/>
      <c r="E1597" s="42"/>
      <c r="F1597" s="43" t="str">
        <f>IF(E1597="", "", IF(AND(E1597&gt;='PAINEL DE CONTROLE'!$C$5*(1-CONFIGURAÇÕES!$D$7), E1597&lt;='PAINEL DE CONTROLE'!$C$5*(1+CONFIGURAÇÕES!$D$7)), "DENTRO", "FORA"))</f>
        <v/>
      </c>
    </row>
    <row r="1598" spans="2:6" x14ac:dyDescent="0.2">
      <c r="B1598" s="44"/>
      <c r="C1598" s="44"/>
      <c r="D1598" s="44"/>
      <c r="E1598" s="42"/>
      <c r="F1598" s="43" t="str">
        <f>IF(E1598="", "", IF(AND(E1598&gt;='PAINEL DE CONTROLE'!$C$5*(1-CONFIGURAÇÕES!$D$7), E1598&lt;='PAINEL DE CONTROLE'!$C$5*(1+CONFIGURAÇÕES!$D$7)), "DENTRO", "FORA"))</f>
        <v/>
      </c>
    </row>
    <row r="1599" spans="2:6" x14ac:dyDescent="0.2">
      <c r="B1599" s="44"/>
      <c r="C1599" s="44"/>
      <c r="D1599" s="44"/>
      <c r="E1599" s="42"/>
      <c r="F1599" s="43" t="str">
        <f>IF(E1599="", "", IF(AND(E1599&gt;='PAINEL DE CONTROLE'!$C$5*(1-CONFIGURAÇÕES!$D$7), E1599&lt;='PAINEL DE CONTROLE'!$C$5*(1+CONFIGURAÇÕES!$D$7)), "DENTRO", "FORA"))</f>
        <v/>
      </c>
    </row>
    <row r="1600" spans="2:6" x14ac:dyDescent="0.2">
      <c r="B1600" s="44"/>
      <c r="C1600" s="44"/>
      <c r="D1600" s="44"/>
      <c r="E1600" s="42"/>
      <c r="F1600" s="43" t="str">
        <f>IF(E1600="", "", IF(AND(E1600&gt;='PAINEL DE CONTROLE'!$C$5*(1-CONFIGURAÇÕES!$D$7), E1600&lt;='PAINEL DE CONTROLE'!$C$5*(1+CONFIGURAÇÕES!$D$7)), "DENTRO", "FORA"))</f>
        <v/>
      </c>
    </row>
    <row r="1601" spans="2:6" x14ac:dyDescent="0.2">
      <c r="B1601" s="44"/>
      <c r="C1601" s="44"/>
      <c r="D1601" s="44"/>
      <c r="E1601" s="42"/>
      <c r="F1601" s="43" t="str">
        <f>IF(E1601="", "", IF(AND(E1601&gt;='PAINEL DE CONTROLE'!$C$5*(1-CONFIGURAÇÕES!$D$7), E1601&lt;='PAINEL DE CONTROLE'!$C$5*(1+CONFIGURAÇÕES!$D$7)), "DENTRO", "FORA"))</f>
        <v/>
      </c>
    </row>
    <row r="1602" spans="2:6" x14ac:dyDescent="0.2">
      <c r="B1602" s="44"/>
      <c r="C1602" s="44"/>
      <c r="D1602" s="44"/>
      <c r="E1602" s="42"/>
      <c r="F1602" s="43" t="str">
        <f>IF(E1602="", "", IF(AND(E1602&gt;='PAINEL DE CONTROLE'!$C$5*(1-CONFIGURAÇÕES!$D$7), E1602&lt;='PAINEL DE CONTROLE'!$C$5*(1+CONFIGURAÇÕES!$D$7)), "DENTRO", "FORA"))</f>
        <v/>
      </c>
    </row>
    <row r="1603" spans="2:6" x14ac:dyDescent="0.2">
      <c r="B1603" s="44"/>
      <c r="C1603" s="44"/>
      <c r="D1603" s="44"/>
      <c r="E1603" s="42"/>
      <c r="F1603" s="43" t="str">
        <f>IF(E1603="", "", IF(AND(E1603&gt;='PAINEL DE CONTROLE'!$C$5*(1-CONFIGURAÇÕES!$D$7), E1603&lt;='PAINEL DE CONTROLE'!$C$5*(1+CONFIGURAÇÕES!$D$7)), "DENTRO", "FORA"))</f>
        <v/>
      </c>
    </row>
    <row r="1604" spans="2:6" x14ac:dyDescent="0.2">
      <c r="B1604" s="44"/>
      <c r="C1604" s="44"/>
      <c r="D1604" s="44"/>
      <c r="E1604" s="42"/>
      <c r="F1604" s="43" t="str">
        <f>IF(E1604="", "", IF(AND(E1604&gt;='PAINEL DE CONTROLE'!$C$5*(1-CONFIGURAÇÕES!$D$7), E1604&lt;='PAINEL DE CONTROLE'!$C$5*(1+CONFIGURAÇÕES!$D$7)), "DENTRO", "FORA"))</f>
        <v/>
      </c>
    </row>
    <row r="1605" spans="2:6" x14ac:dyDescent="0.2">
      <c r="B1605" s="44"/>
      <c r="C1605" s="44"/>
      <c r="D1605" s="44"/>
      <c r="E1605" s="42"/>
      <c r="F1605" s="43" t="str">
        <f>IF(E1605="", "", IF(AND(E1605&gt;='PAINEL DE CONTROLE'!$C$5*(1-CONFIGURAÇÕES!$D$7), E1605&lt;='PAINEL DE CONTROLE'!$C$5*(1+CONFIGURAÇÕES!$D$7)), "DENTRO", "FORA"))</f>
        <v/>
      </c>
    </row>
    <row r="1606" spans="2:6" x14ac:dyDescent="0.2">
      <c r="B1606" s="44"/>
      <c r="C1606" s="44"/>
      <c r="D1606" s="44"/>
      <c r="E1606" s="42"/>
      <c r="F1606" s="43" t="str">
        <f>IF(E1606="", "", IF(AND(E1606&gt;='PAINEL DE CONTROLE'!$C$5*(1-CONFIGURAÇÕES!$D$7), E1606&lt;='PAINEL DE CONTROLE'!$C$5*(1+CONFIGURAÇÕES!$D$7)), "DENTRO", "FORA"))</f>
        <v/>
      </c>
    </row>
    <row r="1607" spans="2:6" x14ac:dyDescent="0.2">
      <c r="B1607" s="44"/>
      <c r="C1607" s="44"/>
      <c r="D1607" s="44"/>
      <c r="E1607" s="42"/>
      <c r="F1607" s="43" t="str">
        <f>IF(E1607="", "", IF(AND(E1607&gt;='PAINEL DE CONTROLE'!$C$5*(1-CONFIGURAÇÕES!$D$7), E1607&lt;='PAINEL DE CONTROLE'!$C$5*(1+CONFIGURAÇÕES!$D$7)), "DENTRO", "FORA"))</f>
        <v/>
      </c>
    </row>
    <row r="1608" spans="2:6" x14ac:dyDescent="0.2">
      <c r="B1608" s="44"/>
      <c r="C1608" s="44"/>
      <c r="D1608" s="44"/>
      <c r="E1608" s="42"/>
      <c r="F1608" s="43" t="str">
        <f>IF(E1608="", "", IF(AND(E1608&gt;='PAINEL DE CONTROLE'!$C$5*(1-CONFIGURAÇÕES!$D$7), E1608&lt;='PAINEL DE CONTROLE'!$C$5*(1+CONFIGURAÇÕES!$D$7)), "DENTRO", "FORA"))</f>
        <v/>
      </c>
    </row>
    <row r="1609" spans="2:6" x14ac:dyDescent="0.2">
      <c r="B1609" s="44"/>
      <c r="C1609" s="44"/>
      <c r="D1609" s="44"/>
      <c r="E1609" s="42"/>
      <c r="F1609" s="43" t="str">
        <f>IF(E1609="", "", IF(AND(E1609&gt;='PAINEL DE CONTROLE'!$C$5*(1-CONFIGURAÇÕES!$D$7), E1609&lt;='PAINEL DE CONTROLE'!$C$5*(1+CONFIGURAÇÕES!$D$7)), "DENTRO", "FORA"))</f>
        <v/>
      </c>
    </row>
    <row r="1610" spans="2:6" x14ac:dyDescent="0.2">
      <c r="B1610" s="44"/>
      <c r="C1610" s="44"/>
      <c r="D1610" s="44"/>
      <c r="E1610" s="42"/>
      <c r="F1610" s="43" t="str">
        <f>IF(E1610="", "", IF(AND(E1610&gt;='PAINEL DE CONTROLE'!$C$5*(1-CONFIGURAÇÕES!$D$7), E1610&lt;='PAINEL DE CONTROLE'!$C$5*(1+CONFIGURAÇÕES!$D$7)), "DENTRO", "FORA"))</f>
        <v/>
      </c>
    </row>
    <row r="1611" spans="2:6" x14ac:dyDescent="0.2">
      <c r="B1611" s="44"/>
      <c r="C1611" s="44"/>
      <c r="D1611" s="44"/>
      <c r="E1611" s="42"/>
      <c r="F1611" s="43" t="str">
        <f>IF(E1611="", "", IF(AND(E1611&gt;='PAINEL DE CONTROLE'!$C$5*(1-CONFIGURAÇÕES!$D$7), E1611&lt;='PAINEL DE CONTROLE'!$C$5*(1+CONFIGURAÇÕES!$D$7)), "DENTRO", "FORA"))</f>
        <v/>
      </c>
    </row>
    <row r="1612" spans="2:6" x14ac:dyDescent="0.2">
      <c r="B1612" s="44"/>
      <c r="C1612" s="44"/>
      <c r="D1612" s="44"/>
      <c r="E1612" s="42"/>
      <c r="F1612" s="43" t="str">
        <f>IF(E1612="", "", IF(AND(E1612&gt;='PAINEL DE CONTROLE'!$C$5*(1-CONFIGURAÇÕES!$D$7), E1612&lt;='PAINEL DE CONTROLE'!$C$5*(1+CONFIGURAÇÕES!$D$7)), "DENTRO", "FORA"))</f>
        <v/>
      </c>
    </row>
    <row r="1613" spans="2:6" x14ac:dyDescent="0.2">
      <c r="B1613" s="44"/>
      <c r="C1613" s="44"/>
      <c r="D1613" s="44"/>
      <c r="E1613" s="42"/>
      <c r="F1613" s="43" t="str">
        <f>IF(E1613="", "", IF(AND(E1613&gt;='PAINEL DE CONTROLE'!$C$5*(1-CONFIGURAÇÕES!$D$7), E1613&lt;='PAINEL DE CONTROLE'!$C$5*(1+CONFIGURAÇÕES!$D$7)), "DENTRO", "FORA"))</f>
        <v/>
      </c>
    </row>
    <row r="1614" spans="2:6" x14ac:dyDescent="0.2">
      <c r="B1614" s="44"/>
      <c r="C1614" s="44"/>
      <c r="D1614" s="44"/>
      <c r="E1614" s="42"/>
      <c r="F1614" s="43" t="str">
        <f>IF(E1614="", "", IF(AND(E1614&gt;='PAINEL DE CONTROLE'!$C$5*(1-CONFIGURAÇÕES!$D$7), E1614&lt;='PAINEL DE CONTROLE'!$C$5*(1+CONFIGURAÇÕES!$D$7)), "DENTRO", "FORA"))</f>
        <v/>
      </c>
    </row>
    <row r="1615" spans="2:6" x14ac:dyDescent="0.2">
      <c r="B1615" s="44"/>
      <c r="C1615" s="44"/>
      <c r="D1615" s="44"/>
      <c r="E1615" s="42"/>
      <c r="F1615" s="43" t="str">
        <f>IF(E1615="", "", IF(AND(E1615&gt;='PAINEL DE CONTROLE'!$C$5*(1-CONFIGURAÇÕES!$D$7), E1615&lt;='PAINEL DE CONTROLE'!$C$5*(1+CONFIGURAÇÕES!$D$7)), "DENTRO", "FORA"))</f>
        <v/>
      </c>
    </row>
    <row r="1616" spans="2:6" x14ac:dyDescent="0.2">
      <c r="B1616" s="44"/>
      <c r="C1616" s="44"/>
      <c r="D1616" s="44"/>
      <c r="E1616" s="42"/>
      <c r="F1616" s="43" t="str">
        <f>IF(E1616="", "", IF(AND(E1616&gt;='PAINEL DE CONTROLE'!$C$5*(1-CONFIGURAÇÕES!$D$7), E1616&lt;='PAINEL DE CONTROLE'!$C$5*(1+CONFIGURAÇÕES!$D$7)), "DENTRO", "FORA"))</f>
        <v/>
      </c>
    </row>
    <row r="1617" spans="2:6" x14ac:dyDescent="0.2">
      <c r="B1617" s="44"/>
      <c r="C1617" s="44"/>
      <c r="D1617" s="44"/>
      <c r="E1617" s="42"/>
      <c r="F1617" s="43" t="str">
        <f>IF(E1617="", "", IF(AND(E1617&gt;='PAINEL DE CONTROLE'!$C$5*(1-CONFIGURAÇÕES!$D$7), E1617&lt;='PAINEL DE CONTROLE'!$C$5*(1+CONFIGURAÇÕES!$D$7)), "DENTRO", "FORA"))</f>
        <v/>
      </c>
    </row>
    <row r="1618" spans="2:6" x14ac:dyDescent="0.2">
      <c r="B1618" s="44"/>
      <c r="C1618" s="44"/>
      <c r="D1618" s="44"/>
      <c r="E1618" s="42"/>
      <c r="F1618" s="43" t="str">
        <f>IF(E1618="", "", IF(AND(E1618&gt;='PAINEL DE CONTROLE'!$C$5*(1-CONFIGURAÇÕES!$D$7), E1618&lt;='PAINEL DE CONTROLE'!$C$5*(1+CONFIGURAÇÕES!$D$7)), "DENTRO", "FORA"))</f>
        <v/>
      </c>
    </row>
    <row r="1619" spans="2:6" x14ac:dyDescent="0.2">
      <c r="B1619" s="44"/>
      <c r="C1619" s="44"/>
      <c r="D1619" s="44"/>
      <c r="E1619" s="42"/>
      <c r="F1619" s="43" t="str">
        <f>IF(E1619="", "", IF(AND(E1619&gt;='PAINEL DE CONTROLE'!$C$5*(1-CONFIGURAÇÕES!$D$7), E1619&lt;='PAINEL DE CONTROLE'!$C$5*(1+CONFIGURAÇÕES!$D$7)), "DENTRO", "FORA"))</f>
        <v/>
      </c>
    </row>
    <row r="1620" spans="2:6" x14ac:dyDescent="0.2">
      <c r="B1620" s="44"/>
      <c r="C1620" s="44"/>
      <c r="D1620" s="44"/>
      <c r="E1620" s="42"/>
      <c r="F1620" s="43" t="str">
        <f>IF(E1620="", "", IF(AND(E1620&gt;='PAINEL DE CONTROLE'!$C$5*(1-CONFIGURAÇÕES!$D$7), E1620&lt;='PAINEL DE CONTROLE'!$C$5*(1+CONFIGURAÇÕES!$D$7)), "DENTRO", "FORA"))</f>
        <v/>
      </c>
    </row>
    <row r="1621" spans="2:6" x14ac:dyDescent="0.2">
      <c r="B1621" s="44"/>
      <c r="C1621" s="44"/>
      <c r="D1621" s="44"/>
      <c r="E1621" s="42"/>
      <c r="F1621" s="43" t="str">
        <f>IF(E1621="", "", IF(AND(E1621&gt;='PAINEL DE CONTROLE'!$C$5*(1-CONFIGURAÇÕES!$D$7), E1621&lt;='PAINEL DE CONTROLE'!$C$5*(1+CONFIGURAÇÕES!$D$7)), "DENTRO", "FORA"))</f>
        <v/>
      </c>
    </row>
    <row r="1622" spans="2:6" x14ac:dyDescent="0.2">
      <c r="B1622" s="44"/>
      <c r="C1622" s="44"/>
      <c r="D1622" s="44"/>
      <c r="E1622" s="42"/>
      <c r="F1622" s="43" t="str">
        <f>IF(E1622="", "", IF(AND(E1622&gt;='PAINEL DE CONTROLE'!$C$5*(1-CONFIGURAÇÕES!$D$7), E1622&lt;='PAINEL DE CONTROLE'!$C$5*(1+CONFIGURAÇÕES!$D$7)), "DENTRO", "FORA"))</f>
        <v/>
      </c>
    </row>
    <row r="1623" spans="2:6" x14ac:dyDescent="0.2">
      <c r="B1623" s="44"/>
      <c r="C1623" s="44"/>
      <c r="D1623" s="44"/>
      <c r="E1623" s="42"/>
      <c r="F1623" s="43" t="str">
        <f>IF(E1623="", "", IF(AND(E1623&gt;='PAINEL DE CONTROLE'!$C$5*(1-CONFIGURAÇÕES!$D$7), E1623&lt;='PAINEL DE CONTROLE'!$C$5*(1+CONFIGURAÇÕES!$D$7)), "DENTRO", "FORA"))</f>
        <v/>
      </c>
    </row>
    <row r="1624" spans="2:6" x14ac:dyDescent="0.2">
      <c r="B1624" s="44"/>
      <c r="C1624" s="44"/>
      <c r="D1624" s="44"/>
      <c r="E1624" s="42"/>
      <c r="F1624" s="43" t="str">
        <f>IF(E1624="", "", IF(AND(E1624&gt;='PAINEL DE CONTROLE'!$C$5*(1-CONFIGURAÇÕES!$D$7), E1624&lt;='PAINEL DE CONTROLE'!$C$5*(1+CONFIGURAÇÕES!$D$7)), "DENTRO", "FORA"))</f>
        <v/>
      </c>
    </row>
    <row r="1625" spans="2:6" x14ac:dyDescent="0.2">
      <c r="B1625" s="44"/>
      <c r="C1625" s="44"/>
      <c r="D1625" s="44"/>
      <c r="E1625" s="42"/>
      <c r="F1625" s="43" t="str">
        <f>IF(E1625="", "", IF(AND(E1625&gt;='PAINEL DE CONTROLE'!$C$5*(1-CONFIGURAÇÕES!$D$7), E1625&lt;='PAINEL DE CONTROLE'!$C$5*(1+CONFIGURAÇÕES!$D$7)), "DENTRO", "FORA"))</f>
        <v/>
      </c>
    </row>
    <row r="1626" spans="2:6" x14ac:dyDescent="0.2">
      <c r="B1626" s="44"/>
      <c r="C1626" s="44"/>
      <c r="D1626" s="44"/>
      <c r="E1626" s="42"/>
      <c r="F1626" s="43" t="str">
        <f>IF(E1626="", "", IF(AND(E1626&gt;='PAINEL DE CONTROLE'!$C$5*(1-CONFIGURAÇÕES!$D$7), E1626&lt;='PAINEL DE CONTROLE'!$C$5*(1+CONFIGURAÇÕES!$D$7)), "DENTRO", "FORA"))</f>
        <v/>
      </c>
    </row>
    <row r="1627" spans="2:6" x14ac:dyDescent="0.2">
      <c r="B1627" s="44"/>
      <c r="C1627" s="44"/>
      <c r="D1627" s="44"/>
      <c r="E1627" s="42"/>
      <c r="F1627" s="43" t="str">
        <f>IF(E1627="", "", IF(AND(E1627&gt;='PAINEL DE CONTROLE'!$C$5*(1-CONFIGURAÇÕES!$D$7), E1627&lt;='PAINEL DE CONTROLE'!$C$5*(1+CONFIGURAÇÕES!$D$7)), "DENTRO", "FORA"))</f>
        <v/>
      </c>
    </row>
    <row r="1628" spans="2:6" x14ac:dyDescent="0.2">
      <c r="B1628" s="44"/>
      <c r="C1628" s="44"/>
      <c r="D1628" s="44"/>
      <c r="E1628" s="42"/>
      <c r="F1628" s="43" t="str">
        <f>IF(E1628="", "", IF(AND(E1628&gt;='PAINEL DE CONTROLE'!$C$5*(1-CONFIGURAÇÕES!$D$7), E1628&lt;='PAINEL DE CONTROLE'!$C$5*(1+CONFIGURAÇÕES!$D$7)), "DENTRO", "FORA"))</f>
        <v/>
      </c>
    </row>
    <row r="1629" spans="2:6" x14ac:dyDescent="0.2">
      <c r="B1629" s="44"/>
      <c r="C1629" s="44"/>
      <c r="D1629" s="44"/>
      <c r="E1629" s="42"/>
      <c r="F1629" s="43" t="str">
        <f>IF(E1629="", "", IF(AND(E1629&gt;='PAINEL DE CONTROLE'!$C$5*(1-CONFIGURAÇÕES!$D$7), E1629&lt;='PAINEL DE CONTROLE'!$C$5*(1+CONFIGURAÇÕES!$D$7)), "DENTRO", "FORA"))</f>
        <v/>
      </c>
    </row>
    <row r="1630" spans="2:6" x14ac:dyDescent="0.2">
      <c r="B1630" s="44"/>
      <c r="C1630" s="44"/>
      <c r="D1630" s="44"/>
      <c r="E1630" s="42"/>
      <c r="F1630" s="43" t="str">
        <f>IF(E1630="", "", IF(AND(E1630&gt;='PAINEL DE CONTROLE'!$C$5*(1-CONFIGURAÇÕES!$D$7), E1630&lt;='PAINEL DE CONTROLE'!$C$5*(1+CONFIGURAÇÕES!$D$7)), "DENTRO", "FORA"))</f>
        <v/>
      </c>
    </row>
    <row r="1631" spans="2:6" x14ac:dyDescent="0.2">
      <c r="B1631" s="44"/>
      <c r="C1631" s="44"/>
      <c r="D1631" s="44"/>
      <c r="E1631" s="42"/>
      <c r="F1631" s="43" t="str">
        <f>IF(E1631="", "", IF(AND(E1631&gt;='PAINEL DE CONTROLE'!$C$5*(1-CONFIGURAÇÕES!$D$7), E1631&lt;='PAINEL DE CONTROLE'!$C$5*(1+CONFIGURAÇÕES!$D$7)), "DENTRO", "FORA"))</f>
        <v/>
      </c>
    </row>
    <row r="1632" spans="2:6" x14ac:dyDescent="0.2">
      <c r="B1632" s="44"/>
      <c r="C1632" s="44"/>
      <c r="D1632" s="44"/>
      <c r="E1632" s="42"/>
      <c r="F1632" s="43" t="str">
        <f>IF(E1632="", "", IF(AND(E1632&gt;='PAINEL DE CONTROLE'!$C$5*(1-CONFIGURAÇÕES!$D$7), E1632&lt;='PAINEL DE CONTROLE'!$C$5*(1+CONFIGURAÇÕES!$D$7)), "DENTRO", "FORA"))</f>
        <v/>
      </c>
    </row>
    <row r="1633" spans="2:6" x14ac:dyDescent="0.2">
      <c r="B1633" s="44"/>
      <c r="C1633" s="44"/>
      <c r="D1633" s="44"/>
      <c r="E1633" s="42"/>
      <c r="F1633" s="43" t="str">
        <f>IF(E1633="", "", IF(AND(E1633&gt;='PAINEL DE CONTROLE'!$C$5*(1-CONFIGURAÇÕES!$D$7), E1633&lt;='PAINEL DE CONTROLE'!$C$5*(1+CONFIGURAÇÕES!$D$7)), "DENTRO", "FORA"))</f>
        <v/>
      </c>
    </row>
    <row r="1634" spans="2:6" x14ac:dyDescent="0.2">
      <c r="B1634" s="44"/>
      <c r="C1634" s="44"/>
      <c r="D1634" s="44"/>
      <c r="E1634" s="42"/>
      <c r="F1634" s="43" t="str">
        <f>IF(E1634="", "", IF(AND(E1634&gt;='PAINEL DE CONTROLE'!$C$5*(1-CONFIGURAÇÕES!$D$7), E1634&lt;='PAINEL DE CONTROLE'!$C$5*(1+CONFIGURAÇÕES!$D$7)), "DENTRO", "FORA"))</f>
        <v/>
      </c>
    </row>
    <row r="1635" spans="2:6" x14ac:dyDescent="0.2">
      <c r="B1635" s="44"/>
      <c r="C1635" s="44"/>
      <c r="D1635" s="44"/>
      <c r="E1635" s="42"/>
      <c r="F1635" s="43" t="str">
        <f>IF(E1635="", "", IF(AND(E1635&gt;='PAINEL DE CONTROLE'!$C$5*(1-CONFIGURAÇÕES!$D$7), E1635&lt;='PAINEL DE CONTROLE'!$C$5*(1+CONFIGURAÇÕES!$D$7)), "DENTRO", "FORA"))</f>
        <v/>
      </c>
    </row>
    <row r="1636" spans="2:6" x14ac:dyDescent="0.2">
      <c r="B1636" s="44"/>
      <c r="C1636" s="44"/>
      <c r="D1636" s="44"/>
      <c r="E1636" s="42"/>
      <c r="F1636" s="43" t="str">
        <f>IF(E1636="", "", IF(AND(E1636&gt;='PAINEL DE CONTROLE'!$C$5*(1-CONFIGURAÇÕES!$D$7), E1636&lt;='PAINEL DE CONTROLE'!$C$5*(1+CONFIGURAÇÕES!$D$7)), "DENTRO", "FORA"))</f>
        <v/>
      </c>
    </row>
    <row r="1637" spans="2:6" x14ac:dyDescent="0.2">
      <c r="B1637" s="44"/>
      <c r="C1637" s="44"/>
      <c r="D1637" s="44"/>
      <c r="E1637" s="42"/>
      <c r="F1637" s="43" t="str">
        <f>IF(E1637="", "", IF(AND(E1637&gt;='PAINEL DE CONTROLE'!$C$5*(1-CONFIGURAÇÕES!$D$7), E1637&lt;='PAINEL DE CONTROLE'!$C$5*(1+CONFIGURAÇÕES!$D$7)), "DENTRO", "FORA"))</f>
        <v/>
      </c>
    </row>
    <row r="1638" spans="2:6" x14ac:dyDescent="0.2">
      <c r="B1638" s="44"/>
      <c r="C1638" s="44"/>
      <c r="D1638" s="44"/>
      <c r="E1638" s="42"/>
      <c r="F1638" s="43" t="str">
        <f>IF(E1638="", "", IF(AND(E1638&gt;='PAINEL DE CONTROLE'!$C$5*(1-CONFIGURAÇÕES!$D$7), E1638&lt;='PAINEL DE CONTROLE'!$C$5*(1+CONFIGURAÇÕES!$D$7)), "DENTRO", "FORA"))</f>
        <v/>
      </c>
    </row>
    <row r="1639" spans="2:6" x14ac:dyDescent="0.2">
      <c r="B1639" s="44"/>
      <c r="C1639" s="44"/>
      <c r="D1639" s="44"/>
      <c r="E1639" s="42"/>
      <c r="F1639" s="43" t="str">
        <f>IF(E1639="", "", IF(AND(E1639&gt;='PAINEL DE CONTROLE'!$C$5*(1-CONFIGURAÇÕES!$D$7), E1639&lt;='PAINEL DE CONTROLE'!$C$5*(1+CONFIGURAÇÕES!$D$7)), "DENTRO", "FORA"))</f>
        <v/>
      </c>
    </row>
    <row r="1640" spans="2:6" x14ac:dyDescent="0.2">
      <c r="B1640" s="44"/>
      <c r="C1640" s="44"/>
      <c r="D1640" s="44"/>
      <c r="E1640" s="42"/>
      <c r="F1640" s="43" t="str">
        <f>IF(E1640="", "", IF(AND(E1640&gt;='PAINEL DE CONTROLE'!$C$5*(1-CONFIGURAÇÕES!$D$7), E1640&lt;='PAINEL DE CONTROLE'!$C$5*(1+CONFIGURAÇÕES!$D$7)), "DENTRO", "FORA"))</f>
        <v/>
      </c>
    </row>
    <row r="1641" spans="2:6" x14ac:dyDescent="0.2">
      <c r="B1641" s="44"/>
      <c r="C1641" s="44"/>
      <c r="D1641" s="44"/>
      <c r="E1641" s="42"/>
      <c r="F1641" s="43" t="str">
        <f>IF(E1641="", "", IF(AND(E1641&gt;='PAINEL DE CONTROLE'!$C$5*(1-CONFIGURAÇÕES!$D$7), E1641&lt;='PAINEL DE CONTROLE'!$C$5*(1+CONFIGURAÇÕES!$D$7)), "DENTRO", "FORA"))</f>
        <v/>
      </c>
    </row>
    <row r="1642" spans="2:6" x14ac:dyDescent="0.2">
      <c r="B1642" s="44"/>
      <c r="C1642" s="44"/>
      <c r="D1642" s="44"/>
      <c r="E1642" s="42"/>
      <c r="F1642" s="43" t="str">
        <f>IF(E1642="", "", IF(AND(E1642&gt;='PAINEL DE CONTROLE'!$C$5*(1-CONFIGURAÇÕES!$D$7), E1642&lt;='PAINEL DE CONTROLE'!$C$5*(1+CONFIGURAÇÕES!$D$7)), "DENTRO", "FORA"))</f>
        <v/>
      </c>
    </row>
    <row r="1643" spans="2:6" x14ac:dyDescent="0.2">
      <c r="B1643" s="44"/>
      <c r="C1643" s="44"/>
      <c r="D1643" s="44"/>
      <c r="E1643" s="42"/>
      <c r="F1643" s="43" t="str">
        <f>IF(E1643="", "", IF(AND(E1643&gt;='PAINEL DE CONTROLE'!$C$5*(1-CONFIGURAÇÕES!$D$7), E1643&lt;='PAINEL DE CONTROLE'!$C$5*(1+CONFIGURAÇÕES!$D$7)), "DENTRO", "FORA"))</f>
        <v/>
      </c>
    </row>
    <row r="1644" spans="2:6" x14ac:dyDescent="0.2">
      <c r="B1644" s="44"/>
      <c r="C1644" s="44"/>
      <c r="D1644" s="44"/>
      <c r="E1644" s="42"/>
      <c r="F1644" s="43" t="str">
        <f>IF(E1644="", "", IF(AND(E1644&gt;='PAINEL DE CONTROLE'!$C$5*(1-CONFIGURAÇÕES!$D$7), E1644&lt;='PAINEL DE CONTROLE'!$C$5*(1+CONFIGURAÇÕES!$D$7)), "DENTRO", "FORA"))</f>
        <v/>
      </c>
    </row>
    <row r="1645" spans="2:6" x14ac:dyDescent="0.2">
      <c r="B1645" s="44"/>
      <c r="C1645" s="44"/>
      <c r="D1645" s="44"/>
      <c r="E1645" s="42"/>
      <c r="F1645" s="43" t="str">
        <f>IF(E1645="", "", IF(AND(E1645&gt;='PAINEL DE CONTROLE'!$C$5*(1-CONFIGURAÇÕES!$D$7), E1645&lt;='PAINEL DE CONTROLE'!$C$5*(1+CONFIGURAÇÕES!$D$7)), "DENTRO", "FORA"))</f>
        <v/>
      </c>
    </row>
    <row r="1646" spans="2:6" x14ac:dyDescent="0.2">
      <c r="B1646" s="44"/>
      <c r="C1646" s="44"/>
      <c r="D1646" s="44"/>
      <c r="E1646" s="42"/>
      <c r="F1646" s="43" t="str">
        <f>IF(E1646="", "", IF(AND(E1646&gt;='PAINEL DE CONTROLE'!$C$5*(1-CONFIGURAÇÕES!$D$7), E1646&lt;='PAINEL DE CONTROLE'!$C$5*(1+CONFIGURAÇÕES!$D$7)), "DENTRO", "FORA"))</f>
        <v/>
      </c>
    </row>
    <row r="1647" spans="2:6" x14ac:dyDescent="0.2">
      <c r="B1647" s="44"/>
      <c r="C1647" s="44"/>
      <c r="D1647" s="44"/>
      <c r="E1647" s="42"/>
      <c r="F1647" s="43" t="str">
        <f>IF(E1647="", "", IF(AND(E1647&gt;='PAINEL DE CONTROLE'!$C$5*(1-CONFIGURAÇÕES!$D$7), E1647&lt;='PAINEL DE CONTROLE'!$C$5*(1+CONFIGURAÇÕES!$D$7)), "DENTRO", "FORA"))</f>
        <v/>
      </c>
    </row>
    <row r="1648" spans="2:6" x14ac:dyDescent="0.2">
      <c r="B1648" s="44"/>
      <c r="C1648" s="44"/>
      <c r="D1648" s="44"/>
      <c r="E1648" s="42"/>
      <c r="F1648" s="43" t="str">
        <f>IF(E1648="", "", IF(AND(E1648&gt;='PAINEL DE CONTROLE'!$C$5*(1-CONFIGURAÇÕES!$D$7), E1648&lt;='PAINEL DE CONTROLE'!$C$5*(1+CONFIGURAÇÕES!$D$7)), "DENTRO", "FORA"))</f>
        <v/>
      </c>
    </row>
    <row r="1649" spans="2:6" x14ac:dyDescent="0.2">
      <c r="B1649" s="44"/>
      <c r="C1649" s="44"/>
      <c r="D1649" s="44"/>
      <c r="E1649" s="42"/>
      <c r="F1649" s="43" t="str">
        <f>IF(E1649="", "", IF(AND(E1649&gt;='PAINEL DE CONTROLE'!$C$5*(1-CONFIGURAÇÕES!$D$7), E1649&lt;='PAINEL DE CONTROLE'!$C$5*(1+CONFIGURAÇÕES!$D$7)), "DENTRO", "FORA"))</f>
        <v/>
      </c>
    </row>
    <row r="1650" spans="2:6" x14ac:dyDescent="0.2">
      <c r="B1650" s="44"/>
      <c r="C1650" s="44"/>
      <c r="D1650" s="44"/>
      <c r="E1650" s="42"/>
      <c r="F1650" s="43" t="str">
        <f>IF(E1650="", "", IF(AND(E1650&gt;='PAINEL DE CONTROLE'!$C$5*(1-CONFIGURAÇÕES!$D$7), E1650&lt;='PAINEL DE CONTROLE'!$C$5*(1+CONFIGURAÇÕES!$D$7)), "DENTRO", "FORA"))</f>
        <v/>
      </c>
    </row>
    <row r="1651" spans="2:6" x14ac:dyDescent="0.2">
      <c r="B1651" s="44"/>
      <c r="C1651" s="44"/>
      <c r="D1651" s="44"/>
      <c r="E1651" s="42"/>
      <c r="F1651" s="43" t="str">
        <f>IF(E1651="", "", IF(AND(E1651&gt;='PAINEL DE CONTROLE'!$C$5*(1-CONFIGURAÇÕES!$D$7), E1651&lt;='PAINEL DE CONTROLE'!$C$5*(1+CONFIGURAÇÕES!$D$7)), "DENTRO", "FORA"))</f>
        <v/>
      </c>
    </row>
    <row r="1652" spans="2:6" x14ac:dyDescent="0.2">
      <c r="B1652" s="44"/>
      <c r="C1652" s="44"/>
      <c r="D1652" s="44"/>
      <c r="E1652" s="42"/>
      <c r="F1652" s="43" t="str">
        <f>IF(E1652="", "", IF(AND(E1652&gt;='PAINEL DE CONTROLE'!$C$5*(1-CONFIGURAÇÕES!$D$7), E1652&lt;='PAINEL DE CONTROLE'!$C$5*(1+CONFIGURAÇÕES!$D$7)), "DENTRO", "FORA"))</f>
        <v/>
      </c>
    </row>
    <row r="1653" spans="2:6" x14ac:dyDescent="0.2">
      <c r="B1653" s="44"/>
      <c r="C1653" s="44"/>
      <c r="D1653" s="44"/>
      <c r="E1653" s="42"/>
      <c r="F1653" s="43" t="str">
        <f>IF(E1653="", "", IF(AND(E1653&gt;='PAINEL DE CONTROLE'!$C$5*(1-CONFIGURAÇÕES!$D$7), E1653&lt;='PAINEL DE CONTROLE'!$C$5*(1+CONFIGURAÇÕES!$D$7)), "DENTRO", "FORA"))</f>
        <v/>
      </c>
    </row>
    <row r="1654" spans="2:6" x14ac:dyDescent="0.2">
      <c r="B1654" s="44"/>
      <c r="C1654" s="44"/>
      <c r="D1654" s="44"/>
      <c r="E1654" s="42"/>
      <c r="F1654" s="43" t="str">
        <f>IF(E1654="", "", IF(AND(E1654&gt;='PAINEL DE CONTROLE'!$C$5*(1-CONFIGURAÇÕES!$D$7), E1654&lt;='PAINEL DE CONTROLE'!$C$5*(1+CONFIGURAÇÕES!$D$7)), "DENTRO", "FORA"))</f>
        <v/>
      </c>
    </row>
    <row r="1655" spans="2:6" x14ac:dyDescent="0.2">
      <c r="B1655" s="44"/>
      <c r="C1655" s="44"/>
      <c r="D1655" s="44"/>
      <c r="E1655" s="42"/>
      <c r="F1655" s="43" t="str">
        <f>IF(E1655="", "", IF(AND(E1655&gt;='PAINEL DE CONTROLE'!$C$5*(1-CONFIGURAÇÕES!$D$7), E1655&lt;='PAINEL DE CONTROLE'!$C$5*(1+CONFIGURAÇÕES!$D$7)), "DENTRO", "FORA"))</f>
        <v/>
      </c>
    </row>
    <row r="1656" spans="2:6" x14ac:dyDescent="0.2">
      <c r="B1656" s="44"/>
      <c r="C1656" s="44"/>
      <c r="D1656" s="44"/>
      <c r="E1656" s="42"/>
      <c r="F1656" s="43" t="str">
        <f>IF(E1656="", "", IF(AND(E1656&gt;='PAINEL DE CONTROLE'!$C$5*(1-CONFIGURAÇÕES!$D$7), E1656&lt;='PAINEL DE CONTROLE'!$C$5*(1+CONFIGURAÇÕES!$D$7)), "DENTRO", "FORA"))</f>
        <v/>
      </c>
    </row>
    <row r="1657" spans="2:6" x14ac:dyDescent="0.2">
      <c r="B1657" s="44"/>
      <c r="C1657" s="44"/>
      <c r="D1657" s="44"/>
      <c r="E1657" s="42"/>
      <c r="F1657" s="43" t="str">
        <f>IF(E1657="", "", IF(AND(E1657&gt;='PAINEL DE CONTROLE'!$C$5*(1-CONFIGURAÇÕES!$D$7), E1657&lt;='PAINEL DE CONTROLE'!$C$5*(1+CONFIGURAÇÕES!$D$7)), "DENTRO", "FORA"))</f>
        <v/>
      </c>
    </row>
    <row r="1658" spans="2:6" x14ac:dyDescent="0.2">
      <c r="B1658" s="44"/>
      <c r="C1658" s="44"/>
      <c r="D1658" s="44"/>
      <c r="E1658" s="42"/>
      <c r="F1658" s="43" t="str">
        <f>IF(E1658="", "", IF(AND(E1658&gt;='PAINEL DE CONTROLE'!$C$5*(1-CONFIGURAÇÕES!$D$7), E1658&lt;='PAINEL DE CONTROLE'!$C$5*(1+CONFIGURAÇÕES!$D$7)), "DENTRO", "FORA"))</f>
        <v/>
      </c>
    </row>
    <row r="1659" spans="2:6" x14ac:dyDescent="0.2">
      <c r="B1659" s="44"/>
      <c r="C1659" s="44"/>
      <c r="D1659" s="44"/>
      <c r="E1659" s="42"/>
      <c r="F1659" s="43" t="str">
        <f>IF(E1659="", "", IF(AND(E1659&gt;='PAINEL DE CONTROLE'!$C$5*(1-CONFIGURAÇÕES!$D$7), E1659&lt;='PAINEL DE CONTROLE'!$C$5*(1+CONFIGURAÇÕES!$D$7)), "DENTRO", "FORA"))</f>
        <v/>
      </c>
    </row>
    <row r="1660" spans="2:6" x14ac:dyDescent="0.2">
      <c r="B1660" s="44"/>
      <c r="C1660" s="44"/>
      <c r="D1660" s="44"/>
      <c r="E1660" s="42"/>
      <c r="F1660" s="43" t="str">
        <f>IF(E1660="", "", IF(AND(E1660&gt;='PAINEL DE CONTROLE'!$C$5*(1-CONFIGURAÇÕES!$D$7), E1660&lt;='PAINEL DE CONTROLE'!$C$5*(1+CONFIGURAÇÕES!$D$7)), "DENTRO", "FORA"))</f>
        <v/>
      </c>
    </row>
    <row r="1661" spans="2:6" x14ac:dyDescent="0.2">
      <c r="B1661" s="44"/>
      <c r="C1661" s="44"/>
      <c r="D1661" s="44"/>
      <c r="E1661" s="42"/>
      <c r="F1661" s="43" t="str">
        <f>IF(E1661="", "", IF(AND(E1661&gt;='PAINEL DE CONTROLE'!$C$5*(1-CONFIGURAÇÕES!$D$7), E1661&lt;='PAINEL DE CONTROLE'!$C$5*(1+CONFIGURAÇÕES!$D$7)), "DENTRO", "FORA"))</f>
        <v/>
      </c>
    </row>
    <row r="1662" spans="2:6" x14ac:dyDescent="0.2">
      <c r="B1662" s="44"/>
      <c r="C1662" s="44"/>
      <c r="D1662" s="44"/>
      <c r="E1662" s="42"/>
      <c r="F1662" s="43" t="str">
        <f>IF(E1662="", "", IF(AND(E1662&gt;='PAINEL DE CONTROLE'!$C$5*(1-CONFIGURAÇÕES!$D$7), E1662&lt;='PAINEL DE CONTROLE'!$C$5*(1+CONFIGURAÇÕES!$D$7)), "DENTRO", "FORA"))</f>
        <v/>
      </c>
    </row>
    <row r="1663" spans="2:6" x14ac:dyDescent="0.2">
      <c r="B1663" s="44"/>
      <c r="C1663" s="44"/>
      <c r="D1663" s="44"/>
      <c r="E1663" s="42"/>
      <c r="F1663" s="43" t="str">
        <f>IF(E1663="", "", IF(AND(E1663&gt;='PAINEL DE CONTROLE'!$C$5*(1-CONFIGURAÇÕES!$D$7), E1663&lt;='PAINEL DE CONTROLE'!$C$5*(1+CONFIGURAÇÕES!$D$7)), "DENTRO", "FORA"))</f>
        <v/>
      </c>
    </row>
    <row r="1664" spans="2:6" x14ac:dyDescent="0.2">
      <c r="B1664" s="44"/>
      <c r="C1664" s="44"/>
      <c r="D1664" s="44"/>
      <c r="E1664" s="42"/>
      <c r="F1664" s="43" t="str">
        <f>IF(E1664="", "", IF(AND(E1664&gt;='PAINEL DE CONTROLE'!$C$5*(1-CONFIGURAÇÕES!$D$7), E1664&lt;='PAINEL DE CONTROLE'!$C$5*(1+CONFIGURAÇÕES!$D$7)), "DENTRO", "FORA"))</f>
        <v/>
      </c>
    </row>
    <row r="1665" spans="2:6" x14ac:dyDescent="0.2">
      <c r="B1665" s="44"/>
      <c r="C1665" s="44"/>
      <c r="D1665" s="44"/>
      <c r="E1665" s="42"/>
      <c r="F1665" s="43" t="str">
        <f>IF(E1665="", "", IF(AND(E1665&gt;='PAINEL DE CONTROLE'!$C$5*(1-CONFIGURAÇÕES!$D$7), E1665&lt;='PAINEL DE CONTROLE'!$C$5*(1+CONFIGURAÇÕES!$D$7)), "DENTRO", "FORA"))</f>
        <v/>
      </c>
    </row>
    <row r="1666" spans="2:6" x14ac:dyDescent="0.2">
      <c r="B1666" s="44"/>
      <c r="C1666" s="44"/>
      <c r="D1666" s="44"/>
      <c r="E1666" s="42"/>
      <c r="F1666" s="43" t="str">
        <f>IF(E1666="", "", IF(AND(E1666&gt;='PAINEL DE CONTROLE'!$C$5*(1-CONFIGURAÇÕES!$D$7), E1666&lt;='PAINEL DE CONTROLE'!$C$5*(1+CONFIGURAÇÕES!$D$7)), "DENTRO", "FORA"))</f>
        <v/>
      </c>
    </row>
    <row r="1667" spans="2:6" x14ac:dyDescent="0.2">
      <c r="B1667" s="44"/>
      <c r="C1667" s="44"/>
      <c r="D1667" s="44"/>
      <c r="E1667" s="42"/>
      <c r="F1667" s="43" t="str">
        <f>IF(E1667="", "", IF(AND(E1667&gt;='PAINEL DE CONTROLE'!$C$5*(1-CONFIGURAÇÕES!$D$7), E1667&lt;='PAINEL DE CONTROLE'!$C$5*(1+CONFIGURAÇÕES!$D$7)), "DENTRO", "FORA"))</f>
        <v/>
      </c>
    </row>
    <row r="1668" spans="2:6" x14ac:dyDescent="0.2">
      <c r="B1668" s="44"/>
      <c r="C1668" s="44"/>
      <c r="D1668" s="44"/>
      <c r="E1668" s="42"/>
      <c r="F1668" s="43" t="str">
        <f>IF(E1668="", "", IF(AND(E1668&gt;='PAINEL DE CONTROLE'!$C$5*(1-CONFIGURAÇÕES!$D$7), E1668&lt;='PAINEL DE CONTROLE'!$C$5*(1+CONFIGURAÇÕES!$D$7)), "DENTRO", "FORA"))</f>
        <v/>
      </c>
    </row>
    <row r="1669" spans="2:6" x14ac:dyDescent="0.2">
      <c r="B1669" s="44"/>
      <c r="C1669" s="44"/>
      <c r="D1669" s="44"/>
      <c r="E1669" s="42"/>
      <c r="F1669" s="43" t="str">
        <f>IF(E1669="", "", IF(AND(E1669&gt;='PAINEL DE CONTROLE'!$C$5*(1-CONFIGURAÇÕES!$D$7), E1669&lt;='PAINEL DE CONTROLE'!$C$5*(1+CONFIGURAÇÕES!$D$7)), "DENTRO", "FORA"))</f>
        <v/>
      </c>
    </row>
    <row r="1670" spans="2:6" x14ac:dyDescent="0.2">
      <c r="B1670" s="44"/>
      <c r="C1670" s="44"/>
      <c r="D1670" s="44"/>
      <c r="E1670" s="42"/>
      <c r="F1670" s="43" t="str">
        <f>IF(E1670="", "", IF(AND(E1670&gt;='PAINEL DE CONTROLE'!$C$5*(1-CONFIGURAÇÕES!$D$7), E1670&lt;='PAINEL DE CONTROLE'!$C$5*(1+CONFIGURAÇÕES!$D$7)), "DENTRO", "FORA"))</f>
        <v/>
      </c>
    </row>
    <row r="1671" spans="2:6" x14ac:dyDescent="0.2">
      <c r="B1671" s="44"/>
      <c r="C1671" s="44"/>
      <c r="D1671" s="44"/>
      <c r="E1671" s="42"/>
      <c r="F1671" s="43" t="str">
        <f>IF(E1671="", "", IF(AND(E1671&gt;='PAINEL DE CONTROLE'!$C$5*(1-CONFIGURAÇÕES!$D$7), E1671&lt;='PAINEL DE CONTROLE'!$C$5*(1+CONFIGURAÇÕES!$D$7)), "DENTRO", "FORA"))</f>
        <v/>
      </c>
    </row>
    <row r="1672" spans="2:6" x14ac:dyDescent="0.2">
      <c r="B1672" s="44"/>
      <c r="C1672" s="44"/>
      <c r="D1672" s="44"/>
      <c r="E1672" s="42"/>
      <c r="F1672" s="43" t="str">
        <f>IF(E1672="", "", IF(AND(E1672&gt;='PAINEL DE CONTROLE'!$C$5*(1-CONFIGURAÇÕES!$D$7), E1672&lt;='PAINEL DE CONTROLE'!$C$5*(1+CONFIGURAÇÕES!$D$7)), "DENTRO", "FORA"))</f>
        <v/>
      </c>
    </row>
    <row r="1673" spans="2:6" x14ac:dyDescent="0.2">
      <c r="B1673" s="44"/>
      <c r="C1673" s="44"/>
      <c r="D1673" s="44"/>
      <c r="E1673" s="42"/>
      <c r="F1673" s="43" t="str">
        <f>IF(E1673="", "", IF(AND(E1673&gt;='PAINEL DE CONTROLE'!$C$5*(1-CONFIGURAÇÕES!$D$7), E1673&lt;='PAINEL DE CONTROLE'!$C$5*(1+CONFIGURAÇÕES!$D$7)), "DENTRO", "FORA"))</f>
        <v/>
      </c>
    </row>
    <row r="1674" spans="2:6" x14ac:dyDescent="0.2">
      <c r="B1674" s="44"/>
      <c r="C1674" s="44"/>
      <c r="D1674" s="44"/>
      <c r="E1674" s="42"/>
      <c r="F1674" s="43" t="str">
        <f>IF(E1674="", "", IF(AND(E1674&gt;='PAINEL DE CONTROLE'!$C$5*(1-CONFIGURAÇÕES!$D$7), E1674&lt;='PAINEL DE CONTROLE'!$C$5*(1+CONFIGURAÇÕES!$D$7)), "DENTRO", "FORA"))</f>
        <v/>
      </c>
    </row>
    <row r="1675" spans="2:6" x14ac:dyDescent="0.2">
      <c r="B1675" s="44"/>
      <c r="C1675" s="44"/>
      <c r="D1675" s="44"/>
      <c r="E1675" s="42"/>
      <c r="F1675" s="43" t="str">
        <f>IF(E1675="", "", IF(AND(E1675&gt;='PAINEL DE CONTROLE'!$C$5*(1-CONFIGURAÇÕES!$D$7), E1675&lt;='PAINEL DE CONTROLE'!$C$5*(1+CONFIGURAÇÕES!$D$7)), "DENTRO", "FORA"))</f>
        <v/>
      </c>
    </row>
    <row r="1676" spans="2:6" x14ac:dyDescent="0.2">
      <c r="B1676" s="44"/>
      <c r="C1676" s="44"/>
      <c r="D1676" s="44"/>
      <c r="E1676" s="42"/>
      <c r="F1676" s="43" t="str">
        <f>IF(E1676="", "", IF(AND(E1676&gt;='PAINEL DE CONTROLE'!$C$5*(1-CONFIGURAÇÕES!$D$7), E1676&lt;='PAINEL DE CONTROLE'!$C$5*(1+CONFIGURAÇÕES!$D$7)), "DENTRO", "FORA"))</f>
        <v/>
      </c>
    </row>
    <row r="1677" spans="2:6" x14ac:dyDescent="0.2">
      <c r="B1677" s="44"/>
      <c r="C1677" s="44"/>
      <c r="D1677" s="44"/>
      <c r="E1677" s="42"/>
      <c r="F1677" s="43" t="str">
        <f>IF(E1677="", "", IF(AND(E1677&gt;='PAINEL DE CONTROLE'!$C$5*(1-CONFIGURAÇÕES!$D$7), E1677&lt;='PAINEL DE CONTROLE'!$C$5*(1+CONFIGURAÇÕES!$D$7)), "DENTRO", "FORA"))</f>
        <v/>
      </c>
    </row>
    <row r="1678" spans="2:6" x14ac:dyDescent="0.2">
      <c r="B1678" s="44"/>
      <c r="C1678" s="44"/>
      <c r="D1678" s="44"/>
      <c r="E1678" s="42"/>
      <c r="F1678" s="43" t="str">
        <f>IF(E1678="", "", IF(AND(E1678&gt;='PAINEL DE CONTROLE'!$C$5*(1-CONFIGURAÇÕES!$D$7), E1678&lt;='PAINEL DE CONTROLE'!$C$5*(1+CONFIGURAÇÕES!$D$7)), "DENTRO", "FORA"))</f>
        <v/>
      </c>
    </row>
    <row r="1679" spans="2:6" x14ac:dyDescent="0.2">
      <c r="B1679" s="44"/>
      <c r="C1679" s="44"/>
      <c r="D1679" s="44"/>
      <c r="E1679" s="42"/>
      <c r="F1679" s="43" t="str">
        <f>IF(E1679="", "", IF(AND(E1679&gt;='PAINEL DE CONTROLE'!$C$5*(1-CONFIGURAÇÕES!$D$7), E1679&lt;='PAINEL DE CONTROLE'!$C$5*(1+CONFIGURAÇÕES!$D$7)), "DENTRO", "FORA"))</f>
        <v/>
      </c>
    </row>
    <row r="1680" spans="2:6" x14ac:dyDescent="0.2">
      <c r="B1680" s="44"/>
      <c r="C1680" s="44"/>
      <c r="D1680" s="44"/>
      <c r="E1680" s="42"/>
      <c r="F1680" s="43" t="str">
        <f>IF(E1680="", "", IF(AND(E1680&gt;='PAINEL DE CONTROLE'!$C$5*(1-CONFIGURAÇÕES!$D$7), E1680&lt;='PAINEL DE CONTROLE'!$C$5*(1+CONFIGURAÇÕES!$D$7)), "DENTRO", "FORA"))</f>
        <v/>
      </c>
    </row>
    <row r="1681" spans="2:6" x14ac:dyDescent="0.2">
      <c r="B1681" s="44"/>
      <c r="C1681" s="44"/>
      <c r="D1681" s="44"/>
      <c r="E1681" s="42"/>
      <c r="F1681" s="43" t="str">
        <f>IF(E1681="", "", IF(AND(E1681&gt;='PAINEL DE CONTROLE'!$C$5*(1-CONFIGURAÇÕES!$D$7), E1681&lt;='PAINEL DE CONTROLE'!$C$5*(1+CONFIGURAÇÕES!$D$7)), "DENTRO", "FORA"))</f>
        <v/>
      </c>
    </row>
    <row r="1682" spans="2:6" x14ac:dyDescent="0.2">
      <c r="B1682" s="44"/>
      <c r="C1682" s="44"/>
      <c r="D1682" s="44"/>
      <c r="E1682" s="42"/>
      <c r="F1682" s="43" t="str">
        <f>IF(E1682="", "", IF(AND(E1682&gt;='PAINEL DE CONTROLE'!$C$5*(1-CONFIGURAÇÕES!$D$7), E1682&lt;='PAINEL DE CONTROLE'!$C$5*(1+CONFIGURAÇÕES!$D$7)), "DENTRO", "FORA"))</f>
        <v/>
      </c>
    </row>
    <row r="1683" spans="2:6" x14ac:dyDescent="0.2">
      <c r="B1683" s="44"/>
      <c r="C1683" s="44"/>
      <c r="D1683" s="44"/>
      <c r="E1683" s="42"/>
      <c r="F1683" s="43" t="str">
        <f>IF(E1683="", "", IF(AND(E1683&gt;='PAINEL DE CONTROLE'!$C$5*(1-CONFIGURAÇÕES!$D$7), E1683&lt;='PAINEL DE CONTROLE'!$C$5*(1+CONFIGURAÇÕES!$D$7)), "DENTRO", "FORA"))</f>
        <v/>
      </c>
    </row>
    <row r="1684" spans="2:6" x14ac:dyDescent="0.2">
      <c r="B1684" s="44"/>
      <c r="C1684" s="44"/>
      <c r="D1684" s="44"/>
      <c r="E1684" s="42"/>
      <c r="F1684" s="43" t="str">
        <f>IF(E1684="", "", IF(AND(E1684&gt;='PAINEL DE CONTROLE'!$C$5*(1-CONFIGURAÇÕES!$D$7), E1684&lt;='PAINEL DE CONTROLE'!$C$5*(1+CONFIGURAÇÕES!$D$7)), "DENTRO", "FORA"))</f>
        <v/>
      </c>
    </row>
    <row r="1685" spans="2:6" x14ac:dyDescent="0.2">
      <c r="B1685" s="44"/>
      <c r="C1685" s="44"/>
      <c r="D1685" s="44"/>
      <c r="E1685" s="42"/>
      <c r="F1685" s="43" t="str">
        <f>IF(E1685="", "", IF(AND(E1685&gt;='PAINEL DE CONTROLE'!$C$5*(1-CONFIGURAÇÕES!$D$7), E1685&lt;='PAINEL DE CONTROLE'!$C$5*(1+CONFIGURAÇÕES!$D$7)), "DENTRO", "FORA"))</f>
        <v/>
      </c>
    </row>
    <row r="1686" spans="2:6" x14ac:dyDescent="0.2">
      <c r="B1686" s="44"/>
      <c r="C1686" s="44"/>
      <c r="D1686" s="44"/>
      <c r="E1686" s="42"/>
      <c r="F1686" s="43" t="str">
        <f>IF(E1686="", "", IF(AND(E1686&gt;='PAINEL DE CONTROLE'!$C$5*(1-CONFIGURAÇÕES!$D$7), E1686&lt;='PAINEL DE CONTROLE'!$C$5*(1+CONFIGURAÇÕES!$D$7)), "DENTRO", "FORA"))</f>
        <v/>
      </c>
    </row>
    <row r="1687" spans="2:6" x14ac:dyDescent="0.2">
      <c r="B1687" s="44"/>
      <c r="C1687" s="44"/>
      <c r="D1687" s="44"/>
      <c r="E1687" s="42"/>
      <c r="F1687" s="43" t="str">
        <f>IF(E1687="", "", IF(AND(E1687&gt;='PAINEL DE CONTROLE'!$C$5*(1-CONFIGURAÇÕES!$D$7), E1687&lt;='PAINEL DE CONTROLE'!$C$5*(1+CONFIGURAÇÕES!$D$7)), "DENTRO", "FORA"))</f>
        <v/>
      </c>
    </row>
    <row r="1688" spans="2:6" x14ac:dyDescent="0.2">
      <c r="B1688" s="44"/>
      <c r="C1688" s="44"/>
      <c r="D1688" s="44"/>
      <c r="E1688" s="42"/>
      <c r="F1688" s="43" t="str">
        <f>IF(E1688="", "", IF(AND(E1688&gt;='PAINEL DE CONTROLE'!$C$5*(1-CONFIGURAÇÕES!$D$7), E1688&lt;='PAINEL DE CONTROLE'!$C$5*(1+CONFIGURAÇÕES!$D$7)), "DENTRO", "FORA"))</f>
        <v/>
      </c>
    </row>
    <row r="1689" spans="2:6" x14ac:dyDescent="0.2">
      <c r="B1689" s="44"/>
      <c r="C1689" s="44"/>
      <c r="D1689" s="44"/>
      <c r="E1689" s="42"/>
      <c r="F1689" s="43" t="str">
        <f>IF(E1689="", "", IF(AND(E1689&gt;='PAINEL DE CONTROLE'!$C$5*(1-CONFIGURAÇÕES!$D$7), E1689&lt;='PAINEL DE CONTROLE'!$C$5*(1+CONFIGURAÇÕES!$D$7)), "DENTRO", "FORA"))</f>
        <v/>
      </c>
    </row>
    <row r="1690" spans="2:6" x14ac:dyDescent="0.2">
      <c r="B1690" s="44"/>
      <c r="C1690" s="44"/>
      <c r="D1690" s="44"/>
      <c r="E1690" s="42"/>
      <c r="F1690" s="43" t="str">
        <f>IF(E1690="", "", IF(AND(E1690&gt;='PAINEL DE CONTROLE'!$C$5*(1-CONFIGURAÇÕES!$D$7), E1690&lt;='PAINEL DE CONTROLE'!$C$5*(1+CONFIGURAÇÕES!$D$7)), "DENTRO", "FORA"))</f>
        <v/>
      </c>
    </row>
    <row r="1691" spans="2:6" x14ac:dyDescent="0.2">
      <c r="B1691" s="44"/>
      <c r="C1691" s="44"/>
      <c r="D1691" s="44"/>
      <c r="E1691" s="42"/>
      <c r="F1691" s="43" t="str">
        <f>IF(E1691="", "", IF(AND(E1691&gt;='PAINEL DE CONTROLE'!$C$5*(1-CONFIGURAÇÕES!$D$7), E1691&lt;='PAINEL DE CONTROLE'!$C$5*(1+CONFIGURAÇÕES!$D$7)), "DENTRO", "FORA"))</f>
        <v/>
      </c>
    </row>
    <row r="1692" spans="2:6" x14ac:dyDescent="0.2">
      <c r="B1692" s="44"/>
      <c r="C1692" s="44"/>
      <c r="D1692" s="44"/>
      <c r="E1692" s="42"/>
      <c r="F1692" s="43" t="str">
        <f>IF(E1692="", "", IF(AND(E1692&gt;='PAINEL DE CONTROLE'!$C$5*(1-CONFIGURAÇÕES!$D$7), E1692&lt;='PAINEL DE CONTROLE'!$C$5*(1+CONFIGURAÇÕES!$D$7)), "DENTRO", "FORA"))</f>
        <v/>
      </c>
    </row>
    <row r="1693" spans="2:6" x14ac:dyDescent="0.2">
      <c r="B1693" s="44"/>
      <c r="C1693" s="44"/>
      <c r="D1693" s="44"/>
      <c r="E1693" s="42"/>
      <c r="F1693" s="43" t="str">
        <f>IF(E1693="", "", IF(AND(E1693&gt;='PAINEL DE CONTROLE'!$C$5*(1-CONFIGURAÇÕES!$D$7), E1693&lt;='PAINEL DE CONTROLE'!$C$5*(1+CONFIGURAÇÕES!$D$7)), "DENTRO", "FORA"))</f>
        <v/>
      </c>
    </row>
    <row r="1694" spans="2:6" x14ac:dyDescent="0.2">
      <c r="B1694" s="44"/>
      <c r="C1694" s="44"/>
      <c r="D1694" s="44"/>
      <c r="E1694" s="42"/>
      <c r="F1694" s="43" t="str">
        <f>IF(E1694="", "", IF(AND(E1694&gt;='PAINEL DE CONTROLE'!$C$5*(1-CONFIGURAÇÕES!$D$7), E1694&lt;='PAINEL DE CONTROLE'!$C$5*(1+CONFIGURAÇÕES!$D$7)), "DENTRO", "FORA"))</f>
        <v/>
      </c>
    </row>
    <row r="1695" spans="2:6" x14ac:dyDescent="0.2">
      <c r="B1695" s="44"/>
      <c r="C1695" s="44"/>
      <c r="D1695" s="44"/>
      <c r="E1695" s="42"/>
      <c r="F1695" s="43" t="str">
        <f>IF(E1695="", "", IF(AND(E1695&gt;='PAINEL DE CONTROLE'!$C$5*(1-CONFIGURAÇÕES!$D$7), E1695&lt;='PAINEL DE CONTROLE'!$C$5*(1+CONFIGURAÇÕES!$D$7)), "DENTRO", "FORA"))</f>
        <v/>
      </c>
    </row>
    <row r="1696" spans="2:6" x14ac:dyDescent="0.2">
      <c r="B1696" s="44"/>
      <c r="C1696" s="44"/>
      <c r="D1696" s="44"/>
      <c r="E1696" s="42"/>
      <c r="F1696" s="43" t="str">
        <f>IF(E1696="", "", IF(AND(E1696&gt;='PAINEL DE CONTROLE'!$C$5*(1-CONFIGURAÇÕES!$D$7), E1696&lt;='PAINEL DE CONTROLE'!$C$5*(1+CONFIGURAÇÕES!$D$7)), "DENTRO", "FORA"))</f>
        <v/>
      </c>
    </row>
    <row r="1697" spans="2:6" x14ac:dyDescent="0.2">
      <c r="B1697" s="44"/>
      <c r="C1697" s="44"/>
      <c r="D1697" s="44"/>
      <c r="E1697" s="42"/>
      <c r="F1697" s="43" t="str">
        <f>IF(E1697="", "", IF(AND(E1697&gt;='PAINEL DE CONTROLE'!$C$5*(1-CONFIGURAÇÕES!$D$7), E1697&lt;='PAINEL DE CONTROLE'!$C$5*(1+CONFIGURAÇÕES!$D$7)), "DENTRO", "FORA"))</f>
        <v/>
      </c>
    </row>
    <row r="1698" spans="2:6" x14ac:dyDescent="0.2">
      <c r="B1698" s="44"/>
      <c r="C1698" s="44"/>
      <c r="D1698" s="44"/>
      <c r="E1698" s="42"/>
      <c r="F1698" s="43" t="str">
        <f>IF(E1698="", "", IF(AND(E1698&gt;='PAINEL DE CONTROLE'!$C$5*(1-CONFIGURAÇÕES!$D$7), E1698&lt;='PAINEL DE CONTROLE'!$C$5*(1+CONFIGURAÇÕES!$D$7)), "DENTRO", "FORA"))</f>
        <v/>
      </c>
    </row>
    <row r="1699" spans="2:6" x14ac:dyDescent="0.2">
      <c r="B1699" s="44"/>
      <c r="C1699" s="44"/>
      <c r="D1699" s="44"/>
      <c r="E1699" s="42"/>
      <c r="F1699" s="43" t="str">
        <f>IF(E1699="", "", IF(AND(E1699&gt;='PAINEL DE CONTROLE'!$C$5*(1-CONFIGURAÇÕES!$D$7), E1699&lt;='PAINEL DE CONTROLE'!$C$5*(1+CONFIGURAÇÕES!$D$7)), "DENTRO", "FORA"))</f>
        <v/>
      </c>
    </row>
    <row r="1700" spans="2:6" x14ac:dyDescent="0.2">
      <c r="B1700" s="44"/>
      <c r="C1700" s="44"/>
      <c r="D1700" s="44"/>
      <c r="E1700" s="42"/>
      <c r="F1700" s="43" t="str">
        <f>IF(E1700="", "", IF(AND(E1700&gt;='PAINEL DE CONTROLE'!$C$5*(1-CONFIGURAÇÕES!$D$7), E1700&lt;='PAINEL DE CONTROLE'!$C$5*(1+CONFIGURAÇÕES!$D$7)), "DENTRO", "FORA"))</f>
        <v/>
      </c>
    </row>
    <row r="1701" spans="2:6" x14ac:dyDescent="0.2">
      <c r="B1701" s="44"/>
      <c r="C1701" s="44"/>
      <c r="D1701" s="44"/>
      <c r="E1701" s="42"/>
      <c r="F1701" s="43" t="str">
        <f>IF(E1701="", "", IF(AND(E1701&gt;='PAINEL DE CONTROLE'!$C$5*(1-CONFIGURAÇÕES!$D$7), E1701&lt;='PAINEL DE CONTROLE'!$C$5*(1+CONFIGURAÇÕES!$D$7)), "DENTRO", "FORA"))</f>
        <v/>
      </c>
    </row>
    <row r="1702" spans="2:6" x14ac:dyDescent="0.2">
      <c r="B1702" s="44"/>
      <c r="C1702" s="44"/>
      <c r="D1702" s="44"/>
      <c r="E1702" s="42"/>
      <c r="F1702" s="43" t="str">
        <f>IF(E1702="", "", IF(AND(E1702&gt;='PAINEL DE CONTROLE'!$C$5*(1-CONFIGURAÇÕES!$D$7), E1702&lt;='PAINEL DE CONTROLE'!$C$5*(1+CONFIGURAÇÕES!$D$7)), "DENTRO", "FORA"))</f>
        <v/>
      </c>
    </row>
    <row r="1703" spans="2:6" x14ac:dyDescent="0.2">
      <c r="B1703" s="44"/>
      <c r="C1703" s="44"/>
      <c r="D1703" s="44"/>
      <c r="E1703" s="42"/>
      <c r="F1703" s="43" t="str">
        <f>IF(E1703="", "", IF(AND(E1703&gt;='PAINEL DE CONTROLE'!$C$5*(1-CONFIGURAÇÕES!$D$7), E1703&lt;='PAINEL DE CONTROLE'!$C$5*(1+CONFIGURAÇÕES!$D$7)), "DENTRO", "FORA"))</f>
        <v/>
      </c>
    </row>
    <row r="1704" spans="2:6" x14ac:dyDescent="0.2">
      <c r="B1704" s="44"/>
      <c r="C1704" s="44"/>
      <c r="D1704" s="44"/>
      <c r="E1704" s="42"/>
      <c r="F1704" s="43" t="str">
        <f>IF(E1704="", "", IF(AND(E1704&gt;='PAINEL DE CONTROLE'!$C$5*(1-CONFIGURAÇÕES!$D$7), E1704&lt;='PAINEL DE CONTROLE'!$C$5*(1+CONFIGURAÇÕES!$D$7)), "DENTRO", "FORA"))</f>
        <v/>
      </c>
    </row>
    <row r="1705" spans="2:6" x14ac:dyDescent="0.2">
      <c r="B1705" s="44"/>
      <c r="C1705" s="44"/>
      <c r="D1705" s="44"/>
      <c r="E1705" s="42"/>
      <c r="F1705" s="43" t="str">
        <f>IF(E1705="", "", IF(AND(E1705&gt;='PAINEL DE CONTROLE'!$C$5*(1-CONFIGURAÇÕES!$D$7), E1705&lt;='PAINEL DE CONTROLE'!$C$5*(1+CONFIGURAÇÕES!$D$7)), "DENTRO", "FORA"))</f>
        <v/>
      </c>
    </row>
    <row r="1706" spans="2:6" x14ac:dyDescent="0.2">
      <c r="B1706" s="44"/>
      <c r="C1706" s="44"/>
      <c r="D1706" s="44"/>
      <c r="E1706" s="42"/>
      <c r="F1706" s="43" t="str">
        <f>IF(E1706="", "", IF(AND(E1706&gt;='PAINEL DE CONTROLE'!$C$5*(1-CONFIGURAÇÕES!$D$7), E1706&lt;='PAINEL DE CONTROLE'!$C$5*(1+CONFIGURAÇÕES!$D$7)), "DENTRO", "FORA"))</f>
        <v/>
      </c>
    </row>
    <row r="1707" spans="2:6" x14ac:dyDescent="0.2">
      <c r="B1707" s="44"/>
      <c r="C1707" s="44"/>
      <c r="D1707" s="44"/>
      <c r="E1707" s="42"/>
      <c r="F1707" s="43" t="str">
        <f>IF(E1707="", "", IF(AND(E1707&gt;='PAINEL DE CONTROLE'!$C$5*(1-CONFIGURAÇÕES!$D$7), E1707&lt;='PAINEL DE CONTROLE'!$C$5*(1+CONFIGURAÇÕES!$D$7)), "DENTRO", "FORA"))</f>
        <v/>
      </c>
    </row>
    <row r="1708" spans="2:6" x14ac:dyDescent="0.2">
      <c r="B1708" s="44"/>
      <c r="C1708" s="44"/>
      <c r="D1708" s="44"/>
      <c r="E1708" s="42"/>
      <c r="F1708" s="43" t="str">
        <f>IF(E1708="", "", IF(AND(E1708&gt;='PAINEL DE CONTROLE'!$C$5*(1-CONFIGURAÇÕES!$D$7), E1708&lt;='PAINEL DE CONTROLE'!$C$5*(1+CONFIGURAÇÕES!$D$7)), "DENTRO", "FORA"))</f>
        <v/>
      </c>
    </row>
    <row r="1709" spans="2:6" x14ac:dyDescent="0.2">
      <c r="B1709" s="44"/>
      <c r="C1709" s="44"/>
      <c r="D1709" s="44"/>
      <c r="E1709" s="42"/>
      <c r="F1709" s="43" t="str">
        <f>IF(E1709="", "", IF(AND(E1709&gt;='PAINEL DE CONTROLE'!$C$5*(1-CONFIGURAÇÕES!$D$7), E1709&lt;='PAINEL DE CONTROLE'!$C$5*(1+CONFIGURAÇÕES!$D$7)), "DENTRO", "FORA"))</f>
        <v/>
      </c>
    </row>
    <row r="1710" spans="2:6" x14ac:dyDescent="0.2">
      <c r="B1710" s="44"/>
      <c r="C1710" s="44"/>
      <c r="D1710" s="44"/>
      <c r="E1710" s="42"/>
      <c r="F1710" s="43" t="str">
        <f>IF(E1710="", "", IF(AND(E1710&gt;='PAINEL DE CONTROLE'!$C$5*(1-CONFIGURAÇÕES!$D$7), E1710&lt;='PAINEL DE CONTROLE'!$C$5*(1+CONFIGURAÇÕES!$D$7)), "DENTRO", "FORA"))</f>
        <v/>
      </c>
    </row>
    <row r="1711" spans="2:6" x14ac:dyDescent="0.2">
      <c r="B1711" s="44"/>
      <c r="C1711" s="44"/>
      <c r="D1711" s="44"/>
      <c r="E1711" s="42"/>
      <c r="F1711" s="43" t="str">
        <f>IF(E1711="", "", IF(AND(E1711&gt;='PAINEL DE CONTROLE'!$C$5*(1-CONFIGURAÇÕES!$D$7), E1711&lt;='PAINEL DE CONTROLE'!$C$5*(1+CONFIGURAÇÕES!$D$7)), "DENTRO", "FORA"))</f>
        <v/>
      </c>
    </row>
    <row r="1712" spans="2:6" x14ac:dyDescent="0.2">
      <c r="B1712" s="44"/>
      <c r="C1712" s="44"/>
      <c r="D1712" s="44"/>
      <c r="E1712" s="42"/>
      <c r="F1712" s="43" t="str">
        <f>IF(E1712="", "", IF(AND(E1712&gt;='PAINEL DE CONTROLE'!$C$5*(1-CONFIGURAÇÕES!$D$7), E1712&lt;='PAINEL DE CONTROLE'!$C$5*(1+CONFIGURAÇÕES!$D$7)), "DENTRO", "FORA"))</f>
        <v/>
      </c>
    </row>
    <row r="1713" spans="2:6" x14ac:dyDescent="0.2">
      <c r="B1713" s="44"/>
      <c r="C1713" s="44"/>
      <c r="D1713" s="44"/>
      <c r="E1713" s="42"/>
      <c r="F1713" s="43" t="str">
        <f>IF(E1713="", "", IF(AND(E1713&gt;='PAINEL DE CONTROLE'!$C$5*(1-CONFIGURAÇÕES!$D$7), E1713&lt;='PAINEL DE CONTROLE'!$C$5*(1+CONFIGURAÇÕES!$D$7)), "DENTRO", "FORA"))</f>
        <v/>
      </c>
    </row>
    <row r="1714" spans="2:6" x14ac:dyDescent="0.2">
      <c r="B1714" s="44"/>
      <c r="C1714" s="44"/>
      <c r="D1714" s="44"/>
      <c r="E1714" s="42"/>
      <c r="F1714" s="43" t="str">
        <f>IF(E1714="", "", IF(AND(E1714&gt;='PAINEL DE CONTROLE'!$C$5*(1-CONFIGURAÇÕES!$D$7), E1714&lt;='PAINEL DE CONTROLE'!$C$5*(1+CONFIGURAÇÕES!$D$7)), "DENTRO", "FORA"))</f>
        <v/>
      </c>
    </row>
    <row r="1715" spans="2:6" x14ac:dyDescent="0.2">
      <c r="B1715" s="44"/>
      <c r="C1715" s="44"/>
      <c r="D1715" s="44"/>
      <c r="E1715" s="42"/>
      <c r="F1715" s="43" t="str">
        <f>IF(E1715="", "", IF(AND(E1715&gt;='PAINEL DE CONTROLE'!$C$5*(1-CONFIGURAÇÕES!$D$7), E1715&lt;='PAINEL DE CONTROLE'!$C$5*(1+CONFIGURAÇÕES!$D$7)), "DENTRO", "FORA"))</f>
        <v/>
      </c>
    </row>
    <row r="1716" spans="2:6" x14ac:dyDescent="0.2">
      <c r="B1716" s="44"/>
      <c r="C1716" s="44"/>
      <c r="D1716" s="44"/>
      <c r="E1716" s="42"/>
      <c r="F1716" s="43" t="str">
        <f>IF(E1716="", "", IF(AND(E1716&gt;='PAINEL DE CONTROLE'!$C$5*(1-CONFIGURAÇÕES!$D$7), E1716&lt;='PAINEL DE CONTROLE'!$C$5*(1+CONFIGURAÇÕES!$D$7)), "DENTRO", "FORA"))</f>
        <v/>
      </c>
    </row>
    <row r="1717" spans="2:6" x14ac:dyDescent="0.2">
      <c r="B1717" s="44"/>
      <c r="C1717" s="44"/>
      <c r="D1717" s="44"/>
      <c r="E1717" s="42"/>
      <c r="F1717" s="43" t="str">
        <f>IF(E1717="", "", IF(AND(E1717&gt;='PAINEL DE CONTROLE'!$C$5*(1-CONFIGURAÇÕES!$D$7), E1717&lt;='PAINEL DE CONTROLE'!$C$5*(1+CONFIGURAÇÕES!$D$7)), "DENTRO", "FORA"))</f>
        <v/>
      </c>
    </row>
    <row r="1718" spans="2:6" x14ac:dyDescent="0.2">
      <c r="B1718" s="44"/>
      <c r="C1718" s="44"/>
      <c r="D1718" s="44"/>
      <c r="E1718" s="42"/>
      <c r="F1718" s="43" t="str">
        <f>IF(E1718="", "", IF(AND(E1718&gt;='PAINEL DE CONTROLE'!$C$5*(1-CONFIGURAÇÕES!$D$7), E1718&lt;='PAINEL DE CONTROLE'!$C$5*(1+CONFIGURAÇÕES!$D$7)), "DENTRO", "FORA"))</f>
        <v/>
      </c>
    </row>
    <row r="1719" spans="2:6" x14ac:dyDescent="0.2">
      <c r="B1719" s="44"/>
      <c r="C1719" s="44"/>
      <c r="D1719" s="44"/>
      <c r="E1719" s="42"/>
      <c r="F1719" s="43" t="str">
        <f>IF(E1719="", "", IF(AND(E1719&gt;='PAINEL DE CONTROLE'!$C$5*(1-CONFIGURAÇÕES!$D$7), E1719&lt;='PAINEL DE CONTROLE'!$C$5*(1+CONFIGURAÇÕES!$D$7)), "DENTRO", "FORA"))</f>
        <v/>
      </c>
    </row>
    <row r="1720" spans="2:6" x14ac:dyDescent="0.2">
      <c r="B1720" s="44"/>
      <c r="C1720" s="44"/>
      <c r="D1720" s="44"/>
      <c r="E1720" s="42"/>
      <c r="F1720" s="43" t="str">
        <f>IF(E1720="", "", IF(AND(E1720&gt;='PAINEL DE CONTROLE'!$C$5*(1-CONFIGURAÇÕES!$D$7), E1720&lt;='PAINEL DE CONTROLE'!$C$5*(1+CONFIGURAÇÕES!$D$7)), "DENTRO", "FORA"))</f>
        <v/>
      </c>
    </row>
    <row r="1721" spans="2:6" x14ac:dyDescent="0.2">
      <c r="B1721" s="44"/>
      <c r="C1721" s="44"/>
      <c r="D1721" s="44"/>
      <c r="E1721" s="42"/>
      <c r="F1721" s="43" t="str">
        <f>IF(E1721="", "", IF(AND(E1721&gt;='PAINEL DE CONTROLE'!$C$5*(1-CONFIGURAÇÕES!$D$7), E1721&lt;='PAINEL DE CONTROLE'!$C$5*(1+CONFIGURAÇÕES!$D$7)), "DENTRO", "FORA"))</f>
        <v/>
      </c>
    </row>
    <row r="1722" spans="2:6" x14ac:dyDescent="0.2">
      <c r="B1722" s="44"/>
      <c r="C1722" s="44"/>
      <c r="D1722" s="44"/>
      <c r="E1722" s="42"/>
      <c r="F1722" s="43" t="str">
        <f>IF(E1722="", "", IF(AND(E1722&gt;='PAINEL DE CONTROLE'!$C$5*(1-CONFIGURAÇÕES!$D$7), E1722&lt;='PAINEL DE CONTROLE'!$C$5*(1+CONFIGURAÇÕES!$D$7)), "DENTRO", "FORA"))</f>
        <v/>
      </c>
    </row>
    <row r="1723" spans="2:6" x14ac:dyDescent="0.2">
      <c r="B1723" s="44"/>
      <c r="C1723" s="44"/>
      <c r="D1723" s="44"/>
      <c r="E1723" s="42"/>
      <c r="F1723" s="43" t="str">
        <f>IF(E1723="", "", IF(AND(E1723&gt;='PAINEL DE CONTROLE'!$C$5*(1-CONFIGURAÇÕES!$D$7), E1723&lt;='PAINEL DE CONTROLE'!$C$5*(1+CONFIGURAÇÕES!$D$7)), "DENTRO", "FORA"))</f>
        <v/>
      </c>
    </row>
    <row r="1724" spans="2:6" x14ac:dyDescent="0.2">
      <c r="B1724" s="44"/>
      <c r="C1724" s="44"/>
      <c r="D1724" s="44"/>
      <c r="E1724" s="42"/>
      <c r="F1724" s="43" t="str">
        <f>IF(E1724="", "", IF(AND(E1724&gt;='PAINEL DE CONTROLE'!$C$5*(1-CONFIGURAÇÕES!$D$7), E1724&lt;='PAINEL DE CONTROLE'!$C$5*(1+CONFIGURAÇÕES!$D$7)), "DENTRO", "FORA"))</f>
        <v/>
      </c>
    </row>
    <row r="1725" spans="2:6" x14ac:dyDescent="0.2">
      <c r="B1725" s="44"/>
      <c r="C1725" s="44"/>
      <c r="D1725" s="44"/>
      <c r="E1725" s="42"/>
      <c r="F1725" s="43" t="str">
        <f>IF(E1725="", "", IF(AND(E1725&gt;='PAINEL DE CONTROLE'!$C$5*(1-CONFIGURAÇÕES!$D$7), E1725&lt;='PAINEL DE CONTROLE'!$C$5*(1+CONFIGURAÇÕES!$D$7)), "DENTRO", "FORA"))</f>
        <v/>
      </c>
    </row>
    <row r="1726" spans="2:6" x14ac:dyDescent="0.2">
      <c r="B1726" s="44"/>
      <c r="C1726" s="44"/>
      <c r="D1726" s="44"/>
      <c r="E1726" s="42"/>
      <c r="F1726" s="43" t="str">
        <f>IF(E1726="", "", IF(AND(E1726&gt;='PAINEL DE CONTROLE'!$C$5*(1-CONFIGURAÇÕES!$D$7), E1726&lt;='PAINEL DE CONTROLE'!$C$5*(1+CONFIGURAÇÕES!$D$7)), "DENTRO", "FORA"))</f>
        <v/>
      </c>
    </row>
    <row r="1727" spans="2:6" x14ac:dyDescent="0.2">
      <c r="B1727" s="44"/>
      <c r="C1727" s="44"/>
      <c r="D1727" s="44"/>
      <c r="E1727" s="42"/>
      <c r="F1727" s="43" t="str">
        <f>IF(E1727="", "", IF(AND(E1727&gt;='PAINEL DE CONTROLE'!$C$5*(1-CONFIGURAÇÕES!$D$7), E1727&lt;='PAINEL DE CONTROLE'!$C$5*(1+CONFIGURAÇÕES!$D$7)), "DENTRO", "FORA"))</f>
        <v/>
      </c>
    </row>
    <row r="1728" spans="2:6" x14ac:dyDescent="0.2">
      <c r="B1728" s="44"/>
      <c r="C1728" s="44"/>
      <c r="D1728" s="44"/>
      <c r="E1728" s="42"/>
      <c r="F1728" s="43" t="str">
        <f>IF(E1728="", "", IF(AND(E1728&gt;='PAINEL DE CONTROLE'!$C$5*(1-CONFIGURAÇÕES!$D$7), E1728&lt;='PAINEL DE CONTROLE'!$C$5*(1+CONFIGURAÇÕES!$D$7)), "DENTRO", "FORA"))</f>
        <v/>
      </c>
    </row>
    <row r="1729" spans="2:6" x14ac:dyDescent="0.2">
      <c r="B1729" s="44"/>
      <c r="C1729" s="44"/>
      <c r="D1729" s="44"/>
      <c r="E1729" s="42"/>
      <c r="F1729" s="43" t="str">
        <f>IF(E1729="", "", IF(AND(E1729&gt;='PAINEL DE CONTROLE'!$C$5*(1-CONFIGURAÇÕES!$D$7), E1729&lt;='PAINEL DE CONTROLE'!$C$5*(1+CONFIGURAÇÕES!$D$7)), "DENTRO", "FORA"))</f>
        <v/>
      </c>
    </row>
    <row r="1730" spans="2:6" x14ac:dyDescent="0.2">
      <c r="B1730" s="44"/>
      <c r="C1730" s="44"/>
      <c r="D1730" s="44"/>
      <c r="E1730" s="42"/>
      <c r="F1730" s="43" t="str">
        <f>IF(E1730="", "", IF(AND(E1730&gt;='PAINEL DE CONTROLE'!$C$5*(1-CONFIGURAÇÕES!$D$7), E1730&lt;='PAINEL DE CONTROLE'!$C$5*(1+CONFIGURAÇÕES!$D$7)), "DENTRO", "FORA"))</f>
        <v/>
      </c>
    </row>
    <row r="1731" spans="2:6" x14ac:dyDescent="0.2">
      <c r="B1731" s="44"/>
      <c r="C1731" s="44"/>
      <c r="D1731" s="44"/>
      <c r="E1731" s="42"/>
      <c r="F1731" s="43" t="str">
        <f>IF(E1731="", "", IF(AND(E1731&gt;='PAINEL DE CONTROLE'!$C$5*(1-CONFIGURAÇÕES!$D$7), E1731&lt;='PAINEL DE CONTROLE'!$C$5*(1+CONFIGURAÇÕES!$D$7)), "DENTRO", "FORA"))</f>
        <v/>
      </c>
    </row>
    <row r="1732" spans="2:6" x14ac:dyDescent="0.2">
      <c r="B1732" s="44"/>
      <c r="C1732" s="44"/>
      <c r="D1732" s="44"/>
      <c r="E1732" s="42"/>
      <c r="F1732" s="43" t="str">
        <f>IF(E1732="", "", IF(AND(E1732&gt;='PAINEL DE CONTROLE'!$C$5*(1-CONFIGURAÇÕES!$D$7), E1732&lt;='PAINEL DE CONTROLE'!$C$5*(1+CONFIGURAÇÕES!$D$7)), "DENTRO", "FORA"))</f>
        <v/>
      </c>
    </row>
    <row r="1733" spans="2:6" x14ac:dyDescent="0.2">
      <c r="B1733" s="44"/>
      <c r="C1733" s="44"/>
      <c r="D1733" s="44"/>
      <c r="E1733" s="42"/>
      <c r="F1733" s="43" t="str">
        <f>IF(E1733="", "", IF(AND(E1733&gt;='PAINEL DE CONTROLE'!$C$5*(1-CONFIGURAÇÕES!$D$7), E1733&lt;='PAINEL DE CONTROLE'!$C$5*(1+CONFIGURAÇÕES!$D$7)), "DENTRO", "FORA"))</f>
        <v/>
      </c>
    </row>
    <row r="1734" spans="2:6" x14ac:dyDescent="0.2">
      <c r="B1734" s="44"/>
      <c r="C1734" s="44"/>
      <c r="D1734" s="44"/>
      <c r="E1734" s="42"/>
      <c r="F1734" s="43" t="str">
        <f>IF(E1734="", "", IF(AND(E1734&gt;='PAINEL DE CONTROLE'!$C$5*(1-CONFIGURAÇÕES!$D$7), E1734&lt;='PAINEL DE CONTROLE'!$C$5*(1+CONFIGURAÇÕES!$D$7)), "DENTRO", "FORA"))</f>
        <v/>
      </c>
    </row>
    <row r="1735" spans="2:6" x14ac:dyDescent="0.2">
      <c r="B1735" s="44"/>
      <c r="C1735" s="44"/>
      <c r="D1735" s="44"/>
      <c r="E1735" s="42"/>
      <c r="F1735" s="43" t="str">
        <f>IF(E1735="", "", IF(AND(E1735&gt;='PAINEL DE CONTROLE'!$C$5*(1-CONFIGURAÇÕES!$D$7), E1735&lt;='PAINEL DE CONTROLE'!$C$5*(1+CONFIGURAÇÕES!$D$7)), "DENTRO", "FORA"))</f>
        <v/>
      </c>
    </row>
    <row r="1736" spans="2:6" x14ac:dyDescent="0.2">
      <c r="B1736" s="44"/>
      <c r="C1736" s="44"/>
      <c r="D1736" s="44"/>
      <c r="E1736" s="42"/>
      <c r="F1736" s="43" t="str">
        <f>IF(E1736="", "", IF(AND(E1736&gt;='PAINEL DE CONTROLE'!$C$5*(1-CONFIGURAÇÕES!$D$7), E1736&lt;='PAINEL DE CONTROLE'!$C$5*(1+CONFIGURAÇÕES!$D$7)), "DENTRO", "FORA"))</f>
        <v/>
      </c>
    </row>
    <row r="1737" spans="2:6" x14ac:dyDescent="0.2">
      <c r="B1737" s="44"/>
      <c r="C1737" s="44"/>
      <c r="D1737" s="44"/>
      <c r="E1737" s="42"/>
      <c r="F1737" s="43" t="str">
        <f>IF(E1737="", "", IF(AND(E1737&gt;='PAINEL DE CONTROLE'!$C$5*(1-CONFIGURAÇÕES!$D$7), E1737&lt;='PAINEL DE CONTROLE'!$C$5*(1+CONFIGURAÇÕES!$D$7)), "DENTRO", "FORA"))</f>
        <v/>
      </c>
    </row>
    <row r="1738" spans="2:6" x14ac:dyDescent="0.2">
      <c r="B1738" s="44"/>
      <c r="C1738" s="44"/>
      <c r="D1738" s="44"/>
      <c r="E1738" s="42"/>
      <c r="F1738" s="43" t="str">
        <f>IF(E1738="", "", IF(AND(E1738&gt;='PAINEL DE CONTROLE'!$C$5*(1-CONFIGURAÇÕES!$D$7), E1738&lt;='PAINEL DE CONTROLE'!$C$5*(1+CONFIGURAÇÕES!$D$7)), "DENTRO", "FORA"))</f>
        <v/>
      </c>
    </row>
    <row r="1739" spans="2:6" x14ac:dyDescent="0.2">
      <c r="B1739" s="44"/>
      <c r="C1739" s="44"/>
      <c r="D1739" s="44"/>
      <c r="E1739" s="42"/>
      <c r="F1739" s="43" t="str">
        <f>IF(E1739="", "", IF(AND(E1739&gt;='PAINEL DE CONTROLE'!$C$5*(1-CONFIGURAÇÕES!$D$7), E1739&lt;='PAINEL DE CONTROLE'!$C$5*(1+CONFIGURAÇÕES!$D$7)), "DENTRO", "FORA"))</f>
        <v/>
      </c>
    </row>
    <row r="1740" spans="2:6" x14ac:dyDescent="0.2">
      <c r="B1740" s="44"/>
      <c r="C1740" s="44"/>
      <c r="D1740" s="44"/>
      <c r="E1740" s="42"/>
      <c r="F1740" s="43" t="str">
        <f>IF(E1740="", "", IF(AND(E1740&gt;='PAINEL DE CONTROLE'!$C$5*(1-CONFIGURAÇÕES!$D$7), E1740&lt;='PAINEL DE CONTROLE'!$C$5*(1+CONFIGURAÇÕES!$D$7)), "DENTRO", "FORA"))</f>
        <v/>
      </c>
    </row>
    <row r="1741" spans="2:6" x14ac:dyDescent="0.2">
      <c r="B1741" s="44"/>
      <c r="C1741" s="44"/>
      <c r="D1741" s="44"/>
      <c r="E1741" s="42"/>
      <c r="F1741" s="43" t="str">
        <f>IF(E1741="", "", IF(AND(E1741&gt;='PAINEL DE CONTROLE'!$C$5*(1-CONFIGURAÇÕES!$D$7), E1741&lt;='PAINEL DE CONTROLE'!$C$5*(1+CONFIGURAÇÕES!$D$7)), "DENTRO", "FORA"))</f>
        <v/>
      </c>
    </row>
    <row r="1742" spans="2:6" x14ac:dyDescent="0.2">
      <c r="B1742" s="44"/>
      <c r="C1742" s="44"/>
      <c r="D1742" s="44"/>
      <c r="E1742" s="42"/>
      <c r="F1742" s="43" t="str">
        <f>IF(E1742="", "", IF(AND(E1742&gt;='PAINEL DE CONTROLE'!$C$5*(1-CONFIGURAÇÕES!$D$7), E1742&lt;='PAINEL DE CONTROLE'!$C$5*(1+CONFIGURAÇÕES!$D$7)), "DENTRO", "FORA"))</f>
        <v/>
      </c>
    </row>
    <row r="1743" spans="2:6" x14ac:dyDescent="0.2">
      <c r="B1743" s="44"/>
      <c r="C1743" s="44"/>
      <c r="D1743" s="44"/>
      <c r="E1743" s="42"/>
      <c r="F1743" s="43" t="str">
        <f>IF(E1743="", "", IF(AND(E1743&gt;='PAINEL DE CONTROLE'!$C$5*(1-CONFIGURAÇÕES!$D$7), E1743&lt;='PAINEL DE CONTROLE'!$C$5*(1+CONFIGURAÇÕES!$D$7)), "DENTRO", "FORA"))</f>
        <v/>
      </c>
    </row>
    <row r="1744" spans="2:6" x14ac:dyDescent="0.2">
      <c r="B1744" s="44"/>
      <c r="C1744" s="44"/>
      <c r="D1744" s="44"/>
      <c r="E1744" s="42"/>
      <c r="F1744" s="43" t="str">
        <f>IF(E1744="", "", IF(AND(E1744&gt;='PAINEL DE CONTROLE'!$C$5*(1-CONFIGURAÇÕES!$D$7), E1744&lt;='PAINEL DE CONTROLE'!$C$5*(1+CONFIGURAÇÕES!$D$7)), "DENTRO", "FORA"))</f>
        <v/>
      </c>
    </row>
    <row r="1745" spans="2:6" x14ac:dyDescent="0.2">
      <c r="B1745" s="44"/>
      <c r="C1745" s="44"/>
      <c r="D1745" s="44"/>
      <c r="E1745" s="42"/>
      <c r="F1745" s="43" t="str">
        <f>IF(E1745="", "", IF(AND(E1745&gt;='PAINEL DE CONTROLE'!$C$5*(1-CONFIGURAÇÕES!$D$7), E1745&lt;='PAINEL DE CONTROLE'!$C$5*(1+CONFIGURAÇÕES!$D$7)), "DENTRO", "FORA"))</f>
        <v/>
      </c>
    </row>
    <row r="1746" spans="2:6" x14ac:dyDescent="0.2">
      <c r="B1746" s="44"/>
      <c r="C1746" s="44"/>
      <c r="D1746" s="44"/>
      <c r="E1746" s="42"/>
      <c r="F1746" s="43" t="str">
        <f>IF(E1746="", "", IF(AND(E1746&gt;='PAINEL DE CONTROLE'!$C$5*(1-CONFIGURAÇÕES!$D$7), E1746&lt;='PAINEL DE CONTROLE'!$C$5*(1+CONFIGURAÇÕES!$D$7)), "DENTRO", "FORA"))</f>
        <v/>
      </c>
    </row>
    <row r="1747" spans="2:6" x14ac:dyDescent="0.2">
      <c r="B1747" s="44"/>
      <c r="C1747" s="44"/>
      <c r="D1747" s="44"/>
      <c r="E1747" s="42"/>
      <c r="F1747" s="43" t="str">
        <f>IF(E1747="", "", IF(AND(E1747&gt;='PAINEL DE CONTROLE'!$C$5*(1-CONFIGURAÇÕES!$D$7), E1747&lt;='PAINEL DE CONTROLE'!$C$5*(1+CONFIGURAÇÕES!$D$7)), "DENTRO", "FORA"))</f>
        <v/>
      </c>
    </row>
    <row r="1748" spans="2:6" x14ac:dyDescent="0.2">
      <c r="B1748" s="44"/>
      <c r="C1748" s="44"/>
      <c r="D1748" s="44"/>
      <c r="E1748" s="42"/>
      <c r="F1748" s="43" t="str">
        <f>IF(E1748="", "", IF(AND(E1748&gt;='PAINEL DE CONTROLE'!$C$5*(1-CONFIGURAÇÕES!$D$7), E1748&lt;='PAINEL DE CONTROLE'!$C$5*(1+CONFIGURAÇÕES!$D$7)), "DENTRO", "FORA"))</f>
        <v/>
      </c>
    </row>
    <row r="1749" spans="2:6" x14ac:dyDescent="0.2">
      <c r="B1749" s="44"/>
      <c r="C1749" s="44"/>
      <c r="D1749" s="44"/>
      <c r="E1749" s="42"/>
      <c r="F1749" s="43" t="str">
        <f>IF(E1749="", "", IF(AND(E1749&gt;='PAINEL DE CONTROLE'!$C$5*(1-CONFIGURAÇÕES!$D$7), E1749&lt;='PAINEL DE CONTROLE'!$C$5*(1+CONFIGURAÇÕES!$D$7)), "DENTRO", "FORA"))</f>
        <v/>
      </c>
    </row>
    <row r="1750" spans="2:6" x14ac:dyDescent="0.2">
      <c r="B1750" s="44"/>
      <c r="C1750" s="44"/>
      <c r="D1750" s="44"/>
      <c r="E1750" s="42"/>
      <c r="F1750" s="43" t="str">
        <f>IF(E1750="", "", IF(AND(E1750&gt;='PAINEL DE CONTROLE'!$C$5*(1-CONFIGURAÇÕES!$D$7), E1750&lt;='PAINEL DE CONTROLE'!$C$5*(1+CONFIGURAÇÕES!$D$7)), "DENTRO", "FORA"))</f>
        <v/>
      </c>
    </row>
    <row r="1751" spans="2:6" x14ac:dyDescent="0.2">
      <c r="B1751" s="44"/>
      <c r="C1751" s="44"/>
      <c r="D1751" s="44"/>
      <c r="E1751" s="42"/>
      <c r="F1751" s="43" t="str">
        <f>IF(E1751="", "", IF(AND(E1751&gt;='PAINEL DE CONTROLE'!$C$5*(1-CONFIGURAÇÕES!$D$7), E1751&lt;='PAINEL DE CONTROLE'!$C$5*(1+CONFIGURAÇÕES!$D$7)), "DENTRO", "FORA"))</f>
        <v/>
      </c>
    </row>
    <row r="1752" spans="2:6" x14ac:dyDescent="0.2">
      <c r="B1752" s="44"/>
      <c r="C1752" s="44"/>
      <c r="D1752" s="44"/>
      <c r="E1752" s="42"/>
      <c r="F1752" s="43" t="str">
        <f>IF(E1752="", "", IF(AND(E1752&gt;='PAINEL DE CONTROLE'!$C$5*(1-CONFIGURAÇÕES!$D$7), E1752&lt;='PAINEL DE CONTROLE'!$C$5*(1+CONFIGURAÇÕES!$D$7)), "DENTRO", "FORA"))</f>
        <v/>
      </c>
    </row>
    <row r="1753" spans="2:6" x14ac:dyDescent="0.2">
      <c r="B1753" s="44"/>
      <c r="C1753" s="44"/>
      <c r="D1753" s="44"/>
      <c r="E1753" s="42"/>
      <c r="F1753" s="43" t="str">
        <f>IF(E1753="", "", IF(AND(E1753&gt;='PAINEL DE CONTROLE'!$C$5*(1-CONFIGURAÇÕES!$D$7), E1753&lt;='PAINEL DE CONTROLE'!$C$5*(1+CONFIGURAÇÕES!$D$7)), "DENTRO", "FORA"))</f>
        <v/>
      </c>
    </row>
    <row r="1754" spans="2:6" x14ac:dyDescent="0.2">
      <c r="B1754" s="44"/>
      <c r="C1754" s="44"/>
      <c r="D1754" s="44"/>
      <c r="E1754" s="42"/>
      <c r="F1754" s="43" t="str">
        <f>IF(E1754="", "", IF(AND(E1754&gt;='PAINEL DE CONTROLE'!$C$5*(1-CONFIGURAÇÕES!$D$7), E1754&lt;='PAINEL DE CONTROLE'!$C$5*(1+CONFIGURAÇÕES!$D$7)), "DENTRO", "FORA"))</f>
        <v/>
      </c>
    </row>
    <row r="1755" spans="2:6" x14ac:dyDescent="0.2">
      <c r="B1755" s="44"/>
      <c r="C1755" s="44"/>
      <c r="D1755" s="44"/>
      <c r="E1755" s="42"/>
      <c r="F1755" s="43" t="str">
        <f>IF(E1755="", "", IF(AND(E1755&gt;='PAINEL DE CONTROLE'!$C$5*(1-CONFIGURAÇÕES!$D$7), E1755&lt;='PAINEL DE CONTROLE'!$C$5*(1+CONFIGURAÇÕES!$D$7)), "DENTRO", "FORA"))</f>
        <v/>
      </c>
    </row>
    <row r="1756" spans="2:6" x14ac:dyDescent="0.2">
      <c r="B1756" s="44"/>
      <c r="C1756" s="44"/>
      <c r="D1756" s="44"/>
      <c r="E1756" s="42"/>
      <c r="F1756" s="43" t="str">
        <f>IF(E1756="", "", IF(AND(E1756&gt;='PAINEL DE CONTROLE'!$C$5*(1-CONFIGURAÇÕES!$D$7), E1756&lt;='PAINEL DE CONTROLE'!$C$5*(1+CONFIGURAÇÕES!$D$7)), "DENTRO", "FORA"))</f>
        <v/>
      </c>
    </row>
    <row r="1757" spans="2:6" x14ac:dyDescent="0.2">
      <c r="B1757" s="44"/>
      <c r="C1757" s="44"/>
      <c r="D1757" s="44"/>
      <c r="E1757" s="42"/>
      <c r="F1757" s="43" t="str">
        <f>IF(E1757="", "", IF(AND(E1757&gt;='PAINEL DE CONTROLE'!$C$5*(1-CONFIGURAÇÕES!$D$7), E1757&lt;='PAINEL DE CONTROLE'!$C$5*(1+CONFIGURAÇÕES!$D$7)), "DENTRO", "FORA"))</f>
        <v/>
      </c>
    </row>
    <row r="1758" spans="2:6" x14ac:dyDescent="0.2">
      <c r="B1758" s="44"/>
      <c r="C1758" s="44"/>
      <c r="D1758" s="44"/>
      <c r="E1758" s="42"/>
      <c r="F1758" s="43" t="str">
        <f>IF(E1758="", "", IF(AND(E1758&gt;='PAINEL DE CONTROLE'!$C$5*(1-CONFIGURAÇÕES!$D$7), E1758&lt;='PAINEL DE CONTROLE'!$C$5*(1+CONFIGURAÇÕES!$D$7)), "DENTRO", "FORA"))</f>
        <v/>
      </c>
    </row>
    <row r="1759" spans="2:6" x14ac:dyDescent="0.2">
      <c r="B1759" s="44"/>
      <c r="C1759" s="44"/>
      <c r="D1759" s="44"/>
      <c r="E1759" s="42"/>
      <c r="F1759" s="43" t="str">
        <f>IF(E1759="", "", IF(AND(E1759&gt;='PAINEL DE CONTROLE'!$C$5*(1-CONFIGURAÇÕES!$D$7), E1759&lt;='PAINEL DE CONTROLE'!$C$5*(1+CONFIGURAÇÕES!$D$7)), "DENTRO", "FORA"))</f>
        <v/>
      </c>
    </row>
    <row r="1760" spans="2:6" x14ac:dyDescent="0.2">
      <c r="B1760" s="44"/>
      <c r="C1760" s="44"/>
      <c r="D1760" s="44"/>
      <c r="E1760" s="42"/>
      <c r="F1760" s="43" t="str">
        <f>IF(E1760="", "", IF(AND(E1760&gt;='PAINEL DE CONTROLE'!$C$5*(1-CONFIGURAÇÕES!$D$7), E1760&lt;='PAINEL DE CONTROLE'!$C$5*(1+CONFIGURAÇÕES!$D$7)), "DENTRO", "FORA"))</f>
        <v/>
      </c>
    </row>
    <row r="1761" spans="2:6" x14ac:dyDescent="0.2">
      <c r="B1761" s="44"/>
      <c r="C1761" s="44"/>
      <c r="D1761" s="44"/>
      <c r="E1761" s="42"/>
      <c r="F1761" s="43" t="str">
        <f>IF(E1761="", "", IF(AND(E1761&gt;='PAINEL DE CONTROLE'!$C$5*(1-CONFIGURAÇÕES!$D$7), E1761&lt;='PAINEL DE CONTROLE'!$C$5*(1+CONFIGURAÇÕES!$D$7)), "DENTRO", "FORA"))</f>
        <v/>
      </c>
    </row>
    <row r="1762" spans="2:6" x14ac:dyDescent="0.2">
      <c r="B1762" s="44"/>
      <c r="C1762" s="44"/>
      <c r="D1762" s="44"/>
      <c r="E1762" s="42"/>
      <c r="F1762" s="43" t="str">
        <f>IF(E1762="", "", IF(AND(E1762&gt;='PAINEL DE CONTROLE'!$C$5*(1-CONFIGURAÇÕES!$D$7), E1762&lt;='PAINEL DE CONTROLE'!$C$5*(1+CONFIGURAÇÕES!$D$7)), "DENTRO", "FORA"))</f>
        <v/>
      </c>
    </row>
    <row r="1763" spans="2:6" x14ac:dyDescent="0.2">
      <c r="B1763" s="44"/>
      <c r="C1763" s="44"/>
      <c r="D1763" s="44"/>
      <c r="E1763" s="42"/>
      <c r="F1763" s="43" t="str">
        <f>IF(E1763="", "", IF(AND(E1763&gt;='PAINEL DE CONTROLE'!$C$5*(1-CONFIGURAÇÕES!$D$7), E1763&lt;='PAINEL DE CONTROLE'!$C$5*(1+CONFIGURAÇÕES!$D$7)), "DENTRO", "FORA"))</f>
        <v/>
      </c>
    </row>
    <row r="1764" spans="2:6" x14ac:dyDescent="0.2">
      <c r="B1764" s="44"/>
      <c r="C1764" s="44"/>
      <c r="D1764" s="44"/>
      <c r="E1764" s="42"/>
      <c r="F1764" s="43" t="str">
        <f>IF(E1764="", "", IF(AND(E1764&gt;='PAINEL DE CONTROLE'!$C$5*(1-CONFIGURAÇÕES!$D$7), E1764&lt;='PAINEL DE CONTROLE'!$C$5*(1+CONFIGURAÇÕES!$D$7)), "DENTRO", "FORA"))</f>
        <v/>
      </c>
    </row>
    <row r="1765" spans="2:6" x14ac:dyDescent="0.2">
      <c r="B1765" s="44"/>
      <c r="C1765" s="44"/>
      <c r="D1765" s="44"/>
      <c r="E1765" s="42"/>
      <c r="F1765" s="43" t="str">
        <f>IF(E1765="", "", IF(AND(E1765&gt;='PAINEL DE CONTROLE'!$C$5*(1-CONFIGURAÇÕES!$D$7), E1765&lt;='PAINEL DE CONTROLE'!$C$5*(1+CONFIGURAÇÕES!$D$7)), "DENTRO", "FORA"))</f>
        <v/>
      </c>
    </row>
    <row r="1766" spans="2:6" x14ac:dyDescent="0.2">
      <c r="B1766" s="44"/>
      <c r="C1766" s="44"/>
      <c r="D1766" s="44"/>
      <c r="E1766" s="42"/>
      <c r="F1766" s="43" t="str">
        <f>IF(E1766="", "", IF(AND(E1766&gt;='PAINEL DE CONTROLE'!$C$5*(1-CONFIGURAÇÕES!$D$7), E1766&lt;='PAINEL DE CONTROLE'!$C$5*(1+CONFIGURAÇÕES!$D$7)), "DENTRO", "FORA"))</f>
        <v/>
      </c>
    </row>
    <row r="1767" spans="2:6" x14ac:dyDescent="0.2">
      <c r="B1767" s="44"/>
      <c r="C1767" s="44"/>
      <c r="D1767" s="44"/>
      <c r="E1767" s="42"/>
      <c r="F1767" s="43" t="str">
        <f>IF(E1767="", "", IF(AND(E1767&gt;='PAINEL DE CONTROLE'!$C$5*(1-CONFIGURAÇÕES!$D$7), E1767&lt;='PAINEL DE CONTROLE'!$C$5*(1+CONFIGURAÇÕES!$D$7)), "DENTRO", "FORA"))</f>
        <v/>
      </c>
    </row>
    <row r="1768" spans="2:6" x14ac:dyDescent="0.2">
      <c r="B1768" s="44"/>
      <c r="C1768" s="44"/>
      <c r="D1768" s="44"/>
      <c r="E1768" s="42"/>
      <c r="F1768" s="43" t="str">
        <f>IF(E1768="", "", IF(AND(E1768&gt;='PAINEL DE CONTROLE'!$C$5*(1-CONFIGURAÇÕES!$D$7), E1768&lt;='PAINEL DE CONTROLE'!$C$5*(1+CONFIGURAÇÕES!$D$7)), "DENTRO", "FORA"))</f>
        <v/>
      </c>
    </row>
    <row r="1769" spans="2:6" x14ac:dyDescent="0.2">
      <c r="B1769" s="44"/>
      <c r="C1769" s="44"/>
      <c r="D1769" s="44"/>
      <c r="E1769" s="42"/>
      <c r="F1769" s="43" t="str">
        <f>IF(E1769="", "", IF(AND(E1769&gt;='PAINEL DE CONTROLE'!$C$5*(1-CONFIGURAÇÕES!$D$7), E1769&lt;='PAINEL DE CONTROLE'!$C$5*(1+CONFIGURAÇÕES!$D$7)), "DENTRO", "FORA"))</f>
        <v/>
      </c>
    </row>
    <row r="1770" spans="2:6" x14ac:dyDescent="0.2">
      <c r="B1770" s="44"/>
      <c r="C1770" s="44"/>
      <c r="D1770" s="44"/>
      <c r="E1770" s="42"/>
      <c r="F1770" s="43" t="str">
        <f>IF(E1770="", "", IF(AND(E1770&gt;='PAINEL DE CONTROLE'!$C$5*(1-CONFIGURAÇÕES!$D$7), E1770&lt;='PAINEL DE CONTROLE'!$C$5*(1+CONFIGURAÇÕES!$D$7)), "DENTRO", "FORA"))</f>
        <v/>
      </c>
    </row>
    <row r="1771" spans="2:6" x14ac:dyDescent="0.2">
      <c r="B1771" s="44"/>
      <c r="C1771" s="44"/>
      <c r="D1771" s="44"/>
      <c r="E1771" s="42"/>
      <c r="F1771" s="43" t="str">
        <f>IF(E1771="", "", IF(AND(E1771&gt;='PAINEL DE CONTROLE'!$C$5*(1-CONFIGURAÇÕES!$D$7), E1771&lt;='PAINEL DE CONTROLE'!$C$5*(1+CONFIGURAÇÕES!$D$7)), "DENTRO", "FORA"))</f>
        <v/>
      </c>
    </row>
    <row r="1772" spans="2:6" x14ac:dyDescent="0.2">
      <c r="B1772" s="44"/>
      <c r="C1772" s="44"/>
      <c r="D1772" s="44"/>
      <c r="E1772" s="42"/>
      <c r="F1772" s="43" t="str">
        <f>IF(E1772="", "", IF(AND(E1772&gt;='PAINEL DE CONTROLE'!$C$5*(1-CONFIGURAÇÕES!$D$7), E1772&lt;='PAINEL DE CONTROLE'!$C$5*(1+CONFIGURAÇÕES!$D$7)), "DENTRO", "FORA"))</f>
        <v/>
      </c>
    </row>
    <row r="1773" spans="2:6" x14ac:dyDescent="0.2">
      <c r="B1773" s="44"/>
      <c r="C1773" s="44"/>
      <c r="D1773" s="44"/>
      <c r="E1773" s="42"/>
      <c r="F1773" s="43" t="str">
        <f>IF(E1773="", "", IF(AND(E1773&gt;='PAINEL DE CONTROLE'!$C$5*(1-CONFIGURAÇÕES!$D$7), E1773&lt;='PAINEL DE CONTROLE'!$C$5*(1+CONFIGURAÇÕES!$D$7)), "DENTRO", "FORA"))</f>
        <v/>
      </c>
    </row>
    <row r="1774" spans="2:6" x14ac:dyDescent="0.2">
      <c r="B1774" s="44"/>
      <c r="C1774" s="44"/>
      <c r="D1774" s="44"/>
      <c r="E1774" s="42"/>
      <c r="F1774" s="43" t="str">
        <f>IF(E1774="", "", IF(AND(E1774&gt;='PAINEL DE CONTROLE'!$C$5*(1-CONFIGURAÇÕES!$D$7), E1774&lt;='PAINEL DE CONTROLE'!$C$5*(1+CONFIGURAÇÕES!$D$7)), "DENTRO", "FORA"))</f>
        <v/>
      </c>
    </row>
    <row r="1775" spans="2:6" x14ac:dyDescent="0.2">
      <c r="B1775" s="44"/>
      <c r="C1775" s="44"/>
      <c r="D1775" s="44"/>
      <c r="E1775" s="42"/>
      <c r="F1775" s="43" t="str">
        <f>IF(E1775="", "", IF(AND(E1775&gt;='PAINEL DE CONTROLE'!$C$5*(1-CONFIGURAÇÕES!$D$7), E1775&lt;='PAINEL DE CONTROLE'!$C$5*(1+CONFIGURAÇÕES!$D$7)), "DENTRO", "FORA"))</f>
        <v/>
      </c>
    </row>
    <row r="1776" spans="2:6" x14ac:dyDescent="0.2">
      <c r="B1776" s="44"/>
      <c r="C1776" s="44"/>
      <c r="D1776" s="44"/>
      <c r="E1776" s="42"/>
      <c r="F1776" s="43" t="str">
        <f>IF(E1776="", "", IF(AND(E1776&gt;='PAINEL DE CONTROLE'!$C$5*(1-CONFIGURAÇÕES!$D$7), E1776&lt;='PAINEL DE CONTROLE'!$C$5*(1+CONFIGURAÇÕES!$D$7)), "DENTRO", "FORA"))</f>
        <v/>
      </c>
    </row>
    <row r="1777" spans="2:6" x14ac:dyDescent="0.2">
      <c r="B1777" s="44"/>
      <c r="C1777" s="44"/>
      <c r="D1777" s="44"/>
      <c r="E1777" s="42"/>
      <c r="F1777" s="43" t="str">
        <f>IF(E1777="", "", IF(AND(E1777&gt;='PAINEL DE CONTROLE'!$C$5*(1-CONFIGURAÇÕES!$D$7), E1777&lt;='PAINEL DE CONTROLE'!$C$5*(1+CONFIGURAÇÕES!$D$7)), "DENTRO", "FORA"))</f>
        <v/>
      </c>
    </row>
    <row r="1778" spans="2:6" x14ac:dyDescent="0.2">
      <c r="B1778" s="44"/>
      <c r="C1778" s="44"/>
      <c r="D1778" s="44"/>
      <c r="E1778" s="42"/>
      <c r="F1778" s="43" t="str">
        <f>IF(E1778="", "", IF(AND(E1778&gt;='PAINEL DE CONTROLE'!$C$5*(1-CONFIGURAÇÕES!$D$7), E1778&lt;='PAINEL DE CONTROLE'!$C$5*(1+CONFIGURAÇÕES!$D$7)), "DENTRO", "FORA"))</f>
        <v/>
      </c>
    </row>
    <row r="1779" spans="2:6" x14ac:dyDescent="0.2">
      <c r="B1779" s="44"/>
      <c r="C1779" s="44"/>
      <c r="D1779" s="44"/>
      <c r="E1779" s="42"/>
      <c r="F1779" s="43" t="str">
        <f>IF(E1779="", "", IF(AND(E1779&gt;='PAINEL DE CONTROLE'!$C$5*(1-CONFIGURAÇÕES!$D$7), E1779&lt;='PAINEL DE CONTROLE'!$C$5*(1+CONFIGURAÇÕES!$D$7)), "DENTRO", "FORA"))</f>
        <v/>
      </c>
    </row>
    <row r="1780" spans="2:6" x14ac:dyDescent="0.2">
      <c r="B1780" s="44"/>
      <c r="C1780" s="44"/>
      <c r="D1780" s="44"/>
      <c r="E1780" s="42"/>
      <c r="F1780" s="43" t="str">
        <f>IF(E1780="", "", IF(AND(E1780&gt;='PAINEL DE CONTROLE'!$C$5*(1-CONFIGURAÇÕES!$D$7), E1780&lt;='PAINEL DE CONTROLE'!$C$5*(1+CONFIGURAÇÕES!$D$7)), "DENTRO", "FORA"))</f>
        <v/>
      </c>
    </row>
    <row r="1781" spans="2:6" x14ac:dyDescent="0.2">
      <c r="B1781" s="44"/>
      <c r="C1781" s="44"/>
      <c r="D1781" s="44"/>
      <c r="E1781" s="42"/>
      <c r="F1781" s="43" t="str">
        <f>IF(E1781="", "", IF(AND(E1781&gt;='PAINEL DE CONTROLE'!$C$5*(1-CONFIGURAÇÕES!$D$7), E1781&lt;='PAINEL DE CONTROLE'!$C$5*(1+CONFIGURAÇÕES!$D$7)), "DENTRO", "FORA"))</f>
        <v/>
      </c>
    </row>
    <row r="1782" spans="2:6" x14ac:dyDescent="0.2">
      <c r="B1782" s="44"/>
      <c r="C1782" s="44"/>
      <c r="D1782" s="44"/>
      <c r="E1782" s="42"/>
      <c r="F1782" s="43" t="str">
        <f>IF(E1782="", "", IF(AND(E1782&gt;='PAINEL DE CONTROLE'!$C$5*(1-CONFIGURAÇÕES!$D$7), E1782&lt;='PAINEL DE CONTROLE'!$C$5*(1+CONFIGURAÇÕES!$D$7)), "DENTRO", "FORA"))</f>
        <v/>
      </c>
    </row>
    <row r="1783" spans="2:6" x14ac:dyDescent="0.2">
      <c r="B1783" s="44"/>
      <c r="C1783" s="44"/>
      <c r="D1783" s="44"/>
      <c r="E1783" s="42"/>
      <c r="F1783" s="43" t="str">
        <f>IF(E1783="", "", IF(AND(E1783&gt;='PAINEL DE CONTROLE'!$C$5*(1-CONFIGURAÇÕES!$D$7), E1783&lt;='PAINEL DE CONTROLE'!$C$5*(1+CONFIGURAÇÕES!$D$7)), "DENTRO", "FORA"))</f>
        <v/>
      </c>
    </row>
    <row r="1784" spans="2:6" x14ac:dyDescent="0.2">
      <c r="B1784" s="44"/>
      <c r="C1784" s="44"/>
      <c r="D1784" s="44"/>
      <c r="E1784" s="42"/>
      <c r="F1784" s="43" t="str">
        <f>IF(E1784="", "", IF(AND(E1784&gt;='PAINEL DE CONTROLE'!$C$5*(1-CONFIGURAÇÕES!$D$7), E1784&lt;='PAINEL DE CONTROLE'!$C$5*(1+CONFIGURAÇÕES!$D$7)), "DENTRO", "FORA"))</f>
        <v/>
      </c>
    </row>
    <row r="1785" spans="2:6" x14ac:dyDescent="0.2">
      <c r="B1785" s="44"/>
      <c r="C1785" s="44"/>
      <c r="D1785" s="44"/>
      <c r="E1785" s="42"/>
      <c r="F1785" s="43" t="str">
        <f>IF(E1785="", "", IF(AND(E1785&gt;='PAINEL DE CONTROLE'!$C$5*(1-CONFIGURAÇÕES!$D$7), E1785&lt;='PAINEL DE CONTROLE'!$C$5*(1+CONFIGURAÇÕES!$D$7)), "DENTRO", "FORA"))</f>
        <v/>
      </c>
    </row>
    <row r="1786" spans="2:6" x14ac:dyDescent="0.2">
      <c r="B1786" s="44"/>
      <c r="C1786" s="44"/>
      <c r="D1786" s="44"/>
      <c r="E1786" s="42"/>
      <c r="F1786" s="43" t="str">
        <f>IF(E1786="", "", IF(AND(E1786&gt;='PAINEL DE CONTROLE'!$C$5*(1-CONFIGURAÇÕES!$D$7), E1786&lt;='PAINEL DE CONTROLE'!$C$5*(1+CONFIGURAÇÕES!$D$7)), "DENTRO", "FORA"))</f>
        <v/>
      </c>
    </row>
    <row r="1787" spans="2:6" x14ac:dyDescent="0.2">
      <c r="B1787" s="44"/>
      <c r="C1787" s="44"/>
      <c r="D1787" s="44"/>
      <c r="E1787" s="42"/>
      <c r="F1787" s="43" t="str">
        <f>IF(E1787="", "", IF(AND(E1787&gt;='PAINEL DE CONTROLE'!$C$5*(1-CONFIGURAÇÕES!$D$7), E1787&lt;='PAINEL DE CONTROLE'!$C$5*(1+CONFIGURAÇÕES!$D$7)), "DENTRO", "FORA"))</f>
        <v/>
      </c>
    </row>
    <row r="1788" spans="2:6" x14ac:dyDescent="0.2">
      <c r="B1788" s="44"/>
      <c r="C1788" s="44"/>
      <c r="D1788" s="44"/>
      <c r="E1788" s="42"/>
      <c r="F1788" s="43" t="str">
        <f>IF(E1788="", "", IF(AND(E1788&gt;='PAINEL DE CONTROLE'!$C$5*(1-CONFIGURAÇÕES!$D$7), E1788&lt;='PAINEL DE CONTROLE'!$C$5*(1+CONFIGURAÇÕES!$D$7)), "DENTRO", "FORA"))</f>
        <v/>
      </c>
    </row>
    <row r="1789" spans="2:6" x14ac:dyDescent="0.2">
      <c r="B1789" s="44"/>
      <c r="C1789" s="44"/>
      <c r="D1789" s="44"/>
      <c r="E1789" s="42"/>
      <c r="F1789" s="43" t="str">
        <f>IF(E1789="", "", IF(AND(E1789&gt;='PAINEL DE CONTROLE'!$C$5*(1-CONFIGURAÇÕES!$D$7), E1789&lt;='PAINEL DE CONTROLE'!$C$5*(1+CONFIGURAÇÕES!$D$7)), "DENTRO", "FORA"))</f>
        <v/>
      </c>
    </row>
    <row r="1790" spans="2:6" x14ac:dyDescent="0.2">
      <c r="B1790" s="44"/>
      <c r="C1790" s="44"/>
      <c r="D1790" s="44"/>
      <c r="E1790" s="42"/>
      <c r="F1790" s="43" t="str">
        <f>IF(E1790="", "", IF(AND(E1790&gt;='PAINEL DE CONTROLE'!$C$5*(1-CONFIGURAÇÕES!$D$7), E1790&lt;='PAINEL DE CONTROLE'!$C$5*(1+CONFIGURAÇÕES!$D$7)), "DENTRO", "FORA"))</f>
        <v/>
      </c>
    </row>
    <row r="1791" spans="2:6" x14ac:dyDescent="0.2">
      <c r="B1791" s="44"/>
      <c r="C1791" s="44"/>
      <c r="D1791" s="44"/>
      <c r="E1791" s="42"/>
      <c r="F1791" s="43" t="str">
        <f>IF(E1791="", "", IF(AND(E1791&gt;='PAINEL DE CONTROLE'!$C$5*(1-CONFIGURAÇÕES!$D$7), E1791&lt;='PAINEL DE CONTROLE'!$C$5*(1+CONFIGURAÇÕES!$D$7)), "DENTRO", "FORA"))</f>
        <v/>
      </c>
    </row>
    <row r="1792" spans="2:6" x14ac:dyDescent="0.2">
      <c r="B1792" s="44"/>
      <c r="C1792" s="44"/>
      <c r="D1792" s="44"/>
      <c r="E1792" s="42"/>
      <c r="F1792" s="43" t="str">
        <f>IF(E1792="", "", IF(AND(E1792&gt;='PAINEL DE CONTROLE'!$C$5*(1-CONFIGURAÇÕES!$D$7), E1792&lt;='PAINEL DE CONTROLE'!$C$5*(1+CONFIGURAÇÕES!$D$7)), "DENTRO", "FORA"))</f>
        <v/>
      </c>
    </row>
    <row r="1793" spans="2:6" x14ac:dyDescent="0.2">
      <c r="B1793" s="44"/>
      <c r="C1793" s="44"/>
      <c r="D1793" s="44"/>
      <c r="E1793" s="42"/>
      <c r="F1793" s="43" t="str">
        <f>IF(E1793="", "", IF(AND(E1793&gt;='PAINEL DE CONTROLE'!$C$5*(1-CONFIGURAÇÕES!$D$7), E1793&lt;='PAINEL DE CONTROLE'!$C$5*(1+CONFIGURAÇÕES!$D$7)), "DENTRO", "FORA"))</f>
        <v/>
      </c>
    </row>
    <row r="1794" spans="2:6" x14ac:dyDescent="0.2">
      <c r="B1794" s="44"/>
      <c r="C1794" s="44"/>
      <c r="D1794" s="44"/>
      <c r="E1794" s="42"/>
      <c r="F1794" s="43" t="str">
        <f>IF(E1794="", "", IF(AND(E1794&gt;='PAINEL DE CONTROLE'!$C$5*(1-CONFIGURAÇÕES!$D$7), E1794&lt;='PAINEL DE CONTROLE'!$C$5*(1+CONFIGURAÇÕES!$D$7)), "DENTRO", "FORA"))</f>
        <v/>
      </c>
    </row>
    <row r="1795" spans="2:6" x14ac:dyDescent="0.2">
      <c r="B1795" s="44"/>
      <c r="C1795" s="44"/>
      <c r="D1795" s="44"/>
      <c r="E1795" s="42"/>
      <c r="F1795" s="43" t="str">
        <f>IF(E1795="", "", IF(AND(E1795&gt;='PAINEL DE CONTROLE'!$C$5*(1-CONFIGURAÇÕES!$D$7), E1795&lt;='PAINEL DE CONTROLE'!$C$5*(1+CONFIGURAÇÕES!$D$7)), "DENTRO", "FORA"))</f>
        <v/>
      </c>
    </row>
    <row r="1796" spans="2:6" x14ac:dyDescent="0.2">
      <c r="B1796" s="44"/>
      <c r="C1796" s="44"/>
      <c r="D1796" s="44"/>
      <c r="E1796" s="42"/>
      <c r="F1796" s="43" t="str">
        <f>IF(E1796="", "", IF(AND(E1796&gt;='PAINEL DE CONTROLE'!$C$5*(1-CONFIGURAÇÕES!$D$7), E1796&lt;='PAINEL DE CONTROLE'!$C$5*(1+CONFIGURAÇÕES!$D$7)), "DENTRO", "FORA"))</f>
        <v/>
      </c>
    </row>
    <row r="1797" spans="2:6" x14ac:dyDescent="0.2">
      <c r="B1797" s="44"/>
      <c r="C1797" s="44"/>
      <c r="D1797" s="44"/>
      <c r="E1797" s="42"/>
      <c r="F1797" s="43" t="str">
        <f>IF(E1797="", "", IF(AND(E1797&gt;='PAINEL DE CONTROLE'!$C$5*(1-CONFIGURAÇÕES!$D$7), E1797&lt;='PAINEL DE CONTROLE'!$C$5*(1+CONFIGURAÇÕES!$D$7)), "DENTRO", "FORA"))</f>
        <v/>
      </c>
    </row>
    <row r="1798" spans="2:6" x14ac:dyDescent="0.2">
      <c r="B1798" s="44"/>
      <c r="C1798" s="44"/>
      <c r="D1798" s="44"/>
      <c r="E1798" s="42"/>
      <c r="F1798" s="43" t="str">
        <f>IF(E1798="", "", IF(AND(E1798&gt;='PAINEL DE CONTROLE'!$C$5*(1-CONFIGURAÇÕES!$D$7), E1798&lt;='PAINEL DE CONTROLE'!$C$5*(1+CONFIGURAÇÕES!$D$7)), "DENTRO", "FORA"))</f>
        <v/>
      </c>
    </row>
    <row r="1799" spans="2:6" x14ac:dyDescent="0.2">
      <c r="B1799" s="44"/>
      <c r="C1799" s="44"/>
      <c r="D1799" s="44"/>
      <c r="E1799" s="42"/>
      <c r="F1799" s="43" t="str">
        <f>IF(E1799="", "", IF(AND(E1799&gt;='PAINEL DE CONTROLE'!$C$5*(1-CONFIGURAÇÕES!$D$7), E1799&lt;='PAINEL DE CONTROLE'!$C$5*(1+CONFIGURAÇÕES!$D$7)), "DENTRO", "FORA"))</f>
        <v/>
      </c>
    </row>
    <row r="1800" spans="2:6" x14ac:dyDescent="0.2">
      <c r="B1800" s="44"/>
      <c r="C1800" s="44"/>
      <c r="D1800" s="44"/>
      <c r="E1800" s="42"/>
      <c r="F1800" s="43" t="str">
        <f>IF(E1800="", "", IF(AND(E1800&gt;='PAINEL DE CONTROLE'!$C$5*(1-CONFIGURAÇÕES!$D$7), E1800&lt;='PAINEL DE CONTROLE'!$C$5*(1+CONFIGURAÇÕES!$D$7)), "DENTRO", "FORA"))</f>
        <v/>
      </c>
    </row>
    <row r="1801" spans="2:6" x14ac:dyDescent="0.2">
      <c r="B1801" s="44"/>
      <c r="C1801" s="44"/>
      <c r="D1801" s="44"/>
      <c r="E1801" s="42"/>
      <c r="F1801" s="43" t="str">
        <f>IF(E1801="", "", IF(AND(E1801&gt;='PAINEL DE CONTROLE'!$C$5*(1-CONFIGURAÇÕES!$D$7), E1801&lt;='PAINEL DE CONTROLE'!$C$5*(1+CONFIGURAÇÕES!$D$7)), "DENTRO", "FORA"))</f>
        <v/>
      </c>
    </row>
    <row r="1802" spans="2:6" x14ac:dyDescent="0.2">
      <c r="B1802" s="44"/>
      <c r="C1802" s="44"/>
      <c r="D1802" s="44"/>
      <c r="E1802" s="42"/>
      <c r="F1802" s="43" t="str">
        <f>IF(E1802="", "", IF(AND(E1802&gt;='PAINEL DE CONTROLE'!$C$5*(1-CONFIGURAÇÕES!$D$7), E1802&lt;='PAINEL DE CONTROLE'!$C$5*(1+CONFIGURAÇÕES!$D$7)), "DENTRO", "FORA"))</f>
        <v/>
      </c>
    </row>
    <row r="1803" spans="2:6" x14ac:dyDescent="0.2">
      <c r="B1803" s="44"/>
      <c r="C1803" s="44"/>
      <c r="D1803" s="44"/>
      <c r="E1803" s="42"/>
      <c r="F1803" s="43" t="str">
        <f>IF(E1803="", "", IF(AND(E1803&gt;='PAINEL DE CONTROLE'!$C$5*(1-CONFIGURAÇÕES!$D$7), E1803&lt;='PAINEL DE CONTROLE'!$C$5*(1+CONFIGURAÇÕES!$D$7)), "DENTRO", "FORA"))</f>
        <v/>
      </c>
    </row>
    <row r="1804" spans="2:6" x14ac:dyDescent="0.2">
      <c r="B1804" s="44"/>
      <c r="C1804" s="44"/>
      <c r="D1804" s="44"/>
      <c r="E1804" s="42"/>
      <c r="F1804" s="43" t="str">
        <f>IF(E1804="", "", IF(AND(E1804&gt;='PAINEL DE CONTROLE'!$C$5*(1-CONFIGURAÇÕES!$D$7), E1804&lt;='PAINEL DE CONTROLE'!$C$5*(1+CONFIGURAÇÕES!$D$7)), "DENTRO", "FORA"))</f>
        <v/>
      </c>
    </row>
    <row r="1805" spans="2:6" x14ac:dyDescent="0.2">
      <c r="B1805" s="44"/>
      <c r="C1805" s="44"/>
      <c r="D1805" s="44"/>
      <c r="E1805" s="42"/>
      <c r="F1805" s="43" t="str">
        <f>IF(E1805="", "", IF(AND(E1805&gt;='PAINEL DE CONTROLE'!$C$5*(1-CONFIGURAÇÕES!$D$7), E1805&lt;='PAINEL DE CONTROLE'!$C$5*(1+CONFIGURAÇÕES!$D$7)), "DENTRO", "FORA"))</f>
        <v/>
      </c>
    </row>
    <row r="1806" spans="2:6" x14ac:dyDescent="0.2">
      <c r="B1806" s="44"/>
      <c r="C1806" s="44"/>
      <c r="D1806" s="44"/>
      <c r="E1806" s="42"/>
      <c r="F1806" s="43" t="str">
        <f>IF(E1806="", "", IF(AND(E1806&gt;='PAINEL DE CONTROLE'!$C$5*(1-CONFIGURAÇÕES!$D$7), E1806&lt;='PAINEL DE CONTROLE'!$C$5*(1+CONFIGURAÇÕES!$D$7)), "DENTRO", "FORA"))</f>
        <v/>
      </c>
    </row>
    <row r="1807" spans="2:6" x14ac:dyDescent="0.2">
      <c r="B1807" s="44"/>
      <c r="C1807" s="44"/>
      <c r="D1807" s="44"/>
      <c r="E1807" s="42"/>
      <c r="F1807" s="43" t="str">
        <f>IF(E1807="", "", IF(AND(E1807&gt;='PAINEL DE CONTROLE'!$C$5*(1-CONFIGURAÇÕES!$D$7), E1807&lt;='PAINEL DE CONTROLE'!$C$5*(1+CONFIGURAÇÕES!$D$7)), "DENTRO", "FORA"))</f>
        <v/>
      </c>
    </row>
    <row r="1808" spans="2:6" x14ac:dyDescent="0.2">
      <c r="B1808" s="44"/>
      <c r="C1808" s="44"/>
      <c r="D1808" s="44"/>
      <c r="E1808" s="42"/>
      <c r="F1808" s="43" t="str">
        <f>IF(E1808="", "", IF(AND(E1808&gt;='PAINEL DE CONTROLE'!$C$5*(1-CONFIGURAÇÕES!$D$7), E1808&lt;='PAINEL DE CONTROLE'!$C$5*(1+CONFIGURAÇÕES!$D$7)), "DENTRO", "FORA"))</f>
        <v/>
      </c>
    </row>
    <row r="1809" spans="2:6" x14ac:dyDescent="0.2">
      <c r="B1809" s="44"/>
      <c r="C1809" s="44"/>
      <c r="D1809" s="44"/>
      <c r="E1809" s="42"/>
      <c r="F1809" s="43" t="str">
        <f>IF(E1809="", "", IF(AND(E1809&gt;='PAINEL DE CONTROLE'!$C$5*(1-CONFIGURAÇÕES!$D$7), E1809&lt;='PAINEL DE CONTROLE'!$C$5*(1+CONFIGURAÇÕES!$D$7)), "DENTRO", "FORA"))</f>
        <v/>
      </c>
    </row>
    <row r="1810" spans="2:6" x14ac:dyDescent="0.2">
      <c r="B1810" s="44"/>
      <c r="C1810" s="44"/>
      <c r="D1810" s="44"/>
      <c r="E1810" s="42"/>
      <c r="F1810" s="43" t="str">
        <f>IF(E1810="", "", IF(AND(E1810&gt;='PAINEL DE CONTROLE'!$C$5*(1-CONFIGURAÇÕES!$D$7), E1810&lt;='PAINEL DE CONTROLE'!$C$5*(1+CONFIGURAÇÕES!$D$7)), "DENTRO", "FORA"))</f>
        <v/>
      </c>
    </row>
    <row r="1811" spans="2:6" x14ac:dyDescent="0.2">
      <c r="B1811" s="44"/>
      <c r="C1811" s="44"/>
      <c r="D1811" s="44"/>
      <c r="E1811" s="42"/>
      <c r="F1811" s="43" t="str">
        <f>IF(E1811="", "", IF(AND(E1811&gt;='PAINEL DE CONTROLE'!$C$5*(1-CONFIGURAÇÕES!$D$7), E1811&lt;='PAINEL DE CONTROLE'!$C$5*(1+CONFIGURAÇÕES!$D$7)), "DENTRO", "FORA"))</f>
        <v/>
      </c>
    </row>
    <row r="1812" spans="2:6" x14ac:dyDescent="0.2">
      <c r="B1812" s="44"/>
      <c r="C1812" s="44"/>
      <c r="D1812" s="44"/>
      <c r="E1812" s="42"/>
      <c r="F1812" s="43" t="str">
        <f>IF(E1812="", "", IF(AND(E1812&gt;='PAINEL DE CONTROLE'!$C$5*(1-CONFIGURAÇÕES!$D$7), E1812&lt;='PAINEL DE CONTROLE'!$C$5*(1+CONFIGURAÇÕES!$D$7)), "DENTRO", "FORA"))</f>
        <v/>
      </c>
    </row>
    <row r="1813" spans="2:6" x14ac:dyDescent="0.2">
      <c r="B1813" s="44"/>
      <c r="C1813" s="44"/>
      <c r="D1813" s="44"/>
      <c r="E1813" s="42"/>
      <c r="F1813" s="43" t="str">
        <f>IF(E1813="", "", IF(AND(E1813&gt;='PAINEL DE CONTROLE'!$C$5*(1-CONFIGURAÇÕES!$D$7), E1813&lt;='PAINEL DE CONTROLE'!$C$5*(1+CONFIGURAÇÕES!$D$7)), "DENTRO", "FORA"))</f>
        <v/>
      </c>
    </row>
    <row r="1814" spans="2:6" x14ac:dyDescent="0.2">
      <c r="B1814" s="44"/>
      <c r="C1814" s="44"/>
      <c r="D1814" s="44"/>
      <c r="E1814" s="42"/>
      <c r="F1814" s="43" t="str">
        <f>IF(E1814="", "", IF(AND(E1814&gt;='PAINEL DE CONTROLE'!$C$5*(1-CONFIGURAÇÕES!$D$7), E1814&lt;='PAINEL DE CONTROLE'!$C$5*(1+CONFIGURAÇÕES!$D$7)), "DENTRO", "FORA"))</f>
        <v/>
      </c>
    </row>
    <row r="1815" spans="2:6" x14ac:dyDescent="0.2">
      <c r="B1815" s="44"/>
      <c r="C1815" s="44"/>
      <c r="D1815" s="44"/>
      <c r="E1815" s="42"/>
      <c r="F1815" s="43" t="str">
        <f>IF(E1815="", "", IF(AND(E1815&gt;='PAINEL DE CONTROLE'!$C$5*(1-CONFIGURAÇÕES!$D$7), E1815&lt;='PAINEL DE CONTROLE'!$C$5*(1+CONFIGURAÇÕES!$D$7)), "DENTRO", "FORA"))</f>
        <v/>
      </c>
    </row>
    <row r="1816" spans="2:6" x14ac:dyDescent="0.2">
      <c r="B1816" s="44"/>
      <c r="C1816" s="44"/>
      <c r="D1816" s="44"/>
      <c r="E1816" s="42"/>
      <c r="F1816" s="43" t="str">
        <f>IF(E1816="", "", IF(AND(E1816&gt;='PAINEL DE CONTROLE'!$C$5*(1-CONFIGURAÇÕES!$D$7), E1816&lt;='PAINEL DE CONTROLE'!$C$5*(1+CONFIGURAÇÕES!$D$7)), "DENTRO", "FORA"))</f>
        <v/>
      </c>
    </row>
    <row r="1817" spans="2:6" x14ac:dyDescent="0.2">
      <c r="B1817" s="44"/>
      <c r="C1817" s="44"/>
      <c r="D1817" s="44"/>
      <c r="E1817" s="42"/>
      <c r="F1817" s="43" t="str">
        <f>IF(E1817="", "", IF(AND(E1817&gt;='PAINEL DE CONTROLE'!$C$5*(1-CONFIGURAÇÕES!$D$7), E1817&lt;='PAINEL DE CONTROLE'!$C$5*(1+CONFIGURAÇÕES!$D$7)), "DENTRO", "FORA"))</f>
        <v/>
      </c>
    </row>
    <row r="1818" spans="2:6" x14ac:dyDescent="0.2">
      <c r="B1818" s="44"/>
      <c r="C1818" s="44"/>
      <c r="D1818" s="44"/>
      <c r="E1818" s="42"/>
      <c r="F1818" s="43" t="str">
        <f>IF(E1818="", "", IF(AND(E1818&gt;='PAINEL DE CONTROLE'!$C$5*(1-CONFIGURAÇÕES!$D$7), E1818&lt;='PAINEL DE CONTROLE'!$C$5*(1+CONFIGURAÇÕES!$D$7)), "DENTRO", "FORA"))</f>
        <v/>
      </c>
    </row>
    <row r="1819" spans="2:6" x14ac:dyDescent="0.2">
      <c r="B1819" s="44"/>
      <c r="C1819" s="44"/>
      <c r="D1819" s="44"/>
      <c r="E1819" s="42"/>
      <c r="F1819" s="43" t="str">
        <f>IF(E1819="", "", IF(AND(E1819&gt;='PAINEL DE CONTROLE'!$C$5*(1-CONFIGURAÇÕES!$D$7), E1819&lt;='PAINEL DE CONTROLE'!$C$5*(1+CONFIGURAÇÕES!$D$7)), "DENTRO", "FORA"))</f>
        <v/>
      </c>
    </row>
    <row r="1820" spans="2:6" x14ac:dyDescent="0.2">
      <c r="B1820" s="44"/>
      <c r="C1820" s="44"/>
      <c r="D1820" s="44"/>
      <c r="E1820" s="42"/>
      <c r="F1820" s="43" t="str">
        <f>IF(E1820="", "", IF(AND(E1820&gt;='PAINEL DE CONTROLE'!$C$5*(1-CONFIGURAÇÕES!$D$7), E1820&lt;='PAINEL DE CONTROLE'!$C$5*(1+CONFIGURAÇÕES!$D$7)), "DENTRO", "FORA"))</f>
        <v/>
      </c>
    </row>
    <row r="1821" spans="2:6" x14ac:dyDescent="0.2">
      <c r="B1821" s="44"/>
      <c r="C1821" s="44"/>
      <c r="D1821" s="44"/>
      <c r="E1821" s="42"/>
      <c r="F1821" s="43" t="str">
        <f>IF(E1821="", "", IF(AND(E1821&gt;='PAINEL DE CONTROLE'!$C$5*(1-CONFIGURAÇÕES!$D$7), E1821&lt;='PAINEL DE CONTROLE'!$C$5*(1+CONFIGURAÇÕES!$D$7)), "DENTRO", "FORA"))</f>
        <v/>
      </c>
    </row>
    <row r="1822" spans="2:6" x14ac:dyDescent="0.2">
      <c r="B1822" s="44"/>
      <c r="C1822" s="44"/>
      <c r="D1822" s="44"/>
      <c r="E1822" s="42"/>
      <c r="F1822" s="43" t="str">
        <f>IF(E1822="", "", IF(AND(E1822&gt;='PAINEL DE CONTROLE'!$C$5*(1-CONFIGURAÇÕES!$D$7), E1822&lt;='PAINEL DE CONTROLE'!$C$5*(1+CONFIGURAÇÕES!$D$7)), "DENTRO", "FORA"))</f>
        <v/>
      </c>
    </row>
    <row r="1823" spans="2:6" x14ac:dyDescent="0.2">
      <c r="B1823" s="44"/>
      <c r="C1823" s="44"/>
      <c r="D1823" s="44"/>
      <c r="E1823" s="42"/>
      <c r="F1823" s="43" t="str">
        <f>IF(E1823="", "", IF(AND(E1823&gt;='PAINEL DE CONTROLE'!$C$5*(1-CONFIGURAÇÕES!$D$7), E1823&lt;='PAINEL DE CONTROLE'!$C$5*(1+CONFIGURAÇÕES!$D$7)), "DENTRO", "FORA"))</f>
        <v/>
      </c>
    </row>
    <row r="1824" spans="2:6" x14ac:dyDescent="0.2">
      <c r="B1824" s="44"/>
      <c r="C1824" s="44"/>
      <c r="D1824" s="44"/>
      <c r="E1824" s="42"/>
      <c r="F1824" s="43" t="str">
        <f>IF(E1824="", "", IF(AND(E1824&gt;='PAINEL DE CONTROLE'!$C$5*(1-CONFIGURAÇÕES!$D$7), E1824&lt;='PAINEL DE CONTROLE'!$C$5*(1+CONFIGURAÇÕES!$D$7)), "DENTRO", "FORA"))</f>
        <v/>
      </c>
    </row>
    <row r="1825" spans="2:6" x14ac:dyDescent="0.2">
      <c r="B1825" s="44"/>
      <c r="C1825" s="44"/>
      <c r="D1825" s="44"/>
      <c r="E1825" s="42"/>
      <c r="F1825" s="43" t="str">
        <f>IF(E1825="", "", IF(AND(E1825&gt;='PAINEL DE CONTROLE'!$C$5*(1-CONFIGURAÇÕES!$D$7), E1825&lt;='PAINEL DE CONTROLE'!$C$5*(1+CONFIGURAÇÕES!$D$7)), "DENTRO", "FORA"))</f>
        <v/>
      </c>
    </row>
    <row r="1826" spans="2:6" x14ac:dyDescent="0.2">
      <c r="B1826" s="44"/>
      <c r="C1826" s="44"/>
      <c r="D1826" s="44"/>
      <c r="E1826" s="42"/>
      <c r="F1826" s="43" t="str">
        <f>IF(E1826="", "", IF(AND(E1826&gt;='PAINEL DE CONTROLE'!$C$5*(1-CONFIGURAÇÕES!$D$7), E1826&lt;='PAINEL DE CONTROLE'!$C$5*(1+CONFIGURAÇÕES!$D$7)), "DENTRO", "FORA"))</f>
        <v/>
      </c>
    </row>
    <row r="1827" spans="2:6" x14ac:dyDescent="0.2">
      <c r="B1827" s="44"/>
      <c r="C1827" s="44"/>
      <c r="D1827" s="44"/>
      <c r="E1827" s="42"/>
      <c r="F1827" s="43" t="str">
        <f>IF(E1827="", "", IF(AND(E1827&gt;='PAINEL DE CONTROLE'!$C$5*(1-CONFIGURAÇÕES!$D$7), E1827&lt;='PAINEL DE CONTROLE'!$C$5*(1+CONFIGURAÇÕES!$D$7)), "DENTRO", "FORA"))</f>
        <v/>
      </c>
    </row>
    <row r="1828" spans="2:6" x14ac:dyDescent="0.2">
      <c r="B1828" s="44"/>
      <c r="C1828" s="44"/>
      <c r="D1828" s="44"/>
      <c r="E1828" s="42"/>
      <c r="F1828" s="43" t="str">
        <f>IF(E1828="", "", IF(AND(E1828&gt;='PAINEL DE CONTROLE'!$C$5*(1-CONFIGURAÇÕES!$D$7), E1828&lt;='PAINEL DE CONTROLE'!$C$5*(1+CONFIGURAÇÕES!$D$7)), "DENTRO", "FORA"))</f>
        <v/>
      </c>
    </row>
    <row r="1829" spans="2:6" x14ac:dyDescent="0.2">
      <c r="B1829" s="44"/>
      <c r="C1829" s="44"/>
      <c r="D1829" s="44"/>
      <c r="E1829" s="42"/>
      <c r="F1829" s="43" t="str">
        <f>IF(E1829="", "", IF(AND(E1829&gt;='PAINEL DE CONTROLE'!$C$5*(1-CONFIGURAÇÕES!$D$7), E1829&lt;='PAINEL DE CONTROLE'!$C$5*(1+CONFIGURAÇÕES!$D$7)), "DENTRO", "FORA"))</f>
        <v/>
      </c>
    </row>
    <row r="1830" spans="2:6" x14ac:dyDescent="0.2">
      <c r="B1830" s="44"/>
      <c r="C1830" s="44"/>
      <c r="D1830" s="44"/>
      <c r="E1830" s="42"/>
      <c r="F1830" s="43" t="str">
        <f>IF(E1830="", "", IF(AND(E1830&gt;='PAINEL DE CONTROLE'!$C$5*(1-CONFIGURAÇÕES!$D$7), E1830&lt;='PAINEL DE CONTROLE'!$C$5*(1+CONFIGURAÇÕES!$D$7)), "DENTRO", "FORA"))</f>
        <v/>
      </c>
    </row>
    <row r="1831" spans="2:6" x14ac:dyDescent="0.2">
      <c r="B1831" s="44"/>
      <c r="C1831" s="44"/>
      <c r="D1831" s="44"/>
      <c r="E1831" s="42"/>
      <c r="F1831" s="43" t="str">
        <f>IF(E1831="", "", IF(AND(E1831&gt;='PAINEL DE CONTROLE'!$C$5*(1-CONFIGURAÇÕES!$D$7), E1831&lt;='PAINEL DE CONTROLE'!$C$5*(1+CONFIGURAÇÕES!$D$7)), "DENTRO", "FORA"))</f>
        <v/>
      </c>
    </row>
    <row r="1832" spans="2:6" x14ac:dyDescent="0.2">
      <c r="B1832" s="44"/>
      <c r="C1832" s="44"/>
      <c r="D1832" s="44"/>
      <c r="E1832" s="42"/>
      <c r="F1832" s="43" t="str">
        <f>IF(E1832="", "", IF(AND(E1832&gt;='PAINEL DE CONTROLE'!$C$5*(1-CONFIGURAÇÕES!$D$7), E1832&lt;='PAINEL DE CONTROLE'!$C$5*(1+CONFIGURAÇÕES!$D$7)), "DENTRO", "FORA"))</f>
        <v/>
      </c>
    </row>
    <row r="1833" spans="2:6" x14ac:dyDescent="0.2">
      <c r="B1833" s="44"/>
      <c r="C1833" s="44"/>
      <c r="D1833" s="44"/>
      <c r="E1833" s="42"/>
      <c r="F1833" s="43" t="str">
        <f>IF(E1833="", "", IF(AND(E1833&gt;='PAINEL DE CONTROLE'!$C$5*(1-CONFIGURAÇÕES!$D$7), E1833&lt;='PAINEL DE CONTROLE'!$C$5*(1+CONFIGURAÇÕES!$D$7)), "DENTRO", "FORA"))</f>
        <v/>
      </c>
    </row>
    <row r="1834" spans="2:6" x14ac:dyDescent="0.2">
      <c r="B1834" s="44"/>
      <c r="C1834" s="44"/>
      <c r="D1834" s="44"/>
      <c r="E1834" s="42"/>
      <c r="F1834" s="43" t="str">
        <f>IF(E1834="", "", IF(AND(E1834&gt;='PAINEL DE CONTROLE'!$C$5*(1-CONFIGURAÇÕES!$D$7), E1834&lt;='PAINEL DE CONTROLE'!$C$5*(1+CONFIGURAÇÕES!$D$7)), "DENTRO", "FORA"))</f>
        <v/>
      </c>
    </row>
    <row r="1835" spans="2:6" x14ac:dyDescent="0.2">
      <c r="B1835" s="44"/>
      <c r="C1835" s="44"/>
      <c r="D1835" s="44"/>
      <c r="E1835" s="42"/>
      <c r="F1835" s="43" t="str">
        <f>IF(E1835="", "", IF(AND(E1835&gt;='PAINEL DE CONTROLE'!$C$5*(1-CONFIGURAÇÕES!$D$7), E1835&lt;='PAINEL DE CONTROLE'!$C$5*(1+CONFIGURAÇÕES!$D$7)), "DENTRO", "FORA"))</f>
        <v/>
      </c>
    </row>
    <row r="1836" spans="2:6" x14ac:dyDescent="0.2">
      <c r="B1836" s="44"/>
      <c r="C1836" s="44"/>
      <c r="D1836" s="44"/>
      <c r="E1836" s="42"/>
      <c r="F1836" s="43" t="str">
        <f>IF(E1836="", "", IF(AND(E1836&gt;='PAINEL DE CONTROLE'!$C$5*(1-CONFIGURAÇÕES!$D$7), E1836&lt;='PAINEL DE CONTROLE'!$C$5*(1+CONFIGURAÇÕES!$D$7)), "DENTRO", "FORA"))</f>
        <v/>
      </c>
    </row>
    <row r="1837" spans="2:6" x14ac:dyDescent="0.2">
      <c r="B1837" s="44"/>
      <c r="C1837" s="44"/>
      <c r="D1837" s="44"/>
      <c r="E1837" s="42"/>
      <c r="F1837" s="43" t="str">
        <f>IF(E1837="", "", IF(AND(E1837&gt;='PAINEL DE CONTROLE'!$C$5*(1-CONFIGURAÇÕES!$D$7), E1837&lt;='PAINEL DE CONTROLE'!$C$5*(1+CONFIGURAÇÕES!$D$7)), "DENTRO", "FORA"))</f>
        <v/>
      </c>
    </row>
    <row r="1838" spans="2:6" x14ac:dyDescent="0.2">
      <c r="B1838" s="44"/>
      <c r="C1838" s="44"/>
      <c r="D1838" s="44"/>
      <c r="E1838" s="42"/>
      <c r="F1838" s="43" t="str">
        <f>IF(E1838="", "", IF(AND(E1838&gt;='PAINEL DE CONTROLE'!$C$5*(1-CONFIGURAÇÕES!$D$7), E1838&lt;='PAINEL DE CONTROLE'!$C$5*(1+CONFIGURAÇÕES!$D$7)), "DENTRO", "FORA"))</f>
        <v/>
      </c>
    </row>
    <row r="1839" spans="2:6" x14ac:dyDescent="0.2">
      <c r="B1839" s="44"/>
      <c r="C1839" s="44"/>
      <c r="D1839" s="44"/>
      <c r="E1839" s="42"/>
      <c r="F1839" s="43" t="str">
        <f>IF(E1839="", "", IF(AND(E1839&gt;='PAINEL DE CONTROLE'!$C$5*(1-CONFIGURAÇÕES!$D$7), E1839&lt;='PAINEL DE CONTROLE'!$C$5*(1+CONFIGURAÇÕES!$D$7)), "DENTRO", "FORA"))</f>
        <v/>
      </c>
    </row>
    <row r="1840" spans="2:6" x14ac:dyDescent="0.2">
      <c r="B1840" s="44"/>
      <c r="C1840" s="44"/>
      <c r="D1840" s="44"/>
      <c r="E1840" s="42"/>
      <c r="F1840" s="43" t="str">
        <f>IF(E1840="", "", IF(AND(E1840&gt;='PAINEL DE CONTROLE'!$C$5*(1-CONFIGURAÇÕES!$D$7), E1840&lt;='PAINEL DE CONTROLE'!$C$5*(1+CONFIGURAÇÕES!$D$7)), "DENTRO", "FORA"))</f>
        <v/>
      </c>
    </row>
    <row r="1841" spans="2:6" x14ac:dyDescent="0.2">
      <c r="B1841" s="44"/>
      <c r="C1841" s="44"/>
      <c r="D1841" s="44"/>
      <c r="E1841" s="42"/>
      <c r="F1841" s="43" t="str">
        <f>IF(E1841="", "", IF(AND(E1841&gt;='PAINEL DE CONTROLE'!$C$5*(1-CONFIGURAÇÕES!$D$7), E1841&lt;='PAINEL DE CONTROLE'!$C$5*(1+CONFIGURAÇÕES!$D$7)), "DENTRO", "FORA"))</f>
        <v/>
      </c>
    </row>
    <row r="1842" spans="2:6" x14ac:dyDescent="0.2">
      <c r="B1842" s="44"/>
      <c r="C1842" s="44"/>
      <c r="D1842" s="44"/>
      <c r="E1842" s="42"/>
      <c r="F1842" s="43" t="str">
        <f>IF(E1842="", "", IF(AND(E1842&gt;='PAINEL DE CONTROLE'!$C$5*(1-CONFIGURAÇÕES!$D$7), E1842&lt;='PAINEL DE CONTROLE'!$C$5*(1+CONFIGURAÇÕES!$D$7)), "DENTRO", "FORA"))</f>
        <v/>
      </c>
    </row>
    <row r="1843" spans="2:6" x14ac:dyDescent="0.2">
      <c r="B1843" s="44"/>
      <c r="C1843" s="44"/>
      <c r="D1843" s="44"/>
      <c r="E1843" s="42"/>
      <c r="F1843" s="43" t="str">
        <f>IF(E1843="", "", IF(AND(E1843&gt;='PAINEL DE CONTROLE'!$C$5*(1-CONFIGURAÇÕES!$D$7), E1843&lt;='PAINEL DE CONTROLE'!$C$5*(1+CONFIGURAÇÕES!$D$7)), "DENTRO", "FORA"))</f>
        <v/>
      </c>
    </row>
    <row r="1844" spans="2:6" x14ac:dyDescent="0.2">
      <c r="B1844" s="44"/>
      <c r="C1844" s="44"/>
      <c r="D1844" s="44"/>
      <c r="E1844" s="42"/>
      <c r="F1844" s="43" t="str">
        <f>IF(E1844="", "", IF(AND(E1844&gt;='PAINEL DE CONTROLE'!$C$5*(1-CONFIGURAÇÕES!$D$7), E1844&lt;='PAINEL DE CONTROLE'!$C$5*(1+CONFIGURAÇÕES!$D$7)), "DENTRO", "FORA"))</f>
        <v/>
      </c>
    </row>
    <row r="1845" spans="2:6" x14ac:dyDescent="0.2">
      <c r="B1845" s="44"/>
      <c r="C1845" s="44"/>
      <c r="D1845" s="44"/>
      <c r="E1845" s="42"/>
      <c r="F1845" s="43" t="str">
        <f>IF(E1845="", "", IF(AND(E1845&gt;='PAINEL DE CONTROLE'!$C$5*(1-CONFIGURAÇÕES!$D$7), E1845&lt;='PAINEL DE CONTROLE'!$C$5*(1+CONFIGURAÇÕES!$D$7)), "DENTRO", "FORA"))</f>
        <v/>
      </c>
    </row>
    <row r="1846" spans="2:6" x14ac:dyDescent="0.2">
      <c r="B1846" s="44"/>
      <c r="C1846" s="44"/>
      <c r="D1846" s="44"/>
      <c r="E1846" s="42"/>
      <c r="F1846" s="43" t="str">
        <f>IF(E1846="", "", IF(AND(E1846&gt;='PAINEL DE CONTROLE'!$C$5*(1-CONFIGURAÇÕES!$D$7), E1846&lt;='PAINEL DE CONTROLE'!$C$5*(1+CONFIGURAÇÕES!$D$7)), "DENTRO", "FORA"))</f>
        <v/>
      </c>
    </row>
    <row r="1847" spans="2:6" x14ac:dyDescent="0.2">
      <c r="B1847" s="44"/>
      <c r="C1847" s="44"/>
      <c r="D1847" s="44"/>
      <c r="E1847" s="42"/>
      <c r="F1847" s="43" t="str">
        <f>IF(E1847="", "", IF(AND(E1847&gt;='PAINEL DE CONTROLE'!$C$5*(1-CONFIGURAÇÕES!$D$7), E1847&lt;='PAINEL DE CONTROLE'!$C$5*(1+CONFIGURAÇÕES!$D$7)), "DENTRO", "FORA"))</f>
        <v/>
      </c>
    </row>
    <row r="1848" spans="2:6" x14ac:dyDescent="0.2">
      <c r="B1848" s="44"/>
      <c r="C1848" s="44"/>
      <c r="D1848" s="44"/>
      <c r="E1848" s="42"/>
      <c r="F1848" s="43" t="str">
        <f>IF(E1848="", "", IF(AND(E1848&gt;='PAINEL DE CONTROLE'!$C$5*(1-CONFIGURAÇÕES!$D$7), E1848&lt;='PAINEL DE CONTROLE'!$C$5*(1+CONFIGURAÇÕES!$D$7)), "DENTRO", "FORA"))</f>
        <v/>
      </c>
    </row>
    <row r="1849" spans="2:6" x14ac:dyDescent="0.2">
      <c r="B1849" s="44"/>
      <c r="C1849" s="44"/>
      <c r="D1849" s="44"/>
      <c r="E1849" s="42"/>
      <c r="F1849" s="43" t="str">
        <f>IF(E1849="", "", IF(AND(E1849&gt;='PAINEL DE CONTROLE'!$C$5*(1-CONFIGURAÇÕES!$D$7), E1849&lt;='PAINEL DE CONTROLE'!$C$5*(1+CONFIGURAÇÕES!$D$7)), "DENTRO", "FORA"))</f>
        <v/>
      </c>
    </row>
    <row r="1850" spans="2:6" x14ac:dyDescent="0.2">
      <c r="B1850" s="44"/>
      <c r="C1850" s="44"/>
      <c r="D1850" s="44"/>
      <c r="E1850" s="42"/>
      <c r="F1850" s="43" t="str">
        <f>IF(E1850="", "", IF(AND(E1850&gt;='PAINEL DE CONTROLE'!$C$5*(1-CONFIGURAÇÕES!$D$7), E1850&lt;='PAINEL DE CONTROLE'!$C$5*(1+CONFIGURAÇÕES!$D$7)), "DENTRO", "FORA"))</f>
        <v/>
      </c>
    </row>
    <row r="1851" spans="2:6" x14ac:dyDescent="0.2">
      <c r="B1851" s="44"/>
      <c r="C1851" s="44"/>
      <c r="D1851" s="44"/>
      <c r="E1851" s="42"/>
      <c r="F1851" s="43" t="str">
        <f>IF(E1851="", "", IF(AND(E1851&gt;='PAINEL DE CONTROLE'!$C$5*(1-CONFIGURAÇÕES!$D$7), E1851&lt;='PAINEL DE CONTROLE'!$C$5*(1+CONFIGURAÇÕES!$D$7)), "DENTRO", "FORA"))</f>
        <v/>
      </c>
    </row>
    <row r="1852" spans="2:6" x14ac:dyDescent="0.2">
      <c r="B1852" s="44"/>
      <c r="C1852" s="44"/>
      <c r="D1852" s="44"/>
      <c r="E1852" s="42"/>
      <c r="F1852" s="43" t="str">
        <f>IF(E1852="", "", IF(AND(E1852&gt;='PAINEL DE CONTROLE'!$C$5*(1-CONFIGURAÇÕES!$D$7), E1852&lt;='PAINEL DE CONTROLE'!$C$5*(1+CONFIGURAÇÕES!$D$7)), "DENTRO", "FORA"))</f>
        <v/>
      </c>
    </row>
    <row r="1853" spans="2:6" x14ac:dyDescent="0.2">
      <c r="B1853" s="44"/>
      <c r="C1853" s="44"/>
      <c r="D1853" s="44"/>
      <c r="E1853" s="42"/>
      <c r="F1853" s="43" t="str">
        <f>IF(E1853="", "", IF(AND(E1853&gt;='PAINEL DE CONTROLE'!$C$5*(1-CONFIGURAÇÕES!$D$7), E1853&lt;='PAINEL DE CONTROLE'!$C$5*(1+CONFIGURAÇÕES!$D$7)), "DENTRO", "FORA"))</f>
        <v/>
      </c>
    </row>
    <row r="1854" spans="2:6" x14ac:dyDescent="0.2">
      <c r="B1854" s="44"/>
      <c r="C1854" s="44"/>
      <c r="D1854" s="44"/>
      <c r="E1854" s="42"/>
      <c r="F1854" s="43" t="str">
        <f>IF(E1854="", "", IF(AND(E1854&gt;='PAINEL DE CONTROLE'!$C$5*(1-CONFIGURAÇÕES!$D$7), E1854&lt;='PAINEL DE CONTROLE'!$C$5*(1+CONFIGURAÇÕES!$D$7)), "DENTRO", "FORA"))</f>
        <v/>
      </c>
    </row>
    <row r="1855" spans="2:6" x14ac:dyDescent="0.2">
      <c r="B1855" s="44"/>
      <c r="C1855" s="44"/>
      <c r="D1855" s="44"/>
      <c r="E1855" s="42"/>
      <c r="F1855" s="43" t="str">
        <f>IF(E1855="", "", IF(AND(E1855&gt;='PAINEL DE CONTROLE'!$C$5*(1-CONFIGURAÇÕES!$D$7), E1855&lt;='PAINEL DE CONTROLE'!$C$5*(1+CONFIGURAÇÕES!$D$7)), "DENTRO", "FORA"))</f>
        <v/>
      </c>
    </row>
    <row r="1856" spans="2:6" x14ac:dyDescent="0.2">
      <c r="B1856" s="44"/>
      <c r="C1856" s="44"/>
      <c r="D1856" s="44"/>
      <c r="E1856" s="42"/>
      <c r="F1856" s="43" t="str">
        <f>IF(E1856="", "", IF(AND(E1856&gt;='PAINEL DE CONTROLE'!$C$5*(1-CONFIGURAÇÕES!$D$7), E1856&lt;='PAINEL DE CONTROLE'!$C$5*(1+CONFIGURAÇÕES!$D$7)), "DENTRO", "FORA"))</f>
        <v/>
      </c>
    </row>
    <row r="1857" spans="2:6" x14ac:dyDescent="0.2">
      <c r="B1857" s="44"/>
      <c r="C1857" s="44"/>
      <c r="D1857" s="44"/>
      <c r="E1857" s="42"/>
      <c r="F1857" s="43" t="str">
        <f>IF(E1857="", "", IF(AND(E1857&gt;='PAINEL DE CONTROLE'!$C$5*(1-CONFIGURAÇÕES!$D$7), E1857&lt;='PAINEL DE CONTROLE'!$C$5*(1+CONFIGURAÇÕES!$D$7)), "DENTRO", "FORA"))</f>
        <v/>
      </c>
    </row>
    <row r="1858" spans="2:6" x14ac:dyDescent="0.2">
      <c r="B1858" s="44"/>
      <c r="C1858" s="44"/>
      <c r="D1858" s="44"/>
      <c r="E1858" s="42"/>
      <c r="F1858" s="43" t="str">
        <f>IF(E1858="", "", IF(AND(E1858&gt;='PAINEL DE CONTROLE'!$C$5*(1-CONFIGURAÇÕES!$D$7), E1858&lt;='PAINEL DE CONTROLE'!$C$5*(1+CONFIGURAÇÕES!$D$7)), "DENTRO", "FORA"))</f>
        <v/>
      </c>
    </row>
    <row r="1859" spans="2:6" x14ac:dyDescent="0.2">
      <c r="B1859" s="44"/>
      <c r="C1859" s="44"/>
      <c r="D1859" s="44"/>
      <c r="E1859" s="42"/>
      <c r="F1859" s="43" t="str">
        <f>IF(E1859="", "", IF(AND(E1859&gt;='PAINEL DE CONTROLE'!$C$5*(1-CONFIGURAÇÕES!$D$7), E1859&lt;='PAINEL DE CONTROLE'!$C$5*(1+CONFIGURAÇÕES!$D$7)), "DENTRO", "FORA"))</f>
        <v/>
      </c>
    </row>
    <row r="1860" spans="2:6" x14ac:dyDescent="0.2">
      <c r="B1860" s="44"/>
      <c r="C1860" s="44"/>
      <c r="D1860" s="44"/>
      <c r="E1860" s="42"/>
      <c r="F1860" s="43" t="str">
        <f>IF(E1860="", "", IF(AND(E1860&gt;='PAINEL DE CONTROLE'!$C$5*(1-CONFIGURAÇÕES!$D$7), E1860&lt;='PAINEL DE CONTROLE'!$C$5*(1+CONFIGURAÇÕES!$D$7)), "DENTRO", "FORA"))</f>
        <v/>
      </c>
    </row>
    <row r="1861" spans="2:6" x14ac:dyDescent="0.2">
      <c r="B1861" s="44"/>
      <c r="C1861" s="44"/>
      <c r="D1861" s="44"/>
      <c r="E1861" s="42"/>
      <c r="F1861" s="43" t="str">
        <f>IF(E1861="", "", IF(AND(E1861&gt;='PAINEL DE CONTROLE'!$C$5*(1-CONFIGURAÇÕES!$D$7), E1861&lt;='PAINEL DE CONTROLE'!$C$5*(1+CONFIGURAÇÕES!$D$7)), "DENTRO", "FORA"))</f>
        <v/>
      </c>
    </row>
    <row r="1862" spans="2:6" x14ac:dyDescent="0.2">
      <c r="B1862" s="44"/>
      <c r="C1862" s="44"/>
      <c r="D1862" s="44"/>
      <c r="E1862" s="42"/>
      <c r="F1862" s="43" t="str">
        <f>IF(E1862="", "", IF(AND(E1862&gt;='PAINEL DE CONTROLE'!$C$5*(1-CONFIGURAÇÕES!$D$7), E1862&lt;='PAINEL DE CONTROLE'!$C$5*(1+CONFIGURAÇÕES!$D$7)), "DENTRO", "FORA"))</f>
        <v/>
      </c>
    </row>
    <row r="1863" spans="2:6" x14ac:dyDescent="0.2">
      <c r="B1863" s="44"/>
      <c r="C1863" s="44"/>
      <c r="D1863" s="44"/>
      <c r="E1863" s="42"/>
      <c r="F1863" s="43" t="str">
        <f>IF(E1863="", "", IF(AND(E1863&gt;='PAINEL DE CONTROLE'!$C$5*(1-CONFIGURAÇÕES!$D$7), E1863&lt;='PAINEL DE CONTROLE'!$C$5*(1+CONFIGURAÇÕES!$D$7)), "DENTRO", "FORA"))</f>
        <v/>
      </c>
    </row>
    <row r="1864" spans="2:6" x14ac:dyDescent="0.2">
      <c r="B1864" s="44"/>
      <c r="C1864" s="44"/>
      <c r="D1864" s="44"/>
      <c r="E1864" s="42"/>
      <c r="F1864" s="43" t="str">
        <f>IF(E1864="", "", IF(AND(E1864&gt;='PAINEL DE CONTROLE'!$C$5*(1-CONFIGURAÇÕES!$D$7), E1864&lt;='PAINEL DE CONTROLE'!$C$5*(1+CONFIGURAÇÕES!$D$7)), "DENTRO", "FORA"))</f>
        <v/>
      </c>
    </row>
    <row r="1865" spans="2:6" x14ac:dyDescent="0.2">
      <c r="B1865" s="44"/>
      <c r="C1865" s="44"/>
      <c r="D1865" s="44"/>
      <c r="E1865" s="42"/>
      <c r="F1865" s="43" t="str">
        <f>IF(E1865="", "", IF(AND(E1865&gt;='PAINEL DE CONTROLE'!$C$5*(1-CONFIGURAÇÕES!$D$7), E1865&lt;='PAINEL DE CONTROLE'!$C$5*(1+CONFIGURAÇÕES!$D$7)), "DENTRO", "FORA"))</f>
        <v/>
      </c>
    </row>
    <row r="1866" spans="2:6" x14ac:dyDescent="0.2">
      <c r="B1866" s="44"/>
      <c r="C1866" s="44"/>
      <c r="D1866" s="44"/>
      <c r="E1866" s="42"/>
      <c r="F1866" s="43" t="str">
        <f>IF(E1866="", "", IF(AND(E1866&gt;='PAINEL DE CONTROLE'!$C$5*(1-CONFIGURAÇÕES!$D$7), E1866&lt;='PAINEL DE CONTROLE'!$C$5*(1+CONFIGURAÇÕES!$D$7)), "DENTRO", "FORA"))</f>
        <v/>
      </c>
    </row>
    <row r="1867" spans="2:6" x14ac:dyDescent="0.2">
      <c r="B1867" s="44"/>
      <c r="C1867" s="44"/>
      <c r="D1867" s="44"/>
      <c r="E1867" s="42"/>
      <c r="F1867" s="43" t="str">
        <f>IF(E1867="", "", IF(AND(E1867&gt;='PAINEL DE CONTROLE'!$C$5*(1-CONFIGURAÇÕES!$D$7), E1867&lt;='PAINEL DE CONTROLE'!$C$5*(1+CONFIGURAÇÕES!$D$7)), "DENTRO", "FORA"))</f>
        <v/>
      </c>
    </row>
    <row r="1868" spans="2:6" x14ac:dyDescent="0.2">
      <c r="B1868" s="44"/>
      <c r="C1868" s="44"/>
      <c r="D1868" s="44"/>
      <c r="E1868" s="42"/>
      <c r="F1868" s="43" t="str">
        <f>IF(E1868="", "", IF(AND(E1868&gt;='PAINEL DE CONTROLE'!$C$5*(1-CONFIGURAÇÕES!$D$7), E1868&lt;='PAINEL DE CONTROLE'!$C$5*(1+CONFIGURAÇÕES!$D$7)), "DENTRO", "FORA"))</f>
        <v/>
      </c>
    </row>
    <row r="1869" spans="2:6" x14ac:dyDescent="0.2">
      <c r="B1869" s="44"/>
      <c r="C1869" s="44"/>
      <c r="D1869" s="44"/>
      <c r="E1869" s="42"/>
      <c r="F1869" s="43" t="str">
        <f>IF(E1869="", "", IF(AND(E1869&gt;='PAINEL DE CONTROLE'!$C$5*(1-CONFIGURAÇÕES!$D$7), E1869&lt;='PAINEL DE CONTROLE'!$C$5*(1+CONFIGURAÇÕES!$D$7)), "DENTRO", "FORA"))</f>
        <v/>
      </c>
    </row>
    <row r="1870" spans="2:6" x14ac:dyDescent="0.2">
      <c r="B1870" s="44"/>
      <c r="C1870" s="44"/>
      <c r="D1870" s="44"/>
      <c r="E1870" s="42"/>
      <c r="F1870" s="43" t="str">
        <f>IF(E1870="", "", IF(AND(E1870&gt;='PAINEL DE CONTROLE'!$C$5*(1-CONFIGURAÇÕES!$D$7), E1870&lt;='PAINEL DE CONTROLE'!$C$5*(1+CONFIGURAÇÕES!$D$7)), "DENTRO", "FORA"))</f>
        <v/>
      </c>
    </row>
    <row r="1871" spans="2:6" x14ac:dyDescent="0.2">
      <c r="B1871" s="44"/>
      <c r="C1871" s="44"/>
      <c r="D1871" s="44"/>
      <c r="E1871" s="42"/>
      <c r="F1871" s="43" t="str">
        <f>IF(E1871="", "", IF(AND(E1871&gt;='PAINEL DE CONTROLE'!$C$5*(1-CONFIGURAÇÕES!$D$7), E1871&lt;='PAINEL DE CONTROLE'!$C$5*(1+CONFIGURAÇÕES!$D$7)), "DENTRO", "FORA"))</f>
        <v/>
      </c>
    </row>
    <row r="1872" spans="2:6" x14ac:dyDescent="0.2">
      <c r="B1872" s="44"/>
      <c r="C1872" s="44"/>
      <c r="D1872" s="44"/>
      <c r="E1872" s="42"/>
      <c r="F1872" s="43" t="str">
        <f>IF(E1872="", "", IF(AND(E1872&gt;='PAINEL DE CONTROLE'!$C$5*(1-CONFIGURAÇÕES!$D$7), E1872&lt;='PAINEL DE CONTROLE'!$C$5*(1+CONFIGURAÇÕES!$D$7)), "DENTRO", "FORA"))</f>
        <v/>
      </c>
    </row>
    <row r="1873" spans="2:6" x14ac:dyDescent="0.2">
      <c r="B1873" s="44"/>
      <c r="C1873" s="44"/>
      <c r="D1873" s="44"/>
      <c r="E1873" s="42"/>
      <c r="F1873" s="43" t="str">
        <f>IF(E1873="", "", IF(AND(E1873&gt;='PAINEL DE CONTROLE'!$C$5*(1-CONFIGURAÇÕES!$D$7), E1873&lt;='PAINEL DE CONTROLE'!$C$5*(1+CONFIGURAÇÕES!$D$7)), "DENTRO", "FORA"))</f>
        <v/>
      </c>
    </row>
    <row r="1874" spans="2:6" x14ac:dyDescent="0.2">
      <c r="B1874" s="44"/>
      <c r="C1874" s="44"/>
      <c r="D1874" s="44"/>
      <c r="E1874" s="42"/>
      <c r="F1874" s="43" t="str">
        <f>IF(E1874="", "", IF(AND(E1874&gt;='PAINEL DE CONTROLE'!$C$5*(1-CONFIGURAÇÕES!$D$7), E1874&lt;='PAINEL DE CONTROLE'!$C$5*(1+CONFIGURAÇÕES!$D$7)), "DENTRO", "FORA"))</f>
        <v/>
      </c>
    </row>
    <row r="1875" spans="2:6" x14ac:dyDescent="0.2">
      <c r="B1875" s="44"/>
      <c r="C1875" s="44"/>
      <c r="D1875" s="44"/>
      <c r="E1875" s="42"/>
      <c r="F1875" s="43" t="str">
        <f>IF(E1875="", "", IF(AND(E1875&gt;='PAINEL DE CONTROLE'!$C$5*(1-CONFIGURAÇÕES!$D$7), E1875&lt;='PAINEL DE CONTROLE'!$C$5*(1+CONFIGURAÇÕES!$D$7)), "DENTRO", "FORA"))</f>
        <v/>
      </c>
    </row>
    <row r="1876" spans="2:6" x14ac:dyDescent="0.2">
      <c r="B1876" s="44"/>
      <c r="C1876" s="44"/>
      <c r="D1876" s="44"/>
      <c r="E1876" s="42"/>
      <c r="F1876" s="43" t="str">
        <f>IF(E1876="", "", IF(AND(E1876&gt;='PAINEL DE CONTROLE'!$C$5*(1-CONFIGURAÇÕES!$D$7), E1876&lt;='PAINEL DE CONTROLE'!$C$5*(1+CONFIGURAÇÕES!$D$7)), "DENTRO", "FORA"))</f>
        <v/>
      </c>
    </row>
    <row r="1877" spans="2:6" x14ac:dyDescent="0.2">
      <c r="B1877" s="44"/>
      <c r="C1877" s="44"/>
      <c r="D1877" s="44"/>
      <c r="E1877" s="42"/>
      <c r="F1877" s="43" t="str">
        <f>IF(E1877="", "", IF(AND(E1877&gt;='PAINEL DE CONTROLE'!$C$5*(1-CONFIGURAÇÕES!$D$7), E1877&lt;='PAINEL DE CONTROLE'!$C$5*(1+CONFIGURAÇÕES!$D$7)), "DENTRO", "FORA"))</f>
        <v/>
      </c>
    </row>
    <row r="1878" spans="2:6" x14ac:dyDescent="0.2">
      <c r="B1878" s="44"/>
      <c r="C1878" s="44"/>
      <c r="D1878" s="44"/>
      <c r="E1878" s="42"/>
      <c r="F1878" s="43" t="str">
        <f>IF(E1878="", "", IF(AND(E1878&gt;='PAINEL DE CONTROLE'!$C$5*(1-CONFIGURAÇÕES!$D$7), E1878&lt;='PAINEL DE CONTROLE'!$C$5*(1+CONFIGURAÇÕES!$D$7)), "DENTRO", "FORA"))</f>
        <v/>
      </c>
    </row>
    <row r="1879" spans="2:6" x14ac:dyDescent="0.2">
      <c r="B1879" s="44"/>
      <c r="C1879" s="44"/>
      <c r="D1879" s="44"/>
      <c r="E1879" s="42"/>
      <c r="F1879" s="43" t="str">
        <f>IF(E1879="", "", IF(AND(E1879&gt;='PAINEL DE CONTROLE'!$C$5*(1-CONFIGURAÇÕES!$D$7), E1879&lt;='PAINEL DE CONTROLE'!$C$5*(1+CONFIGURAÇÕES!$D$7)), "DENTRO", "FORA"))</f>
        <v/>
      </c>
    </row>
    <row r="1880" spans="2:6" x14ac:dyDescent="0.2">
      <c r="B1880" s="44"/>
      <c r="C1880" s="44"/>
      <c r="D1880" s="44"/>
      <c r="E1880" s="42"/>
      <c r="F1880" s="43" t="str">
        <f>IF(E1880="", "", IF(AND(E1880&gt;='PAINEL DE CONTROLE'!$C$5*(1-CONFIGURAÇÕES!$D$7), E1880&lt;='PAINEL DE CONTROLE'!$C$5*(1+CONFIGURAÇÕES!$D$7)), "DENTRO", "FORA"))</f>
        <v/>
      </c>
    </row>
    <row r="1881" spans="2:6" x14ac:dyDescent="0.2">
      <c r="B1881" s="44"/>
      <c r="C1881" s="44"/>
      <c r="D1881" s="44"/>
      <c r="E1881" s="42"/>
      <c r="F1881" s="43" t="str">
        <f>IF(E1881="", "", IF(AND(E1881&gt;='PAINEL DE CONTROLE'!$C$5*(1-CONFIGURAÇÕES!$D$7), E1881&lt;='PAINEL DE CONTROLE'!$C$5*(1+CONFIGURAÇÕES!$D$7)), "DENTRO", "FORA"))</f>
        <v/>
      </c>
    </row>
    <row r="1882" spans="2:6" x14ac:dyDescent="0.2">
      <c r="B1882" s="44"/>
      <c r="C1882" s="44"/>
      <c r="D1882" s="44"/>
      <c r="E1882" s="42"/>
      <c r="F1882" s="43" t="str">
        <f>IF(E1882="", "", IF(AND(E1882&gt;='PAINEL DE CONTROLE'!$C$5*(1-CONFIGURAÇÕES!$D$7), E1882&lt;='PAINEL DE CONTROLE'!$C$5*(1+CONFIGURAÇÕES!$D$7)), "DENTRO", "FORA"))</f>
        <v/>
      </c>
    </row>
    <row r="1883" spans="2:6" x14ac:dyDescent="0.2">
      <c r="B1883" s="44"/>
      <c r="C1883" s="44"/>
      <c r="D1883" s="44"/>
      <c r="E1883" s="42"/>
      <c r="F1883" s="43" t="str">
        <f>IF(E1883="", "", IF(AND(E1883&gt;='PAINEL DE CONTROLE'!$C$5*(1-CONFIGURAÇÕES!$D$7), E1883&lt;='PAINEL DE CONTROLE'!$C$5*(1+CONFIGURAÇÕES!$D$7)), "DENTRO", "FORA"))</f>
        <v/>
      </c>
    </row>
    <row r="1884" spans="2:6" x14ac:dyDescent="0.2">
      <c r="B1884" s="44"/>
      <c r="C1884" s="44"/>
      <c r="D1884" s="44"/>
      <c r="E1884" s="42"/>
      <c r="F1884" s="43" t="str">
        <f>IF(E1884="", "", IF(AND(E1884&gt;='PAINEL DE CONTROLE'!$C$5*(1-CONFIGURAÇÕES!$D$7), E1884&lt;='PAINEL DE CONTROLE'!$C$5*(1+CONFIGURAÇÕES!$D$7)), "DENTRO", "FORA"))</f>
        <v/>
      </c>
    </row>
    <row r="1885" spans="2:6" x14ac:dyDescent="0.2">
      <c r="B1885" s="44"/>
      <c r="C1885" s="44"/>
      <c r="D1885" s="44"/>
      <c r="E1885" s="42"/>
      <c r="F1885" s="43" t="str">
        <f>IF(E1885="", "", IF(AND(E1885&gt;='PAINEL DE CONTROLE'!$C$5*(1-CONFIGURAÇÕES!$D$7), E1885&lt;='PAINEL DE CONTROLE'!$C$5*(1+CONFIGURAÇÕES!$D$7)), "DENTRO", "FORA"))</f>
        <v/>
      </c>
    </row>
    <row r="1886" spans="2:6" x14ac:dyDescent="0.2">
      <c r="B1886" s="44"/>
      <c r="C1886" s="44"/>
      <c r="D1886" s="44"/>
      <c r="E1886" s="42"/>
      <c r="F1886" s="43" t="str">
        <f>IF(E1886="", "", IF(AND(E1886&gt;='PAINEL DE CONTROLE'!$C$5*(1-CONFIGURAÇÕES!$D$7), E1886&lt;='PAINEL DE CONTROLE'!$C$5*(1+CONFIGURAÇÕES!$D$7)), "DENTRO", "FORA"))</f>
        <v/>
      </c>
    </row>
    <row r="1887" spans="2:6" x14ac:dyDescent="0.2">
      <c r="B1887" s="44"/>
      <c r="C1887" s="44"/>
      <c r="D1887" s="44"/>
      <c r="E1887" s="42"/>
      <c r="F1887" s="43" t="str">
        <f>IF(E1887="", "", IF(AND(E1887&gt;='PAINEL DE CONTROLE'!$C$5*(1-CONFIGURAÇÕES!$D$7), E1887&lt;='PAINEL DE CONTROLE'!$C$5*(1+CONFIGURAÇÕES!$D$7)), "DENTRO", "FORA"))</f>
        <v/>
      </c>
    </row>
    <row r="1888" spans="2:6" x14ac:dyDescent="0.2">
      <c r="B1888" s="44"/>
      <c r="C1888" s="44"/>
      <c r="D1888" s="44"/>
      <c r="E1888" s="42"/>
      <c r="F1888" s="43" t="str">
        <f>IF(E1888="", "", IF(AND(E1888&gt;='PAINEL DE CONTROLE'!$C$5*(1-CONFIGURAÇÕES!$D$7), E1888&lt;='PAINEL DE CONTROLE'!$C$5*(1+CONFIGURAÇÕES!$D$7)), "DENTRO", "FORA"))</f>
        <v/>
      </c>
    </row>
    <row r="1889" spans="2:6" x14ac:dyDescent="0.2">
      <c r="B1889" s="44"/>
      <c r="C1889" s="44"/>
      <c r="D1889" s="44"/>
      <c r="E1889" s="42"/>
      <c r="F1889" s="43" t="str">
        <f>IF(E1889="", "", IF(AND(E1889&gt;='PAINEL DE CONTROLE'!$C$5*(1-CONFIGURAÇÕES!$D$7), E1889&lt;='PAINEL DE CONTROLE'!$C$5*(1+CONFIGURAÇÕES!$D$7)), "DENTRO", "FORA"))</f>
        <v/>
      </c>
    </row>
    <row r="1890" spans="2:6" x14ac:dyDescent="0.2">
      <c r="B1890" s="44"/>
      <c r="C1890" s="44"/>
      <c r="D1890" s="44"/>
      <c r="E1890" s="42"/>
      <c r="F1890" s="43" t="str">
        <f>IF(E1890="", "", IF(AND(E1890&gt;='PAINEL DE CONTROLE'!$C$5*(1-CONFIGURAÇÕES!$D$7), E1890&lt;='PAINEL DE CONTROLE'!$C$5*(1+CONFIGURAÇÕES!$D$7)), "DENTRO", "FORA"))</f>
        <v/>
      </c>
    </row>
    <row r="1891" spans="2:6" x14ac:dyDescent="0.2">
      <c r="B1891" s="44"/>
      <c r="C1891" s="44"/>
      <c r="D1891" s="44"/>
      <c r="E1891" s="42"/>
      <c r="F1891" s="43" t="str">
        <f>IF(E1891="", "", IF(AND(E1891&gt;='PAINEL DE CONTROLE'!$C$5*(1-CONFIGURAÇÕES!$D$7), E1891&lt;='PAINEL DE CONTROLE'!$C$5*(1+CONFIGURAÇÕES!$D$7)), "DENTRO", "FORA"))</f>
        <v/>
      </c>
    </row>
    <row r="1892" spans="2:6" x14ac:dyDescent="0.2">
      <c r="B1892" s="44"/>
      <c r="C1892" s="44"/>
      <c r="D1892" s="44"/>
      <c r="E1892" s="42"/>
      <c r="F1892" s="43" t="str">
        <f>IF(E1892="", "", IF(AND(E1892&gt;='PAINEL DE CONTROLE'!$C$5*(1-CONFIGURAÇÕES!$D$7), E1892&lt;='PAINEL DE CONTROLE'!$C$5*(1+CONFIGURAÇÕES!$D$7)), "DENTRO", "FORA"))</f>
        <v/>
      </c>
    </row>
    <row r="1893" spans="2:6" x14ac:dyDescent="0.2">
      <c r="B1893" s="44"/>
      <c r="C1893" s="44"/>
      <c r="D1893" s="44"/>
      <c r="E1893" s="42"/>
      <c r="F1893" s="43" t="str">
        <f>IF(E1893="", "", IF(AND(E1893&gt;='PAINEL DE CONTROLE'!$C$5*(1-CONFIGURAÇÕES!$D$7), E1893&lt;='PAINEL DE CONTROLE'!$C$5*(1+CONFIGURAÇÕES!$D$7)), "DENTRO", "FORA"))</f>
        <v/>
      </c>
    </row>
    <row r="1894" spans="2:6" x14ac:dyDescent="0.2">
      <c r="B1894" s="44"/>
      <c r="C1894" s="44"/>
      <c r="D1894" s="44"/>
      <c r="E1894" s="42"/>
      <c r="F1894" s="43" t="str">
        <f>IF(E1894="", "", IF(AND(E1894&gt;='PAINEL DE CONTROLE'!$C$5*(1-CONFIGURAÇÕES!$D$7), E1894&lt;='PAINEL DE CONTROLE'!$C$5*(1+CONFIGURAÇÕES!$D$7)), "DENTRO", "FORA"))</f>
        <v/>
      </c>
    </row>
    <row r="1895" spans="2:6" x14ac:dyDescent="0.2">
      <c r="B1895" s="44"/>
      <c r="C1895" s="44"/>
      <c r="D1895" s="44"/>
      <c r="E1895" s="42"/>
      <c r="F1895" s="43" t="str">
        <f>IF(E1895="", "", IF(AND(E1895&gt;='PAINEL DE CONTROLE'!$C$5*(1-CONFIGURAÇÕES!$D$7), E1895&lt;='PAINEL DE CONTROLE'!$C$5*(1+CONFIGURAÇÕES!$D$7)), "DENTRO", "FORA"))</f>
        <v/>
      </c>
    </row>
    <row r="1896" spans="2:6" x14ac:dyDescent="0.2">
      <c r="B1896" s="44"/>
      <c r="C1896" s="44"/>
      <c r="D1896" s="44"/>
      <c r="E1896" s="42"/>
      <c r="F1896" s="43" t="str">
        <f>IF(E1896="", "", IF(AND(E1896&gt;='PAINEL DE CONTROLE'!$C$5*(1-CONFIGURAÇÕES!$D$7), E1896&lt;='PAINEL DE CONTROLE'!$C$5*(1+CONFIGURAÇÕES!$D$7)), "DENTRO", "FORA"))</f>
        <v/>
      </c>
    </row>
    <row r="1897" spans="2:6" x14ac:dyDescent="0.2">
      <c r="B1897" s="44"/>
      <c r="C1897" s="44"/>
      <c r="D1897" s="44"/>
      <c r="E1897" s="42"/>
      <c r="F1897" s="43" t="str">
        <f>IF(E1897="", "", IF(AND(E1897&gt;='PAINEL DE CONTROLE'!$C$5*(1-CONFIGURAÇÕES!$D$7), E1897&lt;='PAINEL DE CONTROLE'!$C$5*(1+CONFIGURAÇÕES!$D$7)), "DENTRO", "FORA"))</f>
        <v/>
      </c>
    </row>
    <row r="1898" spans="2:6" x14ac:dyDescent="0.2">
      <c r="B1898" s="44"/>
      <c r="C1898" s="44"/>
      <c r="D1898" s="44"/>
      <c r="E1898" s="42"/>
      <c r="F1898" s="43" t="str">
        <f>IF(E1898="", "", IF(AND(E1898&gt;='PAINEL DE CONTROLE'!$C$5*(1-CONFIGURAÇÕES!$D$7), E1898&lt;='PAINEL DE CONTROLE'!$C$5*(1+CONFIGURAÇÕES!$D$7)), "DENTRO", "FORA"))</f>
        <v/>
      </c>
    </row>
    <row r="1899" spans="2:6" x14ac:dyDescent="0.2">
      <c r="B1899" s="44"/>
      <c r="C1899" s="44"/>
      <c r="D1899" s="44"/>
      <c r="E1899" s="42"/>
      <c r="F1899" s="43" t="str">
        <f>IF(E1899="", "", IF(AND(E1899&gt;='PAINEL DE CONTROLE'!$C$5*(1-CONFIGURAÇÕES!$D$7), E1899&lt;='PAINEL DE CONTROLE'!$C$5*(1+CONFIGURAÇÕES!$D$7)), "DENTRO", "FORA"))</f>
        <v/>
      </c>
    </row>
    <row r="1900" spans="2:6" x14ac:dyDescent="0.2">
      <c r="B1900" s="44"/>
      <c r="C1900" s="44"/>
      <c r="D1900" s="44"/>
      <c r="E1900" s="42"/>
      <c r="F1900" s="43" t="str">
        <f>IF(E1900="", "", IF(AND(E1900&gt;='PAINEL DE CONTROLE'!$C$5*(1-CONFIGURAÇÕES!$D$7), E1900&lt;='PAINEL DE CONTROLE'!$C$5*(1+CONFIGURAÇÕES!$D$7)), "DENTRO", "FORA"))</f>
        <v/>
      </c>
    </row>
    <row r="1901" spans="2:6" x14ac:dyDescent="0.2">
      <c r="B1901" s="44"/>
      <c r="C1901" s="44"/>
      <c r="D1901" s="44"/>
      <c r="E1901" s="42"/>
      <c r="F1901" s="43" t="str">
        <f>IF(E1901="", "", IF(AND(E1901&gt;='PAINEL DE CONTROLE'!$C$5*(1-CONFIGURAÇÕES!$D$7), E1901&lt;='PAINEL DE CONTROLE'!$C$5*(1+CONFIGURAÇÕES!$D$7)), "DENTRO", "FORA"))</f>
        <v/>
      </c>
    </row>
    <row r="1902" spans="2:6" x14ac:dyDescent="0.2">
      <c r="B1902" s="44"/>
      <c r="C1902" s="44"/>
      <c r="D1902" s="44"/>
      <c r="E1902" s="42"/>
      <c r="F1902" s="43" t="str">
        <f>IF(E1902="", "", IF(AND(E1902&gt;='PAINEL DE CONTROLE'!$C$5*(1-CONFIGURAÇÕES!$D$7), E1902&lt;='PAINEL DE CONTROLE'!$C$5*(1+CONFIGURAÇÕES!$D$7)), "DENTRO", "FORA"))</f>
        <v/>
      </c>
    </row>
    <row r="1903" spans="2:6" x14ac:dyDescent="0.2">
      <c r="B1903" s="44"/>
      <c r="C1903" s="44"/>
      <c r="D1903" s="44"/>
      <c r="E1903" s="42"/>
      <c r="F1903" s="43" t="str">
        <f>IF(E1903="", "", IF(AND(E1903&gt;='PAINEL DE CONTROLE'!$C$5*(1-CONFIGURAÇÕES!$D$7), E1903&lt;='PAINEL DE CONTROLE'!$C$5*(1+CONFIGURAÇÕES!$D$7)), "DENTRO", "FORA"))</f>
        <v/>
      </c>
    </row>
    <row r="1904" spans="2:6" x14ac:dyDescent="0.2">
      <c r="B1904" s="44"/>
      <c r="C1904" s="44"/>
      <c r="D1904" s="44"/>
      <c r="E1904" s="42"/>
      <c r="F1904" s="43" t="str">
        <f>IF(E1904="", "", IF(AND(E1904&gt;='PAINEL DE CONTROLE'!$C$5*(1-CONFIGURAÇÕES!$D$7), E1904&lt;='PAINEL DE CONTROLE'!$C$5*(1+CONFIGURAÇÕES!$D$7)), "DENTRO", "FORA"))</f>
        <v/>
      </c>
    </row>
    <row r="1905" spans="2:6" x14ac:dyDescent="0.2">
      <c r="B1905" s="44"/>
      <c r="C1905" s="44"/>
      <c r="D1905" s="44"/>
      <c r="E1905" s="42"/>
      <c r="F1905" s="43" t="str">
        <f>IF(E1905="", "", IF(AND(E1905&gt;='PAINEL DE CONTROLE'!$C$5*(1-CONFIGURAÇÕES!$D$7), E1905&lt;='PAINEL DE CONTROLE'!$C$5*(1+CONFIGURAÇÕES!$D$7)), "DENTRO", "FORA"))</f>
        <v/>
      </c>
    </row>
    <row r="1906" spans="2:6" x14ac:dyDescent="0.2">
      <c r="B1906" s="44"/>
      <c r="C1906" s="44"/>
      <c r="D1906" s="44"/>
      <c r="E1906" s="42"/>
      <c r="F1906" s="43" t="str">
        <f>IF(E1906="", "", IF(AND(E1906&gt;='PAINEL DE CONTROLE'!$C$5*(1-CONFIGURAÇÕES!$D$7), E1906&lt;='PAINEL DE CONTROLE'!$C$5*(1+CONFIGURAÇÕES!$D$7)), "DENTRO", "FORA"))</f>
        <v/>
      </c>
    </row>
    <row r="1907" spans="2:6" x14ac:dyDescent="0.2">
      <c r="B1907" s="44"/>
      <c r="C1907" s="44"/>
      <c r="D1907" s="44"/>
      <c r="E1907" s="42"/>
      <c r="F1907" s="43" t="str">
        <f>IF(E1907="", "", IF(AND(E1907&gt;='PAINEL DE CONTROLE'!$C$5*(1-CONFIGURAÇÕES!$D$7), E1907&lt;='PAINEL DE CONTROLE'!$C$5*(1+CONFIGURAÇÕES!$D$7)), "DENTRO", "FORA"))</f>
        <v/>
      </c>
    </row>
    <row r="1908" spans="2:6" x14ac:dyDescent="0.2">
      <c r="B1908" s="44"/>
      <c r="C1908" s="44"/>
      <c r="D1908" s="44"/>
      <c r="E1908" s="42"/>
      <c r="F1908" s="43" t="str">
        <f>IF(E1908="", "", IF(AND(E1908&gt;='PAINEL DE CONTROLE'!$C$5*(1-CONFIGURAÇÕES!$D$7), E1908&lt;='PAINEL DE CONTROLE'!$C$5*(1+CONFIGURAÇÕES!$D$7)), "DENTRO", "FORA"))</f>
        <v/>
      </c>
    </row>
    <row r="1909" spans="2:6" x14ac:dyDescent="0.2">
      <c r="B1909" s="44"/>
      <c r="C1909" s="44"/>
      <c r="D1909" s="44"/>
      <c r="E1909" s="42"/>
      <c r="F1909" s="43" t="str">
        <f>IF(E1909="", "", IF(AND(E1909&gt;='PAINEL DE CONTROLE'!$C$5*(1-CONFIGURAÇÕES!$D$7), E1909&lt;='PAINEL DE CONTROLE'!$C$5*(1+CONFIGURAÇÕES!$D$7)), "DENTRO", "FORA"))</f>
        <v/>
      </c>
    </row>
    <row r="1910" spans="2:6" x14ac:dyDescent="0.2">
      <c r="B1910" s="44"/>
      <c r="C1910" s="44"/>
      <c r="D1910" s="44"/>
      <c r="E1910" s="42"/>
      <c r="F1910" s="43" t="str">
        <f>IF(E1910="", "", IF(AND(E1910&gt;='PAINEL DE CONTROLE'!$C$5*(1-CONFIGURAÇÕES!$D$7), E1910&lt;='PAINEL DE CONTROLE'!$C$5*(1+CONFIGURAÇÕES!$D$7)), "DENTRO", "FORA"))</f>
        <v/>
      </c>
    </row>
    <row r="1911" spans="2:6" x14ac:dyDescent="0.2">
      <c r="B1911" s="44"/>
      <c r="C1911" s="44"/>
      <c r="D1911" s="44"/>
      <c r="E1911" s="42"/>
      <c r="F1911" s="43" t="str">
        <f>IF(E1911="", "", IF(AND(E1911&gt;='PAINEL DE CONTROLE'!$C$5*(1-CONFIGURAÇÕES!$D$7), E1911&lt;='PAINEL DE CONTROLE'!$C$5*(1+CONFIGURAÇÕES!$D$7)), "DENTRO", "FORA"))</f>
        <v/>
      </c>
    </row>
    <row r="1912" spans="2:6" x14ac:dyDescent="0.2">
      <c r="B1912" s="44"/>
      <c r="C1912" s="44"/>
      <c r="D1912" s="44"/>
      <c r="E1912" s="42"/>
      <c r="F1912" s="43" t="str">
        <f>IF(E1912="", "", IF(AND(E1912&gt;='PAINEL DE CONTROLE'!$C$5*(1-CONFIGURAÇÕES!$D$7), E1912&lt;='PAINEL DE CONTROLE'!$C$5*(1+CONFIGURAÇÕES!$D$7)), "DENTRO", "FORA"))</f>
        <v/>
      </c>
    </row>
    <row r="1913" spans="2:6" x14ac:dyDescent="0.2">
      <c r="B1913" s="44"/>
      <c r="C1913" s="44"/>
      <c r="D1913" s="44"/>
      <c r="E1913" s="42"/>
      <c r="F1913" s="43" t="str">
        <f>IF(E1913="", "", IF(AND(E1913&gt;='PAINEL DE CONTROLE'!$C$5*(1-CONFIGURAÇÕES!$D$7), E1913&lt;='PAINEL DE CONTROLE'!$C$5*(1+CONFIGURAÇÕES!$D$7)), "DENTRO", "FORA"))</f>
        <v/>
      </c>
    </row>
    <row r="1914" spans="2:6" x14ac:dyDescent="0.2">
      <c r="B1914" s="44"/>
      <c r="C1914" s="44"/>
      <c r="D1914" s="44"/>
      <c r="E1914" s="42"/>
      <c r="F1914" s="43" t="str">
        <f>IF(E1914="", "", IF(AND(E1914&gt;='PAINEL DE CONTROLE'!$C$5*(1-CONFIGURAÇÕES!$D$7), E1914&lt;='PAINEL DE CONTROLE'!$C$5*(1+CONFIGURAÇÕES!$D$7)), "DENTRO", "FORA"))</f>
        <v/>
      </c>
    </row>
    <row r="1915" spans="2:6" x14ac:dyDescent="0.2">
      <c r="B1915" s="44"/>
      <c r="C1915" s="44"/>
      <c r="D1915" s="44"/>
      <c r="E1915" s="42"/>
      <c r="F1915" s="43" t="str">
        <f>IF(E1915="", "", IF(AND(E1915&gt;='PAINEL DE CONTROLE'!$C$5*(1-CONFIGURAÇÕES!$D$7), E1915&lt;='PAINEL DE CONTROLE'!$C$5*(1+CONFIGURAÇÕES!$D$7)), "DENTRO", "FORA"))</f>
        <v/>
      </c>
    </row>
    <row r="1916" spans="2:6" x14ac:dyDescent="0.2">
      <c r="B1916" s="44"/>
      <c r="C1916" s="44"/>
      <c r="D1916" s="44"/>
      <c r="E1916" s="42"/>
      <c r="F1916" s="43" t="str">
        <f>IF(E1916="", "", IF(AND(E1916&gt;='PAINEL DE CONTROLE'!$C$5*(1-CONFIGURAÇÕES!$D$7), E1916&lt;='PAINEL DE CONTROLE'!$C$5*(1+CONFIGURAÇÕES!$D$7)), "DENTRO", "FORA"))</f>
        <v/>
      </c>
    </row>
    <row r="1917" spans="2:6" x14ac:dyDescent="0.2">
      <c r="B1917" s="44"/>
      <c r="C1917" s="44"/>
      <c r="D1917" s="44"/>
      <c r="E1917" s="42"/>
      <c r="F1917" s="43" t="str">
        <f>IF(E1917="", "", IF(AND(E1917&gt;='PAINEL DE CONTROLE'!$C$5*(1-CONFIGURAÇÕES!$D$7), E1917&lt;='PAINEL DE CONTROLE'!$C$5*(1+CONFIGURAÇÕES!$D$7)), "DENTRO", "FORA"))</f>
        <v/>
      </c>
    </row>
    <row r="1918" spans="2:6" x14ac:dyDescent="0.2">
      <c r="B1918" s="44"/>
      <c r="C1918" s="44"/>
      <c r="D1918" s="44"/>
      <c r="E1918" s="42"/>
      <c r="F1918" s="43" t="str">
        <f>IF(E1918="", "", IF(AND(E1918&gt;='PAINEL DE CONTROLE'!$C$5*(1-CONFIGURAÇÕES!$D$7), E1918&lt;='PAINEL DE CONTROLE'!$C$5*(1+CONFIGURAÇÕES!$D$7)), "DENTRO", "FORA"))</f>
        <v/>
      </c>
    </row>
    <row r="1919" spans="2:6" x14ac:dyDescent="0.2">
      <c r="B1919" s="44"/>
      <c r="C1919" s="44"/>
      <c r="D1919" s="44"/>
      <c r="E1919" s="42"/>
      <c r="F1919" s="43" t="str">
        <f>IF(E1919="", "", IF(AND(E1919&gt;='PAINEL DE CONTROLE'!$C$5*(1-CONFIGURAÇÕES!$D$7), E1919&lt;='PAINEL DE CONTROLE'!$C$5*(1+CONFIGURAÇÕES!$D$7)), "DENTRO", "FORA"))</f>
        <v/>
      </c>
    </row>
    <row r="1920" spans="2:6" x14ac:dyDescent="0.2">
      <c r="B1920" s="44"/>
      <c r="C1920" s="44"/>
      <c r="D1920" s="44"/>
      <c r="E1920" s="42"/>
      <c r="F1920" s="43" t="str">
        <f>IF(E1920="", "", IF(AND(E1920&gt;='PAINEL DE CONTROLE'!$C$5*(1-CONFIGURAÇÕES!$D$7), E1920&lt;='PAINEL DE CONTROLE'!$C$5*(1+CONFIGURAÇÕES!$D$7)), "DENTRO", "FORA"))</f>
        <v/>
      </c>
    </row>
    <row r="1921" spans="2:6" x14ac:dyDescent="0.2">
      <c r="B1921" s="44"/>
      <c r="C1921" s="44"/>
      <c r="D1921" s="44"/>
      <c r="E1921" s="42"/>
      <c r="F1921" s="43" t="str">
        <f>IF(E1921="", "", IF(AND(E1921&gt;='PAINEL DE CONTROLE'!$C$5*(1-CONFIGURAÇÕES!$D$7), E1921&lt;='PAINEL DE CONTROLE'!$C$5*(1+CONFIGURAÇÕES!$D$7)), "DENTRO", "FORA"))</f>
        <v/>
      </c>
    </row>
    <row r="1922" spans="2:6" x14ac:dyDescent="0.2">
      <c r="B1922" s="44"/>
      <c r="C1922" s="44"/>
      <c r="D1922" s="44"/>
      <c r="E1922" s="42"/>
      <c r="F1922" s="43" t="str">
        <f>IF(E1922="", "", IF(AND(E1922&gt;='PAINEL DE CONTROLE'!$C$5*(1-CONFIGURAÇÕES!$D$7), E1922&lt;='PAINEL DE CONTROLE'!$C$5*(1+CONFIGURAÇÕES!$D$7)), "DENTRO", "FORA"))</f>
        <v/>
      </c>
    </row>
    <row r="1923" spans="2:6" x14ac:dyDescent="0.2">
      <c r="B1923" s="44"/>
      <c r="C1923" s="44"/>
      <c r="D1923" s="44"/>
      <c r="E1923" s="42"/>
      <c r="F1923" s="43" t="str">
        <f>IF(E1923="", "", IF(AND(E1923&gt;='PAINEL DE CONTROLE'!$C$5*(1-CONFIGURAÇÕES!$D$7), E1923&lt;='PAINEL DE CONTROLE'!$C$5*(1+CONFIGURAÇÕES!$D$7)), "DENTRO", "FORA"))</f>
        <v/>
      </c>
    </row>
    <row r="1924" spans="2:6" x14ac:dyDescent="0.2">
      <c r="B1924" s="44"/>
      <c r="C1924" s="44"/>
      <c r="D1924" s="44"/>
      <c r="E1924" s="42"/>
      <c r="F1924" s="43" t="str">
        <f>IF(E1924="", "", IF(AND(E1924&gt;='PAINEL DE CONTROLE'!$C$5*(1-CONFIGURAÇÕES!$D$7), E1924&lt;='PAINEL DE CONTROLE'!$C$5*(1+CONFIGURAÇÕES!$D$7)), "DENTRO", "FORA"))</f>
        <v/>
      </c>
    </row>
    <row r="1925" spans="2:6" x14ac:dyDescent="0.2">
      <c r="B1925" s="44"/>
      <c r="C1925" s="44"/>
      <c r="D1925" s="44"/>
      <c r="E1925" s="42"/>
      <c r="F1925" s="43" t="str">
        <f>IF(E1925="", "", IF(AND(E1925&gt;='PAINEL DE CONTROLE'!$C$5*(1-CONFIGURAÇÕES!$D$7), E1925&lt;='PAINEL DE CONTROLE'!$C$5*(1+CONFIGURAÇÕES!$D$7)), "DENTRO", "FORA"))</f>
        <v/>
      </c>
    </row>
    <row r="1926" spans="2:6" x14ac:dyDescent="0.2">
      <c r="B1926" s="44"/>
      <c r="C1926" s="44"/>
      <c r="D1926" s="44"/>
      <c r="E1926" s="42"/>
      <c r="F1926" s="43" t="str">
        <f>IF(E1926="", "", IF(AND(E1926&gt;='PAINEL DE CONTROLE'!$C$5*(1-CONFIGURAÇÕES!$D$7), E1926&lt;='PAINEL DE CONTROLE'!$C$5*(1+CONFIGURAÇÕES!$D$7)), "DENTRO", "FORA"))</f>
        <v/>
      </c>
    </row>
    <row r="1927" spans="2:6" x14ac:dyDescent="0.2">
      <c r="B1927" s="44"/>
      <c r="C1927" s="44"/>
      <c r="D1927" s="44"/>
      <c r="E1927" s="42"/>
      <c r="F1927" s="43" t="str">
        <f>IF(E1927="", "", IF(AND(E1927&gt;='PAINEL DE CONTROLE'!$C$5*(1-CONFIGURAÇÕES!$D$7), E1927&lt;='PAINEL DE CONTROLE'!$C$5*(1+CONFIGURAÇÕES!$D$7)), "DENTRO", "FORA"))</f>
        <v/>
      </c>
    </row>
    <row r="1928" spans="2:6" x14ac:dyDescent="0.2">
      <c r="B1928" s="44"/>
      <c r="C1928" s="44"/>
      <c r="D1928" s="44"/>
      <c r="E1928" s="42"/>
      <c r="F1928" s="43" t="str">
        <f>IF(E1928="", "", IF(AND(E1928&gt;='PAINEL DE CONTROLE'!$C$5*(1-CONFIGURAÇÕES!$D$7), E1928&lt;='PAINEL DE CONTROLE'!$C$5*(1+CONFIGURAÇÕES!$D$7)), "DENTRO", "FORA"))</f>
        <v/>
      </c>
    </row>
    <row r="1929" spans="2:6" x14ac:dyDescent="0.2">
      <c r="B1929" s="44"/>
      <c r="C1929" s="44"/>
      <c r="D1929" s="44"/>
      <c r="E1929" s="42"/>
      <c r="F1929" s="43" t="str">
        <f>IF(E1929="", "", IF(AND(E1929&gt;='PAINEL DE CONTROLE'!$C$5*(1-CONFIGURAÇÕES!$D$7), E1929&lt;='PAINEL DE CONTROLE'!$C$5*(1+CONFIGURAÇÕES!$D$7)), "DENTRO", "FORA"))</f>
        <v/>
      </c>
    </row>
    <row r="1930" spans="2:6" x14ac:dyDescent="0.2">
      <c r="B1930" s="44"/>
      <c r="C1930" s="44"/>
      <c r="D1930" s="44"/>
      <c r="E1930" s="42"/>
      <c r="F1930" s="43" t="str">
        <f>IF(E1930="", "", IF(AND(E1930&gt;='PAINEL DE CONTROLE'!$C$5*(1-CONFIGURAÇÕES!$D$7), E1930&lt;='PAINEL DE CONTROLE'!$C$5*(1+CONFIGURAÇÕES!$D$7)), "DENTRO", "FORA"))</f>
        <v/>
      </c>
    </row>
    <row r="1931" spans="2:6" x14ac:dyDescent="0.2">
      <c r="B1931" s="44"/>
      <c r="C1931" s="44"/>
      <c r="D1931" s="44"/>
      <c r="E1931" s="42"/>
      <c r="F1931" s="43" t="str">
        <f>IF(E1931="", "", IF(AND(E1931&gt;='PAINEL DE CONTROLE'!$C$5*(1-CONFIGURAÇÕES!$D$7), E1931&lt;='PAINEL DE CONTROLE'!$C$5*(1+CONFIGURAÇÕES!$D$7)), "DENTRO", "FORA"))</f>
        <v/>
      </c>
    </row>
    <row r="1932" spans="2:6" x14ac:dyDescent="0.2">
      <c r="B1932" s="44"/>
      <c r="C1932" s="44"/>
      <c r="D1932" s="44"/>
      <c r="E1932" s="42"/>
      <c r="F1932" s="43" t="str">
        <f>IF(E1932="", "", IF(AND(E1932&gt;='PAINEL DE CONTROLE'!$C$5*(1-CONFIGURAÇÕES!$D$7), E1932&lt;='PAINEL DE CONTROLE'!$C$5*(1+CONFIGURAÇÕES!$D$7)), "DENTRO", "FORA"))</f>
        <v/>
      </c>
    </row>
    <row r="1933" spans="2:6" x14ac:dyDescent="0.2">
      <c r="B1933" s="44"/>
      <c r="C1933" s="44"/>
      <c r="D1933" s="44"/>
      <c r="E1933" s="42"/>
      <c r="F1933" s="43" t="str">
        <f>IF(E1933="", "", IF(AND(E1933&gt;='PAINEL DE CONTROLE'!$C$5*(1-CONFIGURAÇÕES!$D$7), E1933&lt;='PAINEL DE CONTROLE'!$C$5*(1+CONFIGURAÇÕES!$D$7)), "DENTRO", "FORA"))</f>
        <v/>
      </c>
    </row>
    <row r="1934" spans="2:6" x14ac:dyDescent="0.2">
      <c r="B1934" s="44"/>
      <c r="C1934" s="44"/>
      <c r="D1934" s="44"/>
      <c r="E1934" s="42"/>
      <c r="F1934" s="43" t="str">
        <f>IF(E1934="", "", IF(AND(E1934&gt;='PAINEL DE CONTROLE'!$C$5*(1-CONFIGURAÇÕES!$D$7), E1934&lt;='PAINEL DE CONTROLE'!$C$5*(1+CONFIGURAÇÕES!$D$7)), "DENTRO", "FORA"))</f>
        <v/>
      </c>
    </row>
    <row r="1935" spans="2:6" x14ac:dyDescent="0.2">
      <c r="B1935" s="44"/>
      <c r="C1935" s="44"/>
      <c r="D1935" s="44"/>
      <c r="E1935" s="42"/>
      <c r="F1935" s="43" t="str">
        <f>IF(E1935="", "", IF(AND(E1935&gt;='PAINEL DE CONTROLE'!$C$5*(1-CONFIGURAÇÕES!$D$7), E1935&lt;='PAINEL DE CONTROLE'!$C$5*(1+CONFIGURAÇÕES!$D$7)), "DENTRO", "FORA"))</f>
        <v/>
      </c>
    </row>
    <row r="1936" spans="2:6" x14ac:dyDescent="0.2">
      <c r="B1936" s="44"/>
      <c r="C1936" s="44"/>
      <c r="D1936" s="44"/>
      <c r="E1936" s="42"/>
      <c r="F1936" s="43" t="str">
        <f>IF(E1936="", "", IF(AND(E1936&gt;='PAINEL DE CONTROLE'!$C$5*(1-CONFIGURAÇÕES!$D$7), E1936&lt;='PAINEL DE CONTROLE'!$C$5*(1+CONFIGURAÇÕES!$D$7)), "DENTRO", "FORA"))</f>
        <v/>
      </c>
    </row>
    <row r="1937" spans="2:6" x14ac:dyDescent="0.2">
      <c r="B1937" s="44"/>
      <c r="C1937" s="44"/>
      <c r="D1937" s="44"/>
      <c r="E1937" s="42"/>
      <c r="F1937" s="43" t="str">
        <f>IF(E1937="", "", IF(AND(E1937&gt;='PAINEL DE CONTROLE'!$C$5*(1-CONFIGURAÇÕES!$D$7), E1937&lt;='PAINEL DE CONTROLE'!$C$5*(1+CONFIGURAÇÕES!$D$7)), "DENTRO", "FORA"))</f>
        <v/>
      </c>
    </row>
    <row r="1938" spans="2:6" x14ac:dyDescent="0.2">
      <c r="B1938" s="44"/>
      <c r="C1938" s="44"/>
      <c r="D1938" s="44"/>
      <c r="E1938" s="42"/>
      <c r="F1938" s="43" t="str">
        <f>IF(E1938="", "", IF(AND(E1938&gt;='PAINEL DE CONTROLE'!$C$5*(1-CONFIGURAÇÕES!$D$7), E1938&lt;='PAINEL DE CONTROLE'!$C$5*(1+CONFIGURAÇÕES!$D$7)), "DENTRO", "FORA"))</f>
        <v/>
      </c>
    </row>
    <row r="1939" spans="2:6" x14ac:dyDescent="0.2">
      <c r="B1939" s="44"/>
      <c r="C1939" s="44"/>
      <c r="D1939" s="44"/>
      <c r="E1939" s="42"/>
      <c r="F1939" s="43" t="str">
        <f>IF(E1939="", "", IF(AND(E1939&gt;='PAINEL DE CONTROLE'!$C$5*(1-CONFIGURAÇÕES!$D$7), E1939&lt;='PAINEL DE CONTROLE'!$C$5*(1+CONFIGURAÇÕES!$D$7)), "DENTRO", "FORA"))</f>
        <v/>
      </c>
    </row>
    <row r="1940" spans="2:6" x14ac:dyDescent="0.2">
      <c r="B1940" s="44"/>
      <c r="C1940" s="44"/>
      <c r="D1940" s="44"/>
      <c r="E1940" s="42"/>
      <c r="F1940" s="43" t="str">
        <f>IF(E1940="", "", IF(AND(E1940&gt;='PAINEL DE CONTROLE'!$C$5*(1-CONFIGURAÇÕES!$D$7), E1940&lt;='PAINEL DE CONTROLE'!$C$5*(1+CONFIGURAÇÕES!$D$7)), "DENTRO", "FORA"))</f>
        <v/>
      </c>
    </row>
    <row r="1941" spans="2:6" x14ac:dyDescent="0.2">
      <c r="B1941" s="44"/>
      <c r="C1941" s="44"/>
      <c r="D1941" s="44"/>
      <c r="E1941" s="42"/>
      <c r="F1941" s="43" t="str">
        <f>IF(E1941="", "", IF(AND(E1941&gt;='PAINEL DE CONTROLE'!$C$5*(1-CONFIGURAÇÕES!$D$7), E1941&lt;='PAINEL DE CONTROLE'!$C$5*(1+CONFIGURAÇÕES!$D$7)), "DENTRO", "FORA"))</f>
        <v/>
      </c>
    </row>
    <row r="1942" spans="2:6" x14ac:dyDescent="0.2">
      <c r="B1942" s="44"/>
      <c r="C1942" s="44"/>
      <c r="D1942" s="44"/>
      <c r="E1942" s="42"/>
      <c r="F1942" s="43" t="str">
        <f>IF(E1942="", "", IF(AND(E1942&gt;='PAINEL DE CONTROLE'!$C$5*(1-CONFIGURAÇÕES!$D$7), E1942&lt;='PAINEL DE CONTROLE'!$C$5*(1+CONFIGURAÇÕES!$D$7)), "DENTRO", "FORA"))</f>
        <v/>
      </c>
    </row>
    <row r="1943" spans="2:6" x14ac:dyDescent="0.2">
      <c r="B1943" s="44"/>
      <c r="C1943" s="44"/>
      <c r="D1943" s="44"/>
      <c r="E1943" s="42"/>
      <c r="F1943" s="43" t="str">
        <f>IF(E1943="", "", IF(AND(E1943&gt;='PAINEL DE CONTROLE'!$C$5*(1-CONFIGURAÇÕES!$D$7), E1943&lt;='PAINEL DE CONTROLE'!$C$5*(1+CONFIGURAÇÕES!$D$7)), "DENTRO", "FORA"))</f>
        <v/>
      </c>
    </row>
    <row r="1944" spans="2:6" x14ac:dyDescent="0.2">
      <c r="B1944" s="44"/>
      <c r="C1944" s="44"/>
      <c r="D1944" s="44"/>
      <c r="E1944" s="42"/>
      <c r="F1944" s="43" t="str">
        <f>IF(E1944="", "", IF(AND(E1944&gt;='PAINEL DE CONTROLE'!$C$5*(1-CONFIGURAÇÕES!$D$7), E1944&lt;='PAINEL DE CONTROLE'!$C$5*(1+CONFIGURAÇÕES!$D$7)), "DENTRO", "FORA"))</f>
        <v/>
      </c>
    </row>
    <row r="1945" spans="2:6" x14ac:dyDescent="0.2">
      <c r="B1945" s="44"/>
      <c r="C1945" s="44"/>
      <c r="D1945" s="44"/>
      <c r="E1945" s="42"/>
      <c r="F1945" s="43" t="str">
        <f>IF(E1945="", "", IF(AND(E1945&gt;='PAINEL DE CONTROLE'!$C$5*(1-CONFIGURAÇÕES!$D$7), E1945&lt;='PAINEL DE CONTROLE'!$C$5*(1+CONFIGURAÇÕES!$D$7)), "DENTRO", "FORA"))</f>
        <v/>
      </c>
    </row>
    <row r="1946" spans="2:6" x14ac:dyDescent="0.2">
      <c r="B1946" s="44"/>
      <c r="C1946" s="44"/>
      <c r="D1946" s="44"/>
      <c r="E1946" s="42"/>
      <c r="F1946" s="43" t="str">
        <f>IF(E1946="", "", IF(AND(E1946&gt;='PAINEL DE CONTROLE'!$C$5*(1-CONFIGURAÇÕES!$D$7), E1946&lt;='PAINEL DE CONTROLE'!$C$5*(1+CONFIGURAÇÕES!$D$7)), "DENTRO", "FORA"))</f>
        <v/>
      </c>
    </row>
    <row r="1947" spans="2:6" x14ac:dyDescent="0.2">
      <c r="B1947" s="44"/>
      <c r="C1947" s="44"/>
      <c r="D1947" s="44"/>
      <c r="E1947" s="42"/>
      <c r="F1947" s="43" t="str">
        <f>IF(E1947="", "", IF(AND(E1947&gt;='PAINEL DE CONTROLE'!$C$5*(1-CONFIGURAÇÕES!$D$7), E1947&lt;='PAINEL DE CONTROLE'!$C$5*(1+CONFIGURAÇÕES!$D$7)), "DENTRO", "FORA"))</f>
        <v/>
      </c>
    </row>
    <row r="1948" spans="2:6" x14ac:dyDescent="0.2">
      <c r="B1948" s="44"/>
      <c r="C1948" s="44"/>
      <c r="D1948" s="44"/>
      <c r="E1948" s="42"/>
      <c r="F1948" s="43" t="str">
        <f>IF(E1948="", "", IF(AND(E1948&gt;='PAINEL DE CONTROLE'!$C$5*(1-CONFIGURAÇÕES!$D$7), E1948&lt;='PAINEL DE CONTROLE'!$C$5*(1+CONFIGURAÇÕES!$D$7)), "DENTRO", "FORA"))</f>
        <v/>
      </c>
    </row>
    <row r="1949" spans="2:6" x14ac:dyDescent="0.2">
      <c r="B1949" s="44"/>
      <c r="C1949" s="44"/>
      <c r="D1949" s="44"/>
      <c r="E1949" s="42"/>
      <c r="F1949" s="43" t="str">
        <f>IF(E1949="", "", IF(AND(E1949&gt;='PAINEL DE CONTROLE'!$C$5*(1-CONFIGURAÇÕES!$D$7), E1949&lt;='PAINEL DE CONTROLE'!$C$5*(1+CONFIGURAÇÕES!$D$7)), "DENTRO", "FORA"))</f>
        <v/>
      </c>
    </row>
    <row r="1950" spans="2:6" x14ac:dyDescent="0.2">
      <c r="B1950" s="44"/>
      <c r="C1950" s="44"/>
      <c r="D1950" s="44"/>
      <c r="E1950" s="42"/>
      <c r="F1950" s="43" t="str">
        <f>IF(E1950="", "", IF(AND(E1950&gt;='PAINEL DE CONTROLE'!$C$5*(1-CONFIGURAÇÕES!$D$7), E1950&lt;='PAINEL DE CONTROLE'!$C$5*(1+CONFIGURAÇÕES!$D$7)), "DENTRO", "FORA"))</f>
        <v/>
      </c>
    </row>
    <row r="1951" spans="2:6" x14ac:dyDescent="0.2">
      <c r="B1951" s="44"/>
      <c r="C1951" s="44"/>
      <c r="D1951" s="44"/>
      <c r="E1951" s="42"/>
      <c r="F1951" s="43" t="str">
        <f>IF(E1951="", "", IF(AND(E1951&gt;='PAINEL DE CONTROLE'!$C$5*(1-CONFIGURAÇÕES!$D$7), E1951&lt;='PAINEL DE CONTROLE'!$C$5*(1+CONFIGURAÇÕES!$D$7)), "DENTRO", "FORA"))</f>
        <v/>
      </c>
    </row>
    <row r="1952" spans="2:6" x14ac:dyDescent="0.2">
      <c r="B1952" s="44"/>
      <c r="C1952" s="44"/>
      <c r="D1952" s="44"/>
      <c r="E1952" s="42"/>
      <c r="F1952" s="43" t="str">
        <f>IF(E1952="", "", IF(AND(E1952&gt;='PAINEL DE CONTROLE'!$C$5*(1-CONFIGURAÇÕES!$D$7), E1952&lt;='PAINEL DE CONTROLE'!$C$5*(1+CONFIGURAÇÕES!$D$7)), "DENTRO", "FORA"))</f>
        <v/>
      </c>
    </row>
    <row r="1953" spans="2:6" x14ac:dyDescent="0.2">
      <c r="B1953" s="44"/>
      <c r="C1953" s="44"/>
      <c r="D1953" s="44"/>
      <c r="E1953" s="42"/>
      <c r="F1953" s="43" t="str">
        <f>IF(E1953="", "", IF(AND(E1953&gt;='PAINEL DE CONTROLE'!$C$5*(1-CONFIGURAÇÕES!$D$7), E1953&lt;='PAINEL DE CONTROLE'!$C$5*(1+CONFIGURAÇÕES!$D$7)), "DENTRO", "FORA"))</f>
        <v/>
      </c>
    </row>
    <row r="1954" spans="2:6" x14ac:dyDescent="0.2">
      <c r="B1954" s="44"/>
      <c r="C1954" s="44"/>
      <c r="D1954" s="44"/>
      <c r="E1954" s="42"/>
      <c r="F1954" s="43" t="str">
        <f>IF(E1954="", "", IF(AND(E1954&gt;='PAINEL DE CONTROLE'!$C$5*(1-CONFIGURAÇÕES!$D$7), E1954&lt;='PAINEL DE CONTROLE'!$C$5*(1+CONFIGURAÇÕES!$D$7)), "DENTRO", "FORA"))</f>
        <v/>
      </c>
    </row>
    <row r="1955" spans="2:6" x14ac:dyDescent="0.2">
      <c r="B1955" s="44"/>
      <c r="C1955" s="44"/>
      <c r="D1955" s="44"/>
      <c r="E1955" s="42"/>
      <c r="F1955" s="43" t="str">
        <f>IF(E1955="", "", IF(AND(E1955&gt;='PAINEL DE CONTROLE'!$C$5*(1-CONFIGURAÇÕES!$D$7), E1955&lt;='PAINEL DE CONTROLE'!$C$5*(1+CONFIGURAÇÕES!$D$7)), "DENTRO", "FORA"))</f>
        <v/>
      </c>
    </row>
    <row r="1956" spans="2:6" x14ac:dyDescent="0.2">
      <c r="B1956" s="44"/>
      <c r="C1956" s="44"/>
      <c r="D1956" s="44"/>
      <c r="E1956" s="42"/>
      <c r="F1956" s="43" t="str">
        <f>IF(E1956="", "", IF(AND(E1956&gt;='PAINEL DE CONTROLE'!$C$5*(1-CONFIGURAÇÕES!$D$7), E1956&lt;='PAINEL DE CONTROLE'!$C$5*(1+CONFIGURAÇÕES!$D$7)), "DENTRO", "FORA"))</f>
        <v/>
      </c>
    </row>
    <row r="1957" spans="2:6" x14ac:dyDescent="0.2">
      <c r="B1957" s="44"/>
      <c r="C1957" s="44"/>
      <c r="D1957" s="44"/>
      <c r="E1957" s="42"/>
      <c r="F1957" s="43" t="str">
        <f>IF(E1957="", "", IF(AND(E1957&gt;='PAINEL DE CONTROLE'!$C$5*(1-CONFIGURAÇÕES!$D$7), E1957&lt;='PAINEL DE CONTROLE'!$C$5*(1+CONFIGURAÇÕES!$D$7)), "DENTRO", "FORA"))</f>
        <v/>
      </c>
    </row>
    <row r="1958" spans="2:6" x14ac:dyDescent="0.2">
      <c r="B1958" s="44"/>
      <c r="C1958" s="44"/>
      <c r="D1958" s="44"/>
      <c r="E1958" s="42"/>
      <c r="F1958" s="43" t="str">
        <f>IF(E1958="", "", IF(AND(E1958&gt;='PAINEL DE CONTROLE'!$C$5*(1-CONFIGURAÇÕES!$D$7), E1958&lt;='PAINEL DE CONTROLE'!$C$5*(1+CONFIGURAÇÕES!$D$7)), "DENTRO", "FORA"))</f>
        <v/>
      </c>
    </row>
    <row r="1959" spans="2:6" x14ac:dyDescent="0.2">
      <c r="B1959" s="44"/>
      <c r="C1959" s="44"/>
      <c r="D1959" s="44"/>
      <c r="E1959" s="42"/>
      <c r="F1959" s="43" t="str">
        <f>IF(E1959="", "", IF(AND(E1959&gt;='PAINEL DE CONTROLE'!$C$5*(1-CONFIGURAÇÕES!$D$7), E1959&lt;='PAINEL DE CONTROLE'!$C$5*(1+CONFIGURAÇÕES!$D$7)), "DENTRO", "FORA"))</f>
        <v/>
      </c>
    </row>
    <row r="1960" spans="2:6" x14ac:dyDescent="0.2">
      <c r="B1960" s="44"/>
      <c r="C1960" s="44"/>
      <c r="D1960" s="44"/>
      <c r="E1960" s="42"/>
      <c r="F1960" s="43" t="str">
        <f>IF(E1960="", "", IF(AND(E1960&gt;='PAINEL DE CONTROLE'!$C$5*(1-CONFIGURAÇÕES!$D$7), E1960&lt;='PAINEL DE CONTROLE'!$C$5*(1+CONFIGURAÇÕES!$D$7)), "DENTRO", "FORA"))</f>
        <v/>
      </c>
    </row>
    <row r="1961" spans="2:6" x14ac:dyDescent="0.2">
      <c r="B1961" s="44"/>
      <c r="C1961" s="44"/>
      <c r="D1961" s="44"/>
      <c r="E1961" s="42"/>
      <c r="F1961" s="43" t="str">
        <f>IF(E1961="", "", IF(AND(E1961&gt;='PAINEL DE CONTROLE'!$C$5*(1-CONFIGURAÇÕES!$D$7), E1961&lt;='PAINEL DE CONTROLE'!$C$5*(1+CONFIGURAÇÕES!$D$7)), "DENTRO", "FORA"))</f>
        <v/>
      </c>
    </row>
    <row r="1962" spans="2:6" x14ac:dyDescent="0.2">
      <c r="B1962" s="44"/>
      <c r="C1962" s="44"/>
      <c r="D1962" s="44"/>
      <c r="E1962" s="42"/>
      <c r="F1962" s="43" t="str">
        <f>IF(E1962="", "", IF(AND(E1962&gt;='PAINEL DE CONTROLE'!$C$5*(1-CONFIGURAÇÕES!$D$7), E1962&lt;='PAINEL DE CONTROLE'!$C$5*(1+CONFIGURAÇÕES!$D$7)), "DENTRO", "FORA"))</f>
        <v/>
      </c>
    </row>
    <row r="1963" spans="2:6" x14ac:dyDescent="0.2">
      <c r="B1963" s="44"/>
      <c r="C1963" s="44"/>
      <c r="D1963" s="44"/>
      <c r="E1963" s="42"/>
      <c r="F1963" s="43" t="str">
        <f>IF(E1963="", "", IF(AND(E1963&gt;='PAINEL DE CONTROLE'!$C$5*(1-CONFIGURAÇÕES!$D$7), E1963&lt;='PAINEL DE CONTROLE'!$C$5*(1+CONFIGURAÇÕES!$D$7)), "DENTRO", "FORA"))</f>
        <v/>
      </c>
    </row>
    <row r="1964" spans="2:6" x14ac:dyDescent="0.2">
      <c r="B1964" s="44"/>
      <c r="C1964" s="44"/>
      <c r="D1964" s="44"/>
      <c r="E1964" s="42"/>
      <c r="F1964" s="43" t="str">
        <f>IF(E1964="", "", IF(AND(E1964&gt;='PAINEL DE CONTROLE'!$C$5*(1-CONFIGURAÇÕES!$D$7), E1964&lt;='PAINEL DE CONTROLE'!$C$5*(1+CONFIGURAÇÕES!$D$7)), "DENTRO", "FORA"))</f>
        <v/>
      </c>
    </row>
    <row r="1965" spans="2:6" x14ac:dyDescent="0.2">
      <c r="B1965" s="44"/>
      <c r="C1965" s="44"/>
      <c r="D1965" s="44"/>
      <c r="E1965" s="42"/>
      <c r="F1965" s="43" t="str">
        <f>IF(E1965="", "", IF(AND(E1965&gt;='PAINEL DE CONTROLE'!$C$5*(1-CONFIGURAÇÕES!$D$7), E1965&lt;='PAINEL DE CONTROLE'!$C$5*(1+CONFIGURAÇÕES!$D$7)), "DENTRO", "FORA"))</f>
        <v/>
      </c>
    </row>
    <row r="1966" spans="2:6" x14ac:dyDescent="0.2">
      <c r="B1966" s="44"/>
      <c r="C1966" s="44"/>
      <c r="D1966" s="44"/>
      <c r="E1966" s="42"/>
      <c r="F1966" s="43" t="str">
        <f>IF(E1966="", "", IF(AND(E1966&gt;='PAINEL DE CONTROLE'!$C$5*(1-CONFIGURAÇÕES!$D$7), E1966&lt;='PAINEL DE CONTROLE'!$C$5*(1+CONFIGURAÇÕES!$D$7)), "DENTRO", "FORA"))</f>
        <v/>
      </c>
    </row>
    <row r="1967" spans="2:6" x14ac:dyDescent="0.2">
      <c r="B1967" s="44"/>
      <c r="C1967" s="44"/>
      <c r="D1967" s="44"/>
      <c r="E1967" s="42"/>
      <c r="F1967" s="43" t="str">
        <f>IF(E1967="", "", IF(AND(E1967&gt;='PAINEL DE CONTROLE'!$C$5*(1-CONFIGURAÇÕES!$D$7), E1967&lt;='PAINEL DE CONTROLE'!$C$5*(1+CONFIGURAÇÕES!$D$7)), "DENTRO", "FORA"))</f>
        <v/>
      </c>
    </row>
    <row r="1968" spans="2:6" x14ac:dyDescent="0.2">
      <c r="B1968" s="44"/>
      <c r="C1968" s="44"/>
      <c r="D1968" s="44"/>
      <c r="E1968" s="42"/>
      <c r="F1968" s="43" t="str">
        <f>IF(E1968="", "", IF(AND(E1968&gt;='PAINEL DE CONTROLE'!$C$5*(1-CONFIGURAÇÕES!$D$7), E1968&lt;='PAINEL DE CONTROLE'!$C$5*(1+CONFIGURAÇÕES!$D$7)), "DENTRO", "FORA"))</f>
        <v/>
      </c>
    </row>
    <row r="1969" spans="2:6" x14ac:dyDescent="0.2">
      <c r="B1969" s="44"/>
      <c r="C1969" s="44"/>
      <c r="D1969" s="44"/>
      <c r="E1969" s="42"/>
      <c r="F1969" s="43" t="str">
        <f>IF(E1969="", "", IF(AND(E1969&gt;='PAINEL DE CONTROLE'!$C$5*(1-CONFIGURAÇÕES!$D$7), E1969&lt;='PAINEL DE CONTROLE'!$C$5*(1+CONFIGURAÇÕES!$D$7)), "DENTRO", "FORA"))</f>
        <v/>
      </c>
    </row>
    <row r="1970" spans="2:6" x14ac:dyDescent="0.2">
      <c r="B1970" s="44"/>
      <c r="C1970" s="44"/>
      <c r="D1970" s="44"/>
      <c r="E1970" s="42"/>
      <c r="F1970" s="43" t="str">
        <f>IF(E1970="", "", IF(AND(E1970&gt;='PAINEL DE CONTROLE'!$C$5*(1-CONFIGURAÇÕES!$D$7), E1970&lt;='PAINEL DE CONTROLE'!$C$5*(1+CONFIGURAÇÕES!$D$7)), "DENTRO", "FORA"))</f>
        <v/>
      </c>
    </row>
    <row r="1971" spans="2:6" x14ac:dyDescent="0.2">
      <c r="B1971" s="44"/>
      <c r="C1971" s="44"/>
      <c r="D1971" s="44"/>
      <c r="E1971" s="42"/>
      <c r="F1971" s="43" t="str">
        <f>IF(E1971="", "", IF(AND(E1971&gt;='PAINEL DE CONTROLE'!$C$5*(1-CONFIGURAÇÕES!$D$7), E1971&lt;='PAINEL DE CONTROLE'!$C$5*(1+CONFIGURAÇÕES!$D$7)), "DENTRO", "FORA"))</f>
        <v/>
      </c>
    </row>
    <row r="1972" spans="2:6" x14ac:dyDescent="0.2">
      <c r="B1972" s="44"/>
      <c r="C1972" s="44"/>
      <c r="D1972" s="44"/>
      <c r="E1972" s="42"/>
      <c r="F1972" s="43" t="str">
        <f>IF(E1972="", "", IF(AND(E1972&gt;='PAINEL DE CONTROLE'!$C$5*(1-CONFIGURAÇÕES!$D$7), E1972&lt;='PAINEL DE CONTROLE'!$C$5*(1+CONFIGURAÇÕES!$D$7)), "DENTRO", "FORA"))</f>
        <v/>
      </c>
    </row>
    <row r="1973" spans="2:6" x14ac:dyDescent="0.2">
      <c r="B1973" s="44"/>
      <c r="C1973" s="44"/>
      <c r="D1973" s="44"/>
      <c r="E1973" s="42"/>
      <c r="F1973" s="43" t="str">
        <f>IF(E1973="", "", IF(AND(E1973&gt;='PAINEL DE CONTROLE'!$C$5*(1-CONFIGURAÇÕES!$D$7), E1973&lt;='PAINEL DE CONTROLE'!$C$5*(1+CONFIGURAÇÕES!$D$7)), "DENTRO", "FORA"))</f>
        <v/>
      </c>
    </row>
    <row r="1974" spans="2:6" x14ac:dyDescent="0.2">
      <c r="B1974" s="44"/>
      <c r="C1974" s="44"/>
      <c r="D1974" s="44"/>
      <c r="E1974" s="42"/>
      <c r="F1974" s="43" t="str">
        <f>IF(E1974="", "", IF(AND(E1974&gt;='PAINEL DE CONTROLE'!$C$5*(1-CONFIGURAÇÕES!$D$7), E1974&lt;='PAINEL DE CONTROLE'!$C$5*(1+CONFIGURAÇÕES!$D$7)), "DENTRO", "FORA"))</f>
        <v/>
      </c>
    </row>
    <row r="1975" spans="2:6" x14ac:dyDescent="0.2">
      <c r="B1975" s="44"/>
      <c r="C1975" s="44"/>
      <c r="D1975" s="44"/>
      <c r="E1975" s="42"/>
      <c r="F1975" s="43" t="str">
        <f>IF(E1975="", "", IF(AND(E1975&gt;='PAINEL DE CONTROLE'!$C$5*(1-CONFIGURAÇÕES!$D$7), E1975&lt;='PAINEL DE CONTROLE'!$C$5*(1+CONFIGURAÇÕES!$D$7)), "DENTRO", "FORA"))</f>
        <v/>
      </c>
    </row>
    <row r="1976" spans="2:6" x14ac:dyDescent="0.2">
      <c r="B1976" s="44"/>
      <c r="C1976" s="44"/>
      <c r="D1976" s="44"/>
      <c r="E1976" s="42"/>
      <c r="F1976" s="43" t="str">
        <f>IF(E1976="", "", IF(AND(E1976&gt;='PAINEL DE CONTROLE'!$C$5*(1-CONFIGURAÇÕES!$D$7), E1976&lt;='PAINEL DE CONTROLE'!$C$5*(1+CONFIGURAÇÕES!$D$7)), "DENTRO", "FORA"))</f>
        <v/>
      </c>
    </row>
    <row r="1977" spans="2:6" x14ac:dyDescent="0.2">
      <c r="B1977" s="44"/>
      <c r="C1977" s="44"/>
      <c r="D1977" s="44"/>
      <c r="E1977" s="42"/>
      <c r="F1977" s="43" t="str">
        <f>IF(E1977="", "", IF(AND(E1977&gt;='PAINEL DE CONTROLE'!$C$5*(1-CONFIGURAÇÕES!$D$7), E1977&lt;='PAINEL DE CONTROLE'!$C$5*(1+CONFIGURAÇÕES!$D$7)), "DENTRO", "FORA"))</f>
        <v/>
      </c>
    </row>
    <row r="1978" spans="2:6" x14ac:dyDescent="0.2">
      <c r="B1978" s="44"/>
      <c r="C1978" s="44"/>
      <c r="D1978" s="44"/>
      <c r="E1978" s="42"/>
      <c r="F1978" s="43" t="str">
        <f>IF(E1978="", "", IF(AND(E1978&gt;='PAINEL DE CONTROLE'!$C$5*(1-CONFIGURAÇÕES!$D$7), E1978&lt;='PAINEL DE CONTROLE'!$C$5*(1+CONFIGURAÇÕES!$D$7)), "DENTRO", "FORA"))</f>
        <v/>
      </c>
    </row>
    <row r="1979" spans="2:6" x14ac:dyDescent="0.2">
      <c r="B1979" s="44"/>
      <c r="C1979" s="44"/>
      <c r="D1979" s="44"/>
      <c r="E1979" s="42"/>
      <c r="F1979" s="43" t="str">
        <f>IF(E1979="", "", IF(AND(E1979&gt;='PAINEL DE CONTROLE'!$C$5*(1-CONFIGURAÇÕES!$D$7), E1979&lt;='PAINEL DE CONTROLE'!$C$5*(1+CONFIGURAÇÕES!$D$7)), "DENTRO", "FORA"))</f>
        <v/>
      </c>
    </row>
    <row r="1980" spans="2:6" x14ac:dyDescent="0.2">
      <c r="B1980" s="44"/>
      <c r="C1980" s="44"/>
      <c r="D1980" s="44"/>
      <c r="E1980" s="42"/>
      <c r="F1980" s="43" t="str">
        <f>IF(E1980="", "", IF(AND(E1980&gt;='PAINEL DE CONTROLE'!$C$5*(1-CONFIGURAÇÕES!$D$7), E1980&lt;='PAINEL DE CONTROLE'!$C$5*(1+CONFIGURAÇÕES!$D$7)), "DENTRO", "FORA"))</f>
        <v/>
      </c>
    </row>
    <row r="1981" spans="2:6" x14ac:dyDescent="0.2">
      <c r="B1981" s="44"/>
      <c r="C1981" s="44"/>
      <c r="D1981" s="44"/>
      <c r="E1981" s="42"/>
      <c r="F1981" s="43" t="str">
        <f>IF(E1981="", "", IF(AND(E1981&gt;='PAINEL DE CONTROLE'!$C$5*(1-CONFIGURAÇÕES!$D$7), E1981&lt;='PAINEL DE CONTROLE'!$C$5*(1+CONFIGURAÇÕES!$D$7)), "DENTRO", "FORA"))</f>
        <v/>
      </c>
    </row>
    <row r="1982" spans="2:6" x14ac:dyDescent="0.2">
      <c r="B1982" s="44"/>
      <c r="C1982" s="44"/>
      <c r="D1982" s="44"/>
      <c r="E1982" s="42"/>
      <c r="F1982" s="43" t="str">
        <f>IF(E1982="", "", IF(AND(E1982&gt;='PAINEL DE CONTROLE'!$C$5*(1-CONFIGURAÇÕES!$D$7), E1982&lt;='PAINEL DE CONTROLE'!$C$5*(1+CONFIGURAÇÕES!$D$7)), "DENTRO", "FORA"))</f>
        <v/>
      </c>
    </row>
    <row r="1983" spans="2:6" x14ac:dyDescent="0.2">
      <c r="B1983" s="44"/>
      <c r="C1983" s="44"/>
      <c r="D1983" s="44"/>
      <c r="E1983" s="42"/>
      <c r="F1983" s="43" t="str">
        <f>IF(E1983="", "", IF(AND(E1983&gt;='PAINEL DE CONTROLE'!$C$5*(1-CONFIGURAÇÕES!$D$7), E1983&lt;='PAINEL DE CONTROLE'!$C$5*(1+CONFIGURAÇÕES!$D$7)), "DENTRO", "FORA"))</f>
        <v/>
      </c>
    </row>
    <row r="1984" spans="2:6" x14ac:dyDescent="0.2">
      <c r="B1984" s="44"/>
      <c r="C1984" s="44"/>
      <c r="D1984" s="44"/>
      <c r="E1984" s="42"/>
      <c r="F1984" s="43" t="str">
        <f>IF(E1984="", "", IF(AND(E1984&gt;='PAINEL DE CONTROLE'!$C$5*(1-CONFIGURAÇÕES!$D$7), E1984&lt;='PAINEL DE CONTROLE'!$C$5*(1+CONFIGURAÇÕES!$D$7)), "DENTRO", "FORA"))</f>
        <v/>
      </c>
    </row>
    <row r="1985" spans="2:6" x14ac:dyDescent="0.2">
      <c r="B1985" s="44"/>
      <c r="C1985" s="44"/>
      <c r="D1985" s="44"/>
      <c r="E1985" s="42"/>
      <c r="F1985" s="43" t="str">
        <f>IF(E1985="", "", IF(AND(E1985&gt;='PAINEL DE CONTROLE'!$C$5*(1-CONFIGURAÇÕES!$D$7), E1985&lt;='PAINEL DE CONTROLE'!$C$5*(1+CONFIGURAÇÕES!$D$7)), "DENTRO", "FORA"))</f>
        <v/>
      </c>
    </row>
    <row r="1986" spans="2:6" x14ac:dyDescent="0.2">
      <c r="B1986" s="44"/>
      <c r="C1986" s="44"/>
      <c r="D1986" s="44"/>
      <c r="E1986" s="42"/>
      <c r="F1986" s="43" t="str">
        <f>IF(E1986="", "", IF(AND(E1986&gt;='PAINEL DE CONTROLE'!$C$5*(1-CONFIGURAÇÕES!$D$7), E1986&lt;='PAINEL DE CONTROLE'!$C$5*(1+CONFIGURAÇÕES!$D$7)), "DENTRO", "FORA"))</f>
        <v/>
      </c>
    </row>
    <row r="1987" spans="2:6" x14ac:dyDescent="0.2">
      <c r="B1987" s="44"/>
      <c r="C1987" s="44"/>
      <c r="D1987" s="44"/>
      <c r="E1987" s="42"/>
      <c r="F1987" s="43" t="str">
        <f>IF(E1987="", "", IF(AND(E1987&gt;='PAINEL DE CONTROLE'!$C$5*(1-CONFIGURAÇÕES!$D$7), E1987&lt;='PAINEL DE CONTROLE'!$C$5*(1+CONFIGURAÇÕES!$D$7)), "DENTRO", "FORA"))</f>
        <v/>
      </c>
    </row>
    <row r="1988" spans="2:6" x14ac:dyDescent="0.2">
      <c r="B1988" s="44"/>
      <c r="C1988" s="44"/>
      <c r="D1988" s="44"/>
      <c r="E1988" s="42"/>
      <c r="F1988" s="43" t="str">
        <f>IF(E1988="", "", IF(AND(E1988&gt;='PAINEL DE CONTROLE'!$C$5*(1-CONFIGURAÇÕES!$D$7), E1988&lt;='PAINEL DE CONTROLE'!$C$5*(1+CONFIGURAÇÕES!$D$7)), "DENTRO", "FORA"))</f>
        <v/>
      </c>
    </row>
    <row r="1989" spans="2:6" x14ac:dyDescent="0.2">
      <c r="B1989" s="44"/>
      <c r="C1989" s="44"/>
      <c r="D1989" s="44"/>
      <c r="E1989" s="42"/>
      <c r="F1989" s="43" t="str">
        <f>IF(E1989="", "", IF(AND(E1989&gt;='PAINEL DE CONTROLE'!$C$5*(1-CONFIGURAÇÕES!$D$7), E1989&lt;='PAINEL DE CONTROLE'!$C$5*(1+CONFIGURAÇÕES!$D$7)), "DENTRO", "FORA"))</f>
        <v/>
      </c>
    </row>
    <row r="1990" spans="2:6" x14ac:dyDescent="0.2">
      <c r="B1990" s="44"/>
      <c r="C1990" s="44"/>
      <c r="D1990" s="44"/>
      <c r="E1990" s="42"/>
      <c r="F1990" s="43" t="str">
        <f>IF(E1990="", "", IF(AND(E1990&gt;='PAINEL DE CONTROLE'!$C$5*(1-CONFIGURAÇÕES!$D$7), E1990&lt;='PAINEL DE CONTROLE'!$C$5*(1+CONFIGURAÇÕES!$D$7)), "DENTRO", "FORA"))</f>
        <v/>
      </c>
    </row>
    <row r="1991" spans="2:6" x14ac:dyDescent="0.2">
      <c r="B1991" s="44"/>
      <c r="C1991" s="44"/>
      <c r="D1991" s="44"/>
      <c r="E1991" s="42"/>
      <c r="F1991" s="43" t="str">
        <f>IF(E1991="", "", IF(AND(E1991&gt;='PAINEL DE CONTROLE'!$C$5*(1-CONFIGURAÇÕES!$D$7), E1991&lt;='PAINEL DE CONTROLE'!$C$5*(1+CONFIGURAÇÕES!$D$7)), "DENTRO", "FORA"))</f>
        <v/>
      </c>
    </row>
    <row r="1992" spans="2:6" x14ac:dyDescent="0.2">
      <c r="B1992" s="44"/>
      <c r="C1992" s="44"/>
      <c r="D1992" s="44"/>
      <c r="E1992" s="42"/>
      <c r="F1992" s="43" t="str">
        <f>IF(E1992="", "", IF(AND(E1992&gt;='PAINEL DE CONTROLE'!$C$5*(1-CONFIGURAÇÕES!$D$7), E1992&lt;='PAINEL DE CONTROLE'!$C$5*(1+CONFIGURAÇÕES!$D$7)), "DENTRO", "FORA"))</f>
        <v/>
      </c>
    </row>
    <row r="1993" spans="2:6" x14ac:dyDescent="0.2">
      <c r="B1993" s="44"/>
      <c r="C1993" s="44"/>
      <c r="D1993" s="44"/>
      <c r="E1993" s="42"/>
      <c r="F1993" s="43" t="str">
        <f>IF(E1993="", "", IF(AND(E1993&gt;='PAINEL DE CONTROLE'!$C$5*(1-CONFIGURAÇÕES!$D$7), E1993&lt;='PAINEL DE CONTROLE'!$C$5*(1+CONFIGURAÇÕES!$D$7)), "DENTRO", "FORA"))</f>
        <v/>
      </c>
    </row>
    <row r="1994" spans="2:6" x14ac:dyDescent="0.2">
      <c r="B1994" s="44"/>
      <c r="C1994" s="44"/>
      <c r="D1994" s="44"/>
      <c r="E1994" s="42"/>
      <c r="F1994" s="43" t="str">
        <f>IF(E1994="", "", IF(AND(E1994&gt;='PAINEL DE CONTROLE'!$C$5*(1-CONFIGURAÇÕES!$D$7), E1994&lt;='PAINEL DE CONTROLE'!$C$5*(1+CONFIGURAÇÕES!$D$7)), "DENTRO", "FORA"))</f>
        <v/>
      </c>
    </row>
    <row r="1995" spans="2:6" x14ac:dyDescent="0.2">
      <c r="B1995" s="44"/>
      <c r="C1995" s="44"/>
      <c r="D1995" s="44"/>
      <c r="E1995" s="42"/>
      <c r="F1995" s="43" t="str">
        <f>IF(E1995="", "", IF(AND(E1995&gt;='PAINEL DE CONTROLE'!$C$5*(1-CONFIGURAÇÕES!$D$7), E1995&lt;='PAINEL DE CONTROLE'!$C$5*(1+CONFIGURAÇÕES!$D$7)), "DENTRO", "FORA"))</f>
        <v/>
      </c>
    </row>
    <row r="1996" spans="2:6" x14ac:dyDescent="0.2">
      <c r="B1996" s="44"/>
      <c r="C1996" s="44"/>
      <c r="D1996" s="44"/>
      <c r="E1996" s="42"/>
      <c r="F1996" s="43" t="str">
        <f>IF(E1996="", "", IF(AND(E1996&gt;='PAINEL DE CONTROLE'!$C$5*(1-CONFIGURAÇÕES!$D$7), E1996&lt;='PAINEL DE CONTROLE'!$C$5*(1+CONFIGURAÇÕES!$D$7)), "DENTRO", "FORA"))</f>
        <v/>
      </c>
    </row>
    <row r="1997" spans="2:6" x14ac:dyDescent="0.2">
      <c r="B1997" s="44"/>
      <c r="C1997" s="44"/>
      <c r="D1997" s="44"/>
      <c r="E1997" s="42"/>
      <c r="F1997" s="43" t="str">
        <f>IF(E1997="", "", IF(AND(E1997&gt;='PAINEL DE CONTROLE'!$C$5*(1-CONFIGURAÇÕES!$D$7), E1997&lt;='PAINEL DE CONTROLE'!$C$5*(1+CONFIGURAÇÕES!$D$7)), "DENTRO", "FORA"))</f>
        <v/>
      </c>
    </row>
    <row r="1998" spans="2:6" x14ac:dyDescent="0.2">
      <c r="B1998" s="44"/>
      <c r="C1998" s="44"/>
      <c r="D1998" s="44"/>
      <c r="E1998" s="42"/>
      <c r="F1998" s="43" t="str">
        <f>IF(E1998="", "", IF(AND(E1998&gt;='PAINEL DE CONTROLE'!$C$5*(1-CONFIGURAÇÕES!$D$7), E1998&lt;='PAINEL DE CONTROLE'!$C$5*(1+CONFIGURAÇÕES!$D$7)), "DENTRO", "FORA"))</f>
        <v/>
      </c>
    </row>
    <row r="1999" spans="2:6" x14ac:dyDescent="0.2">
      <c r="B1999" s="44"/>
      <c r="C1999" s="44"/>
      <c r="D1999" s="44"/>
      <c r="E1999" s="42"/>
      <c r="F1999" s="43" t="str">
        <f>IF(E1999="", "", IF(AND(E1999&gt;='PAINEL DE CONTROLE'!$C$5*(1-CONFIGURAÇÕES!$D$7), E1999&lt;='PAINEL DE CONTROLE'!$C$5*(1+CONFIGURAÇÕES!$D$7)), "DENTRO", "FORA"))</f>
        <v/>
      </c>
    </row>
    <row r="2000" spans="2:6" x14ac:dyDescent="0.2">
      <c r="B2000" s="44"/>
      <c r="C2000" s="44"/>
      <c r="D2000" s="44"/>
      <c r="E2000" s="42"/>
      <c r="F2000" s="43" t="str">
        <f>IF(E2000="", "", IF(AND(E2000&gt;='PAINEL DE CONTROLE'!$C$5*(1-CONFIGURAÇÕES!$D$7), E2000&lt;='PAINEL DE CONTROLE'!$C$5*(1+CONFIGURAÇÕES!$D$7)), "DENTRO", "FORA"))</f>
        <v/>
      </c>
    </row>
    <row r="2001" spans="2:6" x14ac:dyDescent="0.2">
      <c r="B2001" s="44"/>
      <c r="C2001" s="44"/>
      <c r="D2001" s="44"/>
      <c r="E2001" s="42"/>
      <c r="F2001" s="43" t="str">
        <f>IF(E2001="", "", IF(AND(E2001&gt;='PAINEL DE CONTROLE'!$C$5*(1-CONFIGURAÇÕES!$D$7), E2001&lt;='PAINEL DE CONTROLE'!$C$5*(1+CONFIGURAÇÕES!$D$7)), "DENTRO", "FORA"))</f>
        <v/>
      </c>
    </row>
    <row r="2002" spans="2:6" x14ac:dyDescent="0.2">
      <c r="B2002" s="44"/>
      <c r="C2002" s="44"/>
      <c r="D2002" s="44"/>
      <c r="E2002" s="42"/>
      <c r="F2002" s="43" t="str">
        <f>IF(E2002="", "", IF(AND(E2002&gt;='PAINEL DE CONTROLE'!$C$5*(1-CONFIGURAÇÕES!$D$7), E2002&lt;='PAINEL DE CONTROLE'!$C$5*(1+CONFIGURAÇÕES!$D$7)), "DENTRO", "FORA"))</f>
        <v/>
      </c>
    </row>
    <row r="2003" spans="2:6" x14ac:dyDescent="0.2">
      <c r="B2003" s="44"/>
      <c r="C2003" s="44"/>
      <c r="D2003" s="44"/>
      <c r="E2003" s="42"/>
      <c r="F2003" s="43" t="str">
        <f>IF(E2003="", "", IF(AND(E2003&gt;='PAINEL DE CONTROLE'!$C$5*(1-CONFIGURAÇÕES!$D$7), E2003&lt;='PAINEL DE CONTROLE'!$C$5*(1+CONFIGURAÇÕES!$D$7)), "DENTRO", "FORA"))</f>
        <v/>
      </c>
    </row>
    <row r="2004" spans="2:6" x14ac:dyDescent="0.2">
      <c r="B2004" s="44"/>
      <c r="C2004" s="44"/>
      <c r="D2004" s="44"/>
      <c r="E2004" s="42"/>
      <c r="F2004" s="43" t="str">
        <f>IF(E2004="", "", IF(AND(E2004&gt;='PAINEL DE CONTROLE'!$C$5*(1-CONFIGURAÇÕES!$D$7), E2004&lt;='PAINEL DE CONTROLE'!$C$5*(1+CONFIGURAÇÕES!$D$7)), "DENTRO", "FORA"))</f>
        <v/>
      </c>
    </row>
    <row r="2005" spans="2:6" x14ac:dyDescent="0.2">
      <c r="B2005" s="44"/>
      <c r="C2005" s="44"/>
      <c r="D2005" s="44"/>
      <c r="E2005" s="42"/>
      <c r="F2005" s="43" t="str">
        <f>IF(E2005="", "", IF(AND(E2005&gt;='PAINEL DE CONTROLE'!$C$5*(1-CONFIGURAÇÕES!$D$7), E2005&lt;='PAINEL DE CONTROLE'!$C$5*(1+CONFIGURAÇÕES!$D$7)), "DENTRO", "FORA"))</f>
        <v/>
      </c>
    </row>
    <row r="2006" spans="2:6" x14ac:dyDescent="0.2">
      <c r="B2006" s="44"/>
      <c r="C2006" s="44"/>
      <c r="D2006" s="44"/>
      <c r="E2006" s="42"/>
      <c r="F2006" s="43" t="str">
        <f>IF(E2006="", "", IF(AND(E2006&gt;='PAINEL DE CONTROLE'!$C$5*(1-CONFIGURAÇÕES!$D$7), E2006&lt;='PAINEL DE CONTROLE'!$C$5*(1+CONFIGURAÇÕES!$D$7)), "DENTRO", "FORA"))</f>
        <v/>
      </c>
    </row>
    <row r="2007" spans="2:6" x14ac:dyDescent="0.2">
      <c r="B2007" s="44"/>
      <c r="C2007" s="44"/>
      <c r="D2007" s="44"/>
      <c r="E2007" s="42"/>
      <c r="F2007" s="43" t="str">
        <f>IF(E2007="", "", IF(AND(E2007&gt;='PAINEL DE CONTROLE'!$C$5*(1-CONFIGURAÇÕES!$D$7), E2007&lt;='PAINEL DE CONTROLE'!$C$5*(1+CONFIGURAÇÕES!$D$7)), "DENTRO", "FORA"))</f>
        <v/>
      </c>
    </row>
    <row r="2008" spans="2:6" x14ac:dyDescent="0.2">
      <c r="B2008" s="44"/>
      <c r="C2008" s="44"/>
      <c r="D2008" s="44"/>
      <c r="E2008" s="42"/>
      <c r="F2008" s="43" t="str">
        <f>IF(E2008="", "", IF(AND(E2008&gt;='PAINEL DE CONTROLE'!$C$5*(1-CONFIGURAÇÕES!$D$7), E2008&lt;='PAINEL DE CONTROLE'!$C$5*(1+CONFIGURAÇÕES!$D$7)), "DENTRO", "FORA"))</f>
        <v/>
      </c>
    </row>
    <row r="2009" spans="2:6" x14ac:dyDescent="0.2">
      <c r="B2009" s="44"/>
      <c r="C2009" s="44"/>
      <c r="D2009" s="44"/>
      <c r="E2009" s="42"/>
      <c r="F2009" s="43" t="str">
        <f>IF(E2009="", "", IF(AND(E2009&gt;='PAINEL DE CONTROLE'!$C$5*(1-CONFIGURAÇÕES!$D$7), E2009&lt;='PAINEL DE CONTROLE'!$C$5*(1+CONFIGURAÇÕES!$D$7)), "DENTRO", "FORA"))</f>
        <v/>
      </c>
    </row>
    <row r="2010" spans="2:6" x14ac:dyDescent="0.2">
      <c r="B2010" s="44"/>
      <c r="C2010" s="44"/>
      <c r="D2010" s="44"/>
      <c r="E2010" s="42"/>
      <c r="F2010" s="43" t="str">
        <f>IF(E2010="", "", IF(AND(E2010&gt;='PAINEL DE CONTROLE'!$C$5*(1-CONFIGURAÇÕES!$D$7), E2010&lt;='PAINEL DE CONTROLE'!$C$5*(1+CONFIGURAÇÕES!$D$7)), "DENTRO", "FORA"))</f>
        <v/>
      </c>
    </row>
    <row r="2011" spans="2:6" x14ac:dyDescent="0.2">
      <c r="B2011" s="44"/>
      <c r="C2011" s="44"/>
      <c r="D2011" s="44"/>
      <c r="E2011" s="42"/>
      <c r="F2011" s="43" t="str">
        <f>IF(E2011="", "", IF(AND(E2011&gt;='PAINEL DE CONTROLE'!$C$5*(1-CONFIGURAÇÕES!$D$7), E2011&lt;='PAINEL DE CONTROLE'!$C$5*(1+CONFIGURAÇÕES!$D$7)), "DENTRO", "FORA"))</f>
        <v/>
      </c>
    </row>
    <row r="2012" spans="2:6" x14ac:dyDescent="0.2">
      <c r="B2012" s="44"/>
      <c r="C2012" s="44"/>
      <c r="D2012" s="44"/>
      <c r="E2012" s="42"/>
      <c r="F2012" s="43" t="str">
        <f>IF(E2012="", "", IF(AND(E2012&gt;='PAINEL DE CONTROLE'!$C$5*(1-CONFIGURAÇÕES!$D$7), E2012&lt;='PAINEL DE CONTROLE'!$C$5*(1+CONFIGURAÇÕES!$D$7)), "DENTRO", "FORA"))</f>
        <v/>
      </c>
    </row>
    <row r="2013" spans="2:6" x14ac:dyDescent="0.2">
      <c r="B2013" s="44"/>
      <c r="C2013" s="44"/>
      <c r="D2013" s="44"/>
      <c r="E2013" s="42"/>
      <c r="F2013" s="43" t="str">
        <f>IF(E2013="", "", IF(AND(E2013&gt;='PAINEL DE CONTROLE'!$C$5*(1-CONFIGURAÇÕES!$D$7), E2013&lt;='PAINEL DE CONTROLE'!$C$5*(1+CONFIGURAÇÕES!$D$7)), "DENTRO", "FORA"))</f>
        <v/>
      </c>
    </row>
    <row r="2014" spans="2:6" x14ac:dyDescent="0.2">
      <c r="B2014" s="44"/>
      <c r="C2014" s="44"/>
      <c r="D2014" s="44"/>
      <c r="E2014" s="42"/>
      <c r="F2014" s="43" t="str">
        <f>IF(E2014="", "", IF(AND(E2014&gt;='PAINEL DE CONTROLE'!$C$5*(1-CONFIGURAÇÕES!$D$7), E2014&lt;='PAINEL DE CONTROLE'!$C$5*(1+CONFIGURAÇÕES!$D$7)), "DENTRO", "FORA"))</f>
        <v/>
      </c>
    </row>
    <row r="2015" spans="2:6" x14ac:dyDescent="0.2">
      <c r="B2015" s="44"/>
      <c r="C2015" s="44"/>
      <c r="D2015" s="44"/>
      <c r="E2015" s="42"/>
      <c r="F2015" s="43" t="str">
        <f>IF(E2015="", "", IF(AND(E2015&gt;='PAINEL DE CONTROLE'!$C$5*(1-CONFIGURAÇÕES!$D$7), E2015&lt;='PAINEL DE CONTROLE'!$C$5*(1+CONFIGURAÇÕES!$D$7)), "DENTRO", "FORA"))</f>
        <v/>
      </c>
    </row>
    <row r="2016" spans="2:6" x14ac:dyDescent="0.2">
      <c r="B2016" s="44"/>
      <c r="C2016" s="44"/>
      <c r="D2016" s="44"/>
      <c r="E2016" s="42"/>
      <c r="F2016" s="43" t="str">
        <f>IF(E2016="", "", IF(AND(E2016&gt;='PAINEL DE CONTROLE'!$C$5*(1-CONFIGURAÇÕES!$D$7), E2016&lt;='PAINEL DE CONTROLE'!$C$5*(1+CONFIGURAÇÕES!$D$7)), "DENTRO", "FORA"))</f>
        <v/>
      </c>
    </row>
    <row r="2017" spans="2:6" x14ac:dyDescent="0.2">
      <c r="B2017" s="44"/>
      <c r="C2017" s="44"/>
      <c r="D2017" s="44"/>
      <c r="E2017" s="42"/>
      <c r="F2017" s="43" t="str">
        <f>IF(E2017="", "", IF(AND(E2017&gt;='PAINEL DE CONTROLE'!$C$5*(1-CONFIGURAÇÕES!$D$7), E2017&lt;='PAINEL DE CONTROLE'!$C$5*(1+CONFIGURAÇÕES!$D$7)), "DENTRO", "FORA"))</f>
        <v/>
      </c>
    </row>
    <row r="2018" spans="2:6" x14ac:dyDescent="0.2">
      <c r="B2018" s="44"/>
      <c r="C2018" s="44"/>
      <c r="D2018" s="44"/>
      <c r="E2018" s="42"/>
      <c r="F2018" s="43" t="str">
        <f>IF(E2018="", "", IF(AND(E2018&gt;='PAINEL DE CONTROLE'!$C$5*(1-CONFIGURAÇÕES!$D$7), E2018&lt;='PAINEL DE CONTROLE'!$C$5*(1+CONFIGURAÇÕES!$D$7)), "DENTRO", "FORA"))</f>
        <v/>
      </c>
    </row>
    <row r="2019" spans="2:6" x14ac:dyDescent="0.2">
      <c r="B2019" s="44"/>
      <c r="C2019" s="44"/>
      <c r="D2019" s="44"/>
      <c r="E2019" s="42"/>
      <c r="F2019" s="43" t="str">
        <f>IF(E2019="", "", IF(AND(E2019&gt;='PAINEL DE CONTROLE'!$C$5*(1-CONFIGURAÇÕES!$D$7), E2019&lt;='PAINEL DE CONTROLE'!$C$5*(1+CONFIGURAÇÕES!$D$7)), "DENTRO", "FORA"))</f>
        <v/>
      </c>
    </row>
    <row r="2020" spans="2:6" x14ac:dyDescent="0.2">
      <c r="B2020" s="44"/>
      <c r="C2020" s="44"/>
      <c r="D2020" s="44"/>
      <c r="E2020" s="42"/>
      <c r="F2020" s="43" t="str">
        <f>IF(E2020="", "", IF(AND(E2020&gt;='PAINEL DE CONTROLE'!$C$5*(1-CONFIGURAÇÕES!$D$7), E2020&lt;='PAINEL DE CONTROLE'!$C$5*(1+CONFIGURAÇÕES!$D$7)), "DENTRO", "FORA"))</f>
        <v/>
      </c>
    </row>
    <row r="2021" spans="2:6" x14ac:dyDescent="0.2">
      <c r="B2021" s="44"/>
      <c r="C2021" s="44"/>
      <c r="D2021" s="44"/>
      <c r="E2021" s="42"/>
      <c r="F2021" s="43" t="str">
        <f>IF(E2021="", "", IF(AND(E2021&gt;='PAINEL DE CONTROLE'!$C$5*(1-CONFIGURAÇÕES!$D$7), E2021&lt;='PAINEL DE CONTROLE'!$C$5*(1+CONFIGURAÇÕES!$D$7)), "DENTRO", "FORA"))</f>
        <v/>
      </c>
    </row>
    <row r="2022" spans="2:6" x14ac:dyDescent="0.2">
      <c r="B2022" s="44"/>
      <c r="C2022" s="44"/>
      <c r="D2022" s="44"/>
      <c r="E2022" s="42"/>
      <c r="F2022" s="43" t="str">
        <f>IF(E2022="", "", IF(AND(E2022&gt;='PAINEL DE CONTROLE'!$C$5*(1-CONFIGURAÇÕES!$D$7), E2022&lt;='PAINEL DE CONTROLE'!$C$5*(1+CONFIGURAÇÕES!$D$7)), "DENTRO", "FORA"))</f>
        <v/>
      </c>
    </row>
    <row r="2023" spans="2:6" x14ac:dyDescent="0.2">
      <c r="B2023" s="44"/>
      <c r="C2023" s="44"/>
      <c r="D2023" s="44"/>
      <c r="E2023" s="42"/>
      <c r="F2023" s="43" t="str">
        <f>IF(E2023="", "", IF(AND(E2023&gt;='PAINEL DE CONTROLE'!$C$5*(1-CONFIGURAÇÕES!$D$7), E2023&lt;='PAINEL DE CONTROLE'!$C$5*(1+CONFIGURAÇÕES!$D$7)), "DENTRO", "FORA"))</f>
        <v/>
      </c>
    </row>
    <row r="2024" spans="2:6" x14ac:dyDescent="0.2">
      <c r="B2024" s="44"/>
      <c r="C2024" s="44"/>
      <c r="D2024" s="44"/>
      <c r="E2024" s="42"/>
      <c r="F2024" s="43" t="str">
        <f>IF(E2024="", "", IF(AND(E2024&gt;='PAINEL DE CONTROLE'!$C$5*(1-CONFIGURAÇÕES!$D$7), E2024&lt;='PAINEL DE CONTROLE'!$C$5*(1+CONFIGURAÇÕES!$D$7)), "DENTRO", "FORA"))</f>
        <v/>
      </c>
    </row>
    <row r="2025" spans="2:6" x14ac:dyDescent="0.2">
      <c r="B2025" s="44"/>
      <c r="C2025" s="44"/>
      <c r="D2025" s="44"/>
      <c r="E2025" s="42"/>
      <c r="F2025" s="43" t="str">
        <f>IF(E2025="", "", IF(AND(E2025&gt;='PAINEL DE CONTROLE'!$C$5*(1-CONFIGURAÇÕES!$D$7), E2025&lt;='PAINEL DE CONTROLE'!$C$5*(1+CONFIGURAÇÕES!$D$7)), "DENTRO", "FORA"))</f>
        <v/>
      </c>
    </row>
    <row r="2026" spans="2:6" x14ac:dyDescent="0.2">
      <c r="B2026" s="44"/>
      <c r="C2026" s="44"/>
      <c r="D2026" s="44"/>
      <c r="E2026" s="42"/>
      <c r="F2026" s="43" t="str">
        <f>IF(E2026="", "", IF(AND(E2026&gt;='PAINEL DE CONTROLE'!$C$5*(1-CONFIGURAÇÕES!$D$7), E2026&lt;='PAINEL DE CONTROLE'!$C$5*(1+CONFIGURAÇÕES!$D$7)), "DENTRO", "FORA"))</f>
        <v/>
      </c>
    </row>
    <row r="2027" spans="2:6" x14ac:dyDescent="0.2">
      <c r="B2027" s="44"/>
      <c r="C2027" s="44"/>
      <c r="D2027" s="44"/>
      <c r="E2027" s="42"/>
      <c r="F2027" s="43" t="str">
        <f>IF(E2027="", "", IF(AND(E2027&gt;='PAINEL DE CONTROLE'!$C$5*(1-CONFIGURAÇÕES!$D$7), E2027&lt;='PAINEL DE CONTROLE'!$C$5*(1+CONFIGURAÇÕES!$D$7)), "DENTRO", "FORA"))</f>
        <v/>
      </c>
    </row>
    <row r="2028" spans="2:6" x14ac:dyDescent="0.2">
      <c r="B2028" s="44"/>
      <c r="C2028" s="44"/>
      <c r="D2028" s="44"/>
      <c r="E2028" s="42"/>
      <c r="F2028" s="43" t="str">
        <f>IF(E2028="", "", IF(AND(E2028&gt;='PAINEL DE CONTROLE'!$C$5*(1-CONFIGURAÇÕES!$D$7), E2028&lt;='PAINEL DE CONTROLE'!$C$5*(1+CONFIGURAÇÕES!$D$7)), "DENTRO", "FORA"))</f>
        <v/>
      </c>
    </row>
    <row r="2029" spans="2:6" x14ac:dyDescent="0.2">
      <c r="B2029" s="44"/>
      <c r="C2029" s="44"/>
      <c r="D2029" s="44"/>
      <c r="E2029" s="42"/>
      <c r="F2029" s="43" t="str">
        <f>IF(E2029="", "", IF(AND(E2029&gt;='PAINEL DE CONTROLE'!$C$5*(1-CONFIGURAÇÕES!$D$7), E2029&lt;='PAINEL DE CONTROLE'!$C$5*(1+CONFIGURAÇÕES!$D$7)), "DENTRO", "FORA"))</f>
        <v/>
      </c>
    </row>
    <row r="2030" spans="2:6" x14ac:dyDescent="0.2">
      <c r="B2030" s="44"/>
      <c r="C2030" s="44"/>
      <c r="D2030" s="44"/>
      <c r="E2030" s="42"/>
      <c r="F2030" s="43" t="str">
        <f>IF(E2030="", "", IF(AND(E2030&gt;='PAINEL DE CONTROLE'!$C$5*(1-CONFIGURAÇÕES!$D$7), E2030&lt;='PAINEL DE CONTROLE'!$C$5*(1+CONFIGURAÇÕES!$D$7)), "DENTRO", "FORA"))</f>
        <v/>
      </c>
    </row>
    <row r="2031" spans="2:6" x14ac:dyDescent="0.2">
      <c r="B2031" s="44"/>
      <c r="C2031" s="44"/>
      <c r="D2031" s="44"/>
      <c r="E2031" s="42"/>
      <c r="F2031" s="43" t="str">
        <f>IF(E2031="", "", IF(AND(E2031&gt;='PAINEL DE CONTROLE'!$C$5*(1-CONFIGURAÇÕES!$D$7), E2031&lt;='PAINEL DE CONTROLE'!$C$5*(1+CONFIGURAÇÕES!$D$7)), "DENTRO", "FORA"))</f>
        <v/>
      </c>
    </row>
    <row r="2032" spans="2:6" x14ac:dyDescent="0.2">
      <c r="B2032" s="44"/>
      <c r="C2032" s="44"/>
      <c r="D2032" s="44"/>
      <c r="E2032" s="42"/>
      <c r="F2032" s="43" t="str">
        <f>IF(E2032="", "", IF(AND(E2032&gt;='PAINEL DE CONTROLE'!$C$5*(1-CONFIGURAÇÕES!$D$7), E2032&lt;='PAINEL DE CONTROLE'!$C$5*(1+CONFIGURAÇÕES!$D$7)), "DENTRO", "FORA"))</f>
        <v/>
      </c>
    </row>
    <row r="2033" spans="2:6" x14ac:dyDescent="0.2">
      <c r="B2033" s="44"/>
      <c r="C2033" s="44"/>
      <c r="D2033" s="44"/>
      <c r="E2033" s="42"/>
      <c r="F2033" s="43" t="str">
        <f>IF(E2033="", "", IF(AND(E2033&gt;='PAINEL DE CONTROLE'!$C$5*(1-CONFIGURAÇÕES!$D$7), E2033&lt;='PAINEL DE CONTROLE'!$C$5*(1+CONFIGURAÇÕES!$D$7)), "DENTRO", "FORA"))</f>
        <v/>
      </c>
    </row>
    <row r="2034" spans="2:6" x14ac:dyDescent="0.2">
      <c r="B2034" s="44"/>
      <c r="C2034" s="44"/>
      <c r="D2034" s="44"/>
      <c r="E2034" s="42"/>
      <c r="F2034" s="43" t="str">
        <f>IF(E2034="", "", IF(AND(E2034&gt;='PAINEL DE CONTROLE'!$C$5*(1-CONFIGURAÇÕES!$D$7), E2034&lt;='PAINEL DE CONTROLE'!$C$5*(1+CONFIGURAÇÕES!$D$7)), "DENTRO", "FORA"))</f>
        <v/>
      </c>
    </row>
    <row r="2035" spans="2:6" x14ac:dyDescent="0.2">
      <c r="B2035" s="44"/>
      <c r="C2035" s="44"/>
      <c r="D2035" s="44"/>
      <c r="E2035" s="42"/>
      <c r="F2035" s="43" t="str">
        <f>IF(E2035="", "", IF(AND(E2035&gt;='PAINEL DE CONTROLE'!$C$5*(1-CONFIGURAÇÕES!$D$7), E2035&lt;='PAINEL DE CONTROLE'!$C$5*(1+CONFIGURAÇÕES!$D$7)), "DENTRO", "FORA"))</f>
        <v/>
      </c>
    </row>
    <row r="2036" spans="2:6" x14ac:dyDescent="0.2">
      <c r="B2036" s="44"/>
      <c r="C2036" s="44"/>
      <c r="D2036" s="44"/>
      <c r="E2036" s="42"/>
      <c r="F2036" s="43" t="str">
        <f>IF(E2036="", "", IF(AND(E2036&gt;='PAINEL DE CONTROLE'!$C$5*(1-CONFIGURAÇÕES!$D$7), E2036&lt;='PAINEL DE CONTROLE'!$C$5*(1+CONFIGURAÇÕES!$D$7)), "DENTRO", "FORA"))</f>
        <v/>
      </c>
    </row>
    <row r="2037" spans="2:6" x14ac:dyDescent="0.2">
      <c r="B2037" s="44"/>
      <c r="C2037" s="44"/>
      <c r="D2037" s="44"/>
      <c r="E2037" s="42"/>
      <c r="F2037" s="43" t="str">
        <f>IF(E2037="", "", IF(AND(E2037&gt;='PAINEL DE CONTROLE'!$C$5*(1-CONFIGURAÇÕES!$D$7), E2037&lt;='PAINEL DE CONTROLE'!$C$5*(1+CONFIGURAÇÕES!$D$7)), "DENTRO", "FORA"))</f>
        <v/>
      </c>
    </row>
    <row r="2038" spans="2:6" x14ac:dyDescent="0.2">
      <c r="B2038" s="44"/>
      <c r="C2038" s="44"/>
      <c r="D2038" s="44"/>
      <c r="E2038" s="42"/>
      <c r="F2038" s="43" t="str">
        <f>IF(E2038="", "", IF(AND(E2038&gt;='PAINEL DE CONTROLE'!$C$5*(1-CONFIGURAÇÕES!$D$7), E2038&lt;='PAINEL DE CONTROLE'!$C$5*(1+CONFIGURAÇÕES!$D$7)), "DENTRO", "FORA"))</f>
        <v/>
      </c>
    </row>
    <row r="2039" spans="2:6" x14ac:dyDescent="0.2">
      <c r="B2039" s="44"/>
      <c r="C2039" s="44"/>
      <c r="D2039" s="44"/>
      <c r="E2039" s="42"/>
      <c r="F2039" s="43" t="str">
        <f>IF(E2039="", "", IF(AND(E2039&gt;='PAINEL DE CONTROLE'!$C$5*(1-CONFIGURAÇÕES!$D$7), E2039&lt;='PAINEL DE CONTROLE'!$C$5*(1+CONFIGURAÇÕES!$D$7)), "DENTRO", "FORA"))</f>
        <v/>
      </c>
    </row>
    <row r="2040" spans="2:6" x14ac:dyDescent="0.2">
      <c r="B2040" s="44"/>
      <c r="C2040" s="44"/>
      <c r="D2040" s="44"/>
      <c r="E2040" s="42"/>
      <c r="F2040" s="43" t="str">
        <f>IF(E2040="", "", IF(AND(E2040&gt;='PAINEL DE CONTROLE'!$C$5*(1-CONFIGURAÇÕES!$D$7), E2040&lt;='PAINEL DE CONTROLE'!$C$5*(1+CONFIGURAÇÕES!$D$7)), "DENTRO", "FORA"))</f>
        <v/>
      </c>
    </row>
    <row r="2041" spans="2:6" x14ac:dyDescent="0.2">
      <c r="B2041" s="44"/>
      <c r="C2041" s="44"/>
      <c r="D2041" s="44"/>
      <c r="E2041" s="42"/>
      <c r="F2041" s="43" t="str">
        <f>IF(E2041="", "", IF(AND(E2041&gt;='PAINEL DE CONTROLE'!$C$5*(1-CONFIGURAÇÕES!$D$7), E2041&lt;='PAINEL DE CONTROLE'!$C$5*(1+CONFIGURAÇÕES!$D$7)), "DENTRO", "FORA"))</f>
        <v/>
      </c>
    </row>
    <row r="2042" spans="2:6" x14ac:dyDescent="0.2">
      <c r="B2042" s="44"/>
      <c r="C2042" s="44"/>
      <c r="D2042" s="44"/>
      <c r="E2042" s="42"/>
      <c r="F2042" s="43" t="str">
        <f>IF(E2042="", "", IF(AND(E2042&gt;='PAINEL DE CONTROLE'!$C$5*(1-CONFIGURAÇÕES!$D$7), E2042&lt;='PAINEL DE CONTROLE'!$C$5*(1+CONFIGURAÇÕES!$D$7)), "DENTRO", "FORA"))</f>
        <v/>
      </c>
    </row>
    <row r="2043" spans="2:6" x14ac:dyDescent="0.2">
      <c r="B2043" s="44"/>
      <c r="C2043" s="44"/>
      <c r="D2043" s="44"/>
      <c r="E2043" s="42"/>
      <c r="F2043" s="43" t="str">
        <f>IF(E2043="", "", IF(AND(E2043&gt;='PAINEL DE CONTROLE'!$C$5*(1-CONFIGURAÇÕES!$D$7), E2043&lt;='PAINEL DE CONTROLE'!$C$5*(1+CONFIGURAÇÕES!$D$7)), "DENTRO", "FORA"))</f>
        <v/>
      </c>
    </row>
    <row r="2044" spans="2:6" x14ac:dyDescent="0.2">
      <c r="B2044" s="44"/>
      <c r="C2044" s="44"/>
      <c r="D2044" s="44"/>
      <c r="E2044" s="42"/>
      <c r="F2044" s="43" t="str">
        <f>IF(E2044="", "", IF(AND(E2044&gt;='PAINEL DE CONTROLE'!$C$5*(1-CONFIGURAÇÕES!$D$7), E2044&lt;='PAINEL DE CONTROLE'!$C$5*(1+CONFIGURAÇÕES!$D$7)), "DENTRO", "FORA"))</f>
        <v/>
      </c>
    </row>
    <row r="2045" spans="2:6" x14ac:dyDescent="0.2">
      <c r="B2045" s="44"/>
      <c r="C2045" s="44"/>
      <c r="D2045" s="44"/>
      <c r="E2045" s="42"/>
      <c r="F2045" s="43" t="str">
        <f>IF(E2045="", "", IF(AND(E2045&gt;='PAINEL DE CONTROLE'!$C$5*(1-CONFIGURAÇÕES!$D$7), E2045&lt;='PAINEL DE CONTROLE'!$C$5*(1+CONFIGURAÇÕES!$D$7)), "DENTRO", "FORA"))</f>
        <v/>
      </c>
    </row>
    <row r="2046" spans="2:6" x14ac:dyDescent="0.2">
      <c r="B2046" s="44"/>
      <c r="C2046" s="44"/>
      <c r="D2046" s="44"/>
      <c r="E2046" s="42"/>
      <c r="F2046" s="43" t="str">
        <f>IF(E2046="", "", IF(AND(E2046&gt;='PAINEL DE CONTROLE'!$C$5*(1-CONFIGURAÇÕES!$D$7), E2046&lt;='PAINEL DE CONTROLE'!$C$5*(1+CONFIGURAÇÕES!$D$7)), "DENTRO", "FORA"))</f>
        <v/>
      </c>
    </row>
    <row r="2047" spans="2:6" x14ac:dyDescent="0.2">
      <c r="B2047" s="44"/>
      <c r="C2047" s="44"/>
      <c r="D2047" s="44"/>
      <c r="E2047" s="42"/>
      <c r="F2047" s="43" t="str">
        <f>IF(E2047="", "", IF(AND(E2047&gt;='PAINEL DE CONTROLE'!$C$5*(1-CONFIGURAÇÕES!$D$7), E2047&lt;='PAINEL DE CONTROLE'!$C$5*(1+CONFIGURAÇÕES!$D$7)), "DENTRO", "FORA"))</f>
        <v/>
      </c>
    </row>
    <row r="2048" spans="2:6" x14ac:dyDescent="0.2">
      <c r="B2048" s="44"/>
      <c r="C2048" s="44"/>
      <c r="D2048" s="44"/>
      <c r="E2048" s="42"/>
      <c r="F2048" s="43" t="str">
        <f>IF(E2048="", "", IF(AND(E2048&gt;='PAINEL DE CONTROLE'!$C$5*(1-CONFIGURAÇÕES!$D$7), E2048&lt;='PAINEL DE CONTROLE'!$C$5*(1+CONFIGURAÇÕES!$D$7)), "DENTRO", "FORA"))</f>
        <v/>
      </c>
    </row>
    <row r="2049" spans="2:6" x14ac:dyDescent="0.2">
      <c r="B2049" s="44"/>
      <c r="C2049" s="44"/>
      <c r="D2049" s="44"/>
      <c r="E2049" s="42"/>
      <c r="F2049" s="43" t="str">
        <f>IF(E2049="", "", IF(AND(E2049&gt;='PAINEL DE CONTROLE'!$C$5*(1-CONFIGURAÇÕES!$D$7), E2049&lt;='PAINEL DE CONTROLE'!$C$5*(1+CONFIGURAÇÕES!$D$7)), "DENTRO", "FORA"))</f>
        <v/>
      </c>
    </row>
    <row r="2050" spans="2:6" x14ac:dyDescent="0.2">
      <c r="B2050" s="44"/>
      <c r="C2050" s="44"/>
      <c r="D2050" s="44"/>
      <c r="E2050" s="42"/>
      <c r="F2050" s="43" t="str">
        <f>IF(E2050="", "", IF(AND(E2050&gt;='PAINEL DE CONTROLE'!$C$5*(1-CONFIGURAÇÕES!$D$7), E2050&lt;='PAINEL DE CONTROLE'!$C$5*(1+CONFIGURAÇÕES!$D$7)), "DENTRO", "FORA"))</f>
        <v/>
      </c>
    </row>
    <row r="2051" spans="2:6" x14ac:dyDescent="0.2">
      <c r="B2051" s="44"/>
      <c r="C2051" s="44"/>
      <c r="D2051" s="44"/>
      <c r="E2051" s="42"/>
      <c r="F2051" s="43" t="str">
        <f>IF(E2051="", "", IF(AND(E2051&gt;='PAINEL DE CONTROLE'!$C$5*(1-CONFIGURAÇÕES!$D$7), E2051&lt;='PAINEL DE CONTROLE'!$C$5*(1+CONFIGURAÇÕES!$D$7)), "DENTRO", "FORA"))</f>
        <v/>
      </c>
    </row>
    <row r="2052" spans="2:6" x14ac:dyDescent="0.2">
      <c r="B2052" s="44"/>
      <c r="C2052" s="44"/>
      <c r="D2052" s="44"/>
      <c r="E2052" s="42"/>
      <c r="F2052" s="43" t="str">
        <f>IF(E2052="", "", IF(AND(E2052&gt;='PAINEL DE CONTROLE'!$C$5*(1-CONFIGURAÇÕES!$D$7), E2052&lt;='PAINEL DE CONTROLE'!$C$5*(1+CONFIGURAÇÕES!$D$7)), "DENTRO", "FORA"))</f>
        <v/>
      </c>
    </row>
    <row r="2053" spans="2:6" x14ac:dyDescent="0.2">
      <c r="B2053" s="44"/>
      <c r="C2053" s="44"/>
      <c r="D2053" s="44"/>
      <c r="E2053" s="42"/>
      <c r="F2053" s="43" t="str">
        <f>IF(E2053="", "", IF(AND(E2053&gt;='PAINEL DE CONTROLE'!$C$5*(1-CONFIGURAÇÕES!$D$7), E2053&lt;='PAINEL DE CONTROLE'!$C$5*(1+CONFIGURAÇÕES!$D$7)), "DENTRO", "FORA"))</f>
        <v/>
      </c>
    </row>
    <row r="2054" spans="2:6" x14ac:dyDescent="0.2">
      <c r="B2054" s="44"/>
      <c r="C2054" s="44"/>
      <c r="D2054" s="44"/>
      <c r="E2054" s="42"/>
      <c r="F2054" s="43" t="str">
        <f>IF(E2054="", "", IF(AND(E2054&gt;='PAINEL DE CONTROLE'!$C$5*(1-CONFIGURAÇÕES!$D$7), E2054&lt;='PAINEL DE CONTROLE'!$C$5*(1+CONFIGURAÇÕES!$D$7)), "DENTRO", "FORA"))</f>
        <v/>
      </c>
    </row>
    <row r="2055" spans="2:6" x14ac:dyDescent="0.2">
      <c r="B2055" s="44"/>
      <c r="C2055" s="44"/>
      <c r="D2055" s="44"/>
      <c r="E2055" s="42"/>
      <c r="F2055" s="43" t="str">
        <f>IF(E2055="", "", IF(AND(E2055&gt;='PAINEL DE CONTROLE'!$C$5*(1-CONFIGURAÇÕES!$D$7), E2055&lt;='PAINEL DE CONTROLE'!$C$5*(1+CONFIGURAÇÕES!$D$7)), "DENTRO", "FORA"))</f>
        <v/>
      </c>
    </row>
    <row r="2056" spans="2:6" x14ac:dyDescent="0.2">
      <c r="B2056" s="44"/>
      <c r="C2056" s="44"/>
      <c r="D2056" s="44"/>
      <c r="E2056" s="42"/>
      <c r="F2056" s="43" t="str">
        <f>IF(E2056="", "", IF(AND(E2056&gt;='PAINEL DE CONTROLE'!$C$5*(1-CONFIGURAÇÕES!$D$7), E2056&lt;='PAINEL DE CONTROLE'!$C$5*(1+CONFIGURAÇÕES!$D$7)), "DENTRO", "FORA"))</f>
        <v/>
      </c>
    </row>
    <row r="2057" spans="2:6" x14ac:dyDescent="0.2">
      <c r="B2057" s="44"/>
      <c r="C2057" s="44"/>
      <c r="D2057" s="44"/>
      <c r="E2057" s="42"/>
      <c r="F2057" s="43" t="str">
        <f>IF(E2057="", "", IF(AND(E2057&gt;='PAINEL DE CONTROLE'!$C$5*(1-CONFIGURAÇÕES!$D$7), E2057&lt;='PAINEL DE CONTROLE'!$C$5*(1+CONFIGURAÇÕES!$D$7)), "DENTRO", "FORA"))</f>
        <v/>
      </c>
    </row>
    <row r="2058" spans="2:6" x14ac:dyDescent="0.2">
      <c r="B2058" s="44"/>
      <c r="C2058" s="44"/>
      <c r="D2058" s="44"/>
      <c r="E2058" s="42"/>
      <c r="F2058" s="43" t="str">
        <f>IF(E2058="", "", IF(AND(E2058&gt;='PAINEL DE CONTROLE'!$C$5*(1-CONFIGURAÇÕES!$D$7), E2058&lt;='PAINEL DE CONTROLE'!$C$5*(1+CONFIGURAÇÕES!$D$7)), "DENTRO", "FORA"))</f>
        <v/>
      </c>
    </row>
    <row r="2059" spans="2:6" x14ac:dyDescent="0.2">
      <c r="B2059" s="44"/>
      <c r="C2059" s="44"/>
      <c r="D2059" s="44"/>
      <c r="E2059" s="42"/>
      <c r="F2059" s="43" t="str">
        <f>IF(E2059="", "", IF(AND(E2059&gt;='PAINEL DE CONTROLE'!$C$5*(1-CONFIGURAÇÕES!$D$7), E2059&lt;='PAINEL DE CONTROLE'!$C$5*(1+CONFIGURAÇÕES!$D$7)), "DENTRO", "FORA"))</f>
        <v/>
      </c>
    </row>
    <row r="2060" spans="2:6" x14ac:dyDescent="0.2">
      <c r="B2060" s="44"/>
      <c r="C2060" s="44"/>
      <c r="D2060" s="44"/>
      <c r="E2060" s="42"/>
      <c r="F2060" s="43" t="str">
        <f>IF(E2060="", "", IF(AND(E2060&gt;='PAINEL DE CONTROLE'!$C$5*(1-CONFIGURAÇÕES!$D$7), E2060&lt;='PAINEL DE CONTROLE'!$C$5*(1+CONFIGURAÇÕES!$D$7)), "DENTRO", "FORA"))</f>
        <v/>
      </c>
    </row>
    <row r="2061" spans="2:6" x14ac:dyDescent="0.2">
      <c r="B2061" s="44"/>
      <c r="C2061" s="44"/>
      <c r="D2061" s="44"/>
      <c r="E2061" s="42"/>
      <c r="F2061" s="43" t="str">
        <f>IF(E2061="", "", IF(AND(E2061&gt;='PAINEL DE CONTROLE'!$C$5*(1-CONFIGURAÇÕES!$D$7), E2061&lt;='PAINEL DE CONTROLE'!$C$5*(1+CONFIGURAÇÕES!$D$7)), "DENTRO", "FORA"))</f>
        <v/>
      </c>
    </row>
    <row r="2062" spans="2:6" x14ac:dyDescent="0.2">
      <c r="B2062" s="44"/>
      <c r="C2062" s="44"/>
      <c r="D2062" s="44"/>
      <c r="E2062" s="42"/>
      <c r="F2062" s="43" t="str">
        <f>IF(E2062="", "", IF(AND(E2062&gt;='PAINEL DE CONTROLE'!$C$5*(1-CONFIGURAÇÕES!$D$7), E2062&lt;='PAINEL DE CONTROLE'!$C$5*(1+CONFIGURAÇÕES!$D$7)), "DENTRO", "FORA"))</f>
        <v/>
      </c>
    </row>
    <row r="2063" spans="2:6" x14ac:dyDescent="0.2">
      <c r="B2063" s="44"/>
      <c r="C2063" s="44"/>
      <c r="D2063" s="44"/>
      <c r="E2063" s="42"/>
      <c r="F2063" s="43" t="str">
        <f>IF(E2063="", "", IF(AND(E2063&gt;='PAINEL DE CONTROLE'!$C$5*(1-CONFIGURAÇÕES!$D$7), E2063&lt;='PAINEL DE CONTROLE'!$C$5*(1+CONFIGURAÇÕES!$D$7)), "DENTRO", "FORA"))</f>
        <v/>
      </c>
    </row>
    <row r="2064" spans="2:6" x14ac:dyDescent="0.2">
      <c r="B2064" s="44"/>
      <c r="C2064" s="44"/>
      <c r="D2064" s="44"/>
      <c r="E2064" s="42"/>
      <c r="F2064" s="43" t="str">
        <f>IF(E2064="", "", IF(AND(E2064&gt;='PAINEL DE CONTROLE'!$C$5*(1-CONFIGURAÇÕES!$D$7), E2064&lt;='PAINEL DE CONTROLE'!$C$5*(1+CONFIGURAÇÕES!$D$7)), "DENTRO", "FORA"))</f>
        <v/>
      </c>
    </row>
    <row r="2065" spans="2:6" x14ac:dyDescent="0.2">
      <c r="B2065" s="44"/>
      <c r="C2065" s="44"/>
      <c r="D2065" s="44"/>
      <c r="E2065" s="42"/>
      <c r="F2065" s="43" t="str">
        <f>IF(E2065="", "", IF(AND(E2065&gt;='PAINEL DE CONTROLE'!$C$5*(1-CONFIGURAÇÕES!$D$7), E2065&lt;='PAINEL DE CONTROLE'!$C$5*(1+CONFIGURAÇÕES!$D$7)), "DENTRO", "FORA"))</f>
        <v/>
      </c>
    </row>
    <row r="2066" spans="2:6" x14ac:dyDescent="0.2">
      <c r="B2066" s="44"/>
      <c r="C2066" s="44"/>
      <c r="D2066" s="44"/>
      <c r="E2066" s="42"/>
      <c r="F2066" s="43" t="str">
        <f>IF(E2066="", "", IF(AND(E2066&gt;='PAINEL DE CONTROLE'!$C$5*(1-CONFIGURAÇÕES!$D$7), E2066&lt;='PAINEL DE CONTROLE'!$C$5*(1+CONFIGURAÇÕES!$D$7)), "DENTRO", "FORA"))</f>
        <v/>
      </c>
    </row>
    <row r="2067" spans="2:6" x14ac:dyDescent="0.2">
      <c r="B2067" s="44"/>
      <c r="C2067" s="44"/>
      <c r="D2067" s="44"/>
      <c r="E2067" s="42"/>
      <c r="F2067" s="43" t="str">
        <f>IF(E2067="", "", IF(AND(E2067&gt;='PAINEL DE CONTROLE'!$C$5*(1-CONFIGURAÇÕES!$D$7), E2067&lt;='PAINEL DE CONTROLE'!$C$5*(1+CONFIGURAÇÕES!$D$7)), "DENTRO", "FORA"))</f>
        <v/>
      </c>
    </row>
    <row r="2068" spans="2:6" x14ac:dyDescent="0.2">
      <c r="B2068" s="44"/>
      <c r="C2068" s="44"/>
      <c r="D2068" s="44"/>
      <c r="E2068" s="42"/>
      <c r="F2068" s="43" t="str">
        <f>IF(E2068="", "", IF(AND(E2068&gt;='PAINEL DE CONTROLE'!$C$5*(1-CONFIGURAÇÕES!$D$7), E2068&lt;='PAINEL DE CONTROLE'!$C$5*(1+CONFIGURAÇÕES!$D$7)), "DENTRO", "FORA"))</f>
        <v/>
      </c>
    </row>
    <row r="2069" spans="2:6" x14ac:dyDescent="0.2">
      <c r="B2069" s="44"/>
      <c r="C2069" s="44"/>
      <c r="D2069" s="44"/>
      <c r="E2069" s="42"/>
      <c r="F2069" s="43" t="str">
        <f>IF(E2069="", "", IF(AND(E2069&gt;='PAINEL DE CONTROLE'!$C$5*(1-CONFIGURAÇÕES!$D$7), E2069&lt;='PAINEL DE CONTROLE'!$C$5*(1+CONFIGURAÇÕES!$D$7)), "DENTRO", "FORA"))</f>
        <v/>
      </c>
    </row>
    <row r="2070" spans="2:6" x14ac:dyDescent="0.2">
      <c r="B2070" s="44"/>
      <c r="C2070" s="44"/>
      <c r="D2070" s="44"/>
      <c r="E2070" s="42"/>
      <c r="F2070" s="43" t="str">
        <f>IF(E2070="", "", IF(AND(E2070&gt;='PAINEL DE CONTROLE'!$C$5*(1-CONFIGURAÇÕES!$D$7), E2070&lt;='PAINEL DE CONTROLE'!$C$5*(1+CONFIGURAÇÕES!$D$7)), "DENTRO", "FORA"))</f>
        <v/>
      </c>
    </row>
    <row r="2071" spans="2:6" x14ac:dyDescent="0.2">
      <c r="B2071" s="44"/>
      <c r="C2071" s="44"/>
      <c r="D2071" s="44"/>
      <c r="E2071" s="42"/>
      <c r="F2071" s="43" t="str">
        <f>IF(E2071="", "", IF(AND(E2071&gt;='PAINEL DE CONTROLE'!$C$5*(1-CONFIGURAÇÕES!$D$7), E2071&lt;='PAINEL DE CONTROLE'!$C$5*(1+CONFIGURAÇÕES!$D$7)), "DENTRO", "FORA"))</f>
        <v/>
      </c>
    </row>
    <row r="2072" spans="2:6" x14ac:dyDescent="0.2">
      <c r="B2072" s="44"/>
      <c r="C2072" s="44"/>
      <c r="D2072" s="44"/>
      <c r="E2072" s="42"/>
      <c r="F2072" s="43" t="str">
        <f>IF(E2072="", "", IF(AND(E2072&gt;='PAINEL DE CONTROLE'!$C$5*(1-CONFIGURAÇÕES!$D$7), E2072&lt;='PAINEL DE CONTROLE'!$C$5*(1+CONFIGURAÇÕES!$D$7)), "DENTRO", "FORA"))</f>
        <v/>
      </c>
    </row>
    <row r="2073" spans="2:6" x14ac:dyDescent="0.2">
      <c r="B2073" s="44"/>
      <c r="C2073" s="44"/>
      <c r="D2073" s="44"/>
      <c r="E2073" s="42"/>
      <c r="F2073" s="43" t="str">
        <f>IF(E2073="", "", IF(AND(E2073&gt;='PAINEL DE CONTROLE'!$C$5*(1-CONFIGURAÇÕES!$D$7), E2073&lt;='PAINEL DE CONTROLE'!$C$5*(1+CONFIGURAÇÕES!$D$7)), "DENTRO", "FORA"))</f>
        <v/>
      </c>
    </row>
    <row r="2074" spans="2:6" x14ac:dyDescent="0.2">
      <c r="B2074" s="44"/>
      <c r="C2074" s="44"/>
      <c r="D2074" s="44"/>
      <c r="E2074" s="42"/>
      <c r="F2074" s="43" t="str">
        <f>IF(E2074="", "", IF(AND(E2074&gt;='PAINEL DE CONTROLE'!$C$5*(1-CONFIGURAÇÕES!$D$7), E2074&lt;='PAINEL DE CONTROLE'!$C$5*(1+CONFIGURAÇÕES!$D$7)), "DENTRO", "FORA"))</f>
        <v/>
      </c>
    </row>
    <row r="2075" spans="2:6" x14ac:dyDescent="0.2">
      <c r="B2075" s="44"/>
      <c r="C2075" s="44"/>
      <c r="D2075" s="44"/>
      <c r="E2075" s="42"/>
      <c r="F2075" s="43" t="str">
        <f>IF(E2075="", "", IF(AND(E2075&gt;='PAINEL DE CONTROLE'!$C$5*(1-CONFIGURAÇÕES!$D$7), E2075&lt;='PAINEL DE CONTROLE'!$C$5*(1+CONFIGURAÇÕES!$D$7)), "DENTRO", "FORA"))</f>
        <v/>
      </c>
    </row>
    <row r="2076" spans="2:6" x14ac:dyDescent="0.2">
      <c r="B2076" s="44"/>
      <c r="C2076" s="44"/>
      <c r="D2076" s="44"/>
      <c r="E2076" s="42"/>
      <c r="F2076" s="43" t="str">
        <f>IF(E2076="", "", IF(AND(E2076&gt;='PAINEL DE CONTROLE'!$C$5*(1-CONFIGURAÇÕES!$D$7), E2076&lt;='PAINEL DE CONTROLE'!$C$5*(1+CONFIGURAÇÕES!$D$7)), "DENTRO", "FORA"))</f>
        <v/>
      </c>
    </row>
    <row r="2077" spans="2:6" x14ac:dyDescent="0.2">
      <c r="B2077" s="44"/>
      <c r="C2077" s="44"/>
      <c r="D2077" s="44"/>
      <c r="E2077" s="42"/>
      <c r="F2077" s="43" t="str">
        <f>IF(E2077="", "", IF(AND(E2077&gt;='PAINEL DE CONTROLE'!$C$5*(1-CONFIGURAÇÕES!$D$7), E2077&lt;='PAINEL DE CONTROLE'!$C$5*(1+CONFIGURAÇÕES!$D$7)), "DENTRO", "FORA"))</f>
        <v/>
      </c>
    </row>
    <row r="2078" spans="2:6" x14ac:dyDescent="0.2">
      <c r="B2078" s="44"/>
      <c r="C2078" s="44"/>
      <c r="D2078" s="44"/>
      <c r="E2078" s="42"/>
      <c r="F2078" s="43" t="str">
        <f>IF(E2078="", "", IF(AND(E2078&gt;='PAINEL DE CONTROLE'!$C$5*(1-CONFIGURAÇÕES!$D$7), E2078&lt;='PAINEL DE CONTROLE'!$C$5*(1+CONFIGURAÇÕES!$D$7)), "DENTRO", "FORA"))</f>
        <v/>
      </c>
    </row>
    <row r="2079" spans="2:6" x14ac:dyDescent="0.2">
      <c r="B2079" s="44"/>
      <c r="C2079" s="44"/>
      <c r="D2079" s="44"/>
      <c r="E2079" s="42"/>
      <c r="F2079" s="43" t="str">
        <f>IF(E2079="", "", IF(AND(E2079&gt;='PAINEL DE CONTROLE'!$C$5*(1-CONFIGURAÇÕES!$D$7), E2079&lt;='PAINEL DE CONTROLE'!$C$5*(1+CONFIGURAÇÕES!$D$7)), "DENTRO", "FORA"))</f>
        <v/>
      </c>
    </row>
    <row r="2080" spans="2:6" x14ac:dyDescent="0.2">
      <c r="B2080" s="44"/>
      <c r="C2080" s="44"/>
      <c r="D2080" s="44"/>
      <c r="E2080" s="42"/>
      <c r="F2080" s="43" t="str">
        <f>IF(E2080="", "", IF(AND(E2080&gt;='PAINEL DE CONTROLE'!$C$5*(1-CONFIGURAÇÕES!$D$7), E2080&lt;='PAINEL DE CONTROLE'!$C$5*(1+CONFIGURAÇÕES!$D$7)), "DENTRO", "FORA"))</f>
        <v/>
      </c>
    </row>
    <row r="2081" spans="2:6" x14ac:dyDescent="0.2">
      <c r="B2081" s="44"/>
      <c r="C2081" s="44"/>
      <c r="D2081" s="44"/>
      <c r="E2081" s="42"/>
      <c r="F2081" s="43" t="str">
        <f>IF(E2081="", "", IF(AND(E2081&gt;='PAINEL DE CONTROLE'!$C$5*(1-CONFIGURAÇÕES!$D$7), E2081&lt;='PAINEL DE CONTROLE'!$C$5*(1+CONFIGURAÇÕES!$D$7)), "DENTRO", "FORA"))</f>
        <v/>
      </c>
    </row>
    <row r="2082" spans="2:6" x14ac:dyDescent="0.2">
      <c r="B2082" s="44"/>
      <c r="C2082" s="44"/>
      <c r="D2082" s="44"/>
      <c r="E2082" s="42"/>
      <c r="F2082" s="43" t="str">
        <f>IF(E2082="", "", IF(AND(E2082&gt;='PAINEL DE CONTROLE'!$C$5*(1-CONFIGURAÇÕES!$D$7), E2082&lt;='PAINEL DE CONTROLE'!$C$5*(1+CONFIGURAÇÕES!$D$7)), "DENTRO", "FORA"))</f>
        <v/>
      </c>
    </row>
    <row r="2083" spans="2:6" x14ac:dyDescent="0.2">
      <c r="B2083" s="44"/>
      <c r="C2083" s="44"/>
      <c r="D2083" s="44"/>
      <c r="E2083" s="42"/>
      <c r="F2083" s="43" t="str">
        <f>IF(E2083="", "", IF(AND(E2083&gt;='PAINEL DE CONTROLE'!$C$5*(1-CONFIGURAÇÕES!$D$7), E2083&lt;='PAINEL DE CONTROLE'!$C$5*(1+CONFIGURAÇÕES!$D$7)), "DENTRO", "FORA"))</f>
        <v/>
      </c>
    </row>
    <row r="2084" spans="2:6" x14ac:dyDescent="0.2">
      <c r="B2084" s="44"/>
      <c r="C2084" s="44"/>
      <c r="D2084" s="44"/>
      <c r="E2084" s="42"/>
      <c r="F2084" s="43" t="str">
        <f>IF(E2084="", "", IF(AND(E2084&gt;='PAINEL DE CONTROLE'!$C$5*(1-CONFIGURAÇÕES!$D$7), E2084&lt;='PAINEL DE CONTROLE'!$C$5*(1+CONFIGURAÇÕES!$D$7)), "DENTRO", "FORA"))</f>
        <v/>
      </c>
    </row>
    <row r="2085" spans="2:6" x14ac:dyDescent="0.2">
      <c r="B2085" s="44"/>
      <c r="C2085" s="44"/>
      <c r="D2085" s="44"/>
      <c r="E2085" s="42"/>
      <c r="F2085" s="43" t="str">
        <f>IF(E2085="", "", IF(AND(E2085&gt;='PAINEL DE CONTROLE'!$C$5*(1-CONFIGURAÇÕES!$D$7), E2085&lt;='PAINEL DE CONTROLE'!$C$5*(1+CONFIGURAÇÕES!$D$7)), "DENTRO", "FORA"))</f>
        <v/>
      </c>
    </row>
    <row r="2086" spans="2:6" x14ac:dyDescent="0.2">
      <c r="B2086" s="44"/>
      <c r="C2086" s="44"/>
      <c r="D2086" s="44"/>
      <c r="E2086" s="42"/>
      <c r="F2086" s="43" t="str">
        <f>IF(E2086="", "", IF(AND(E2086&gt;='PAINEL DE CONTROLE'!$C$5*(1-CONFIGURAÇÕES!$D$7), E2086&lt;='PAINEL DE CONTROLE'!$C$5*(1+CONFIGURAÇÕES!$D$7)), "DENTRO", "FORA"))</f>
        <v/>
      </c>
    </row>
    <row r="2087" spans="2:6" x14ac:dyDescent="0.2">
      <c r="B2087" s="44"/>
      <c r="C2087" s="44"/>
      <c r="D2087" s="44"/>
      <c r="E2087" s="42"/>
      <c r="F2087" s="43" t="str">
        <f>IF(E2087="", "", IF(AND(E2087&gt;='PAINEL DE CONTROLE'!$C$5*(1-CONFIGURAÇÕES!$D$7), E2087&lt;='PAINEL DE CONTROLE'!$C$5*(1+CONFIGURAÇÕES!$D$7)), "DENTRO", "FORA"))</f>
        <v/>
      </c>
    </row>
    <row r="2088" spans="2:6" x14ac:dyDescent="0.2">
      <c r="B2088" s="44"/>
      <c r="C2088" s="44"/>
      <c r="D2088" s="44"/>
      <c r="E2088" s="42"/>
      <c r="F2088" s="43" t="str">
        <f>IF(E2088="", "", IF(AND(E2088&gt;='PAINEL DE CONTROLE'!$C$5*(1-CONFIGURAÇÕES!$D$7), E2088&lt;='PAINEL DE CONTROLE'!$C$5*(1+CONFIGURAÇÕES!$D$7)), "DENTRO", "FORA"))</f>
        <v/>
      </c>
    </row>
    <row r="2089" spans="2:6" x14ac:dyDescent="0.2">
      <c r="B2089" s="44"/>
      <c r="C2089" s="44"/>
      <c r="D2089" s="44"/>
      <c r="E2089" s="42"/>
      <c r="F2089" s="43" t="str">
        <f>IF(E2089="", "", IF(AND(E2089&gt;='PAINEL DE CONTROLE'!$C$5*(1-CONFIGURAÇÕES!$D$7), E2089&lt;='PAINEL DE CONTROLE'!$C$5*(1+CONFIGURAÇÕES!$D$7)), "DENTRO", "FORA"))</f>
        <v/>
      </c>
    </row>
    <row r="2090" spans="2:6" x14ac:dyDescent="0.2">
      <c r="B2090" s="44"/>
      <c r="C2090" s="44"/>
      <c r="D2090" s="44"/>
      <c r="E2090" s="42"/>
      <c r="F2090" s="43" t="str">
        <f>IF(E2090="", "", IF(AND(E2090&gt;='PAINEL DE CONTROLE'!$C$5*(1-CONFIGURAÇÕES!$D$7), E2090&lt;='PAINEL DE CONTROLE'!$C$5*(1+CONFIGURAÇÕES!$D$7)), "DENTRO", "FORA"))</f>
        <v/>
      </c>
    </row>
    <row r="2091" spans="2:6" x14ac:dyDescent="0.2">
      <c r="B2091" s="44"/>
      <c r="C2091" s="44"/>
      <c r="D2091" s="44"/>
      <c r="E2091" s="42"/>
      <c r="F2091" s="43" t="str">
        <f>IF(E2091="", "", IF(AND(E2091&gt;='PAINEL DE CONTROLE'!$C$5*(1-CONFIGURAÇÕES!$D$7), E2091&lt;='PAINEL DE CONTROLE'!$C$5*(1+CONFIGURAÇÕES!$D$7)), "DENTRO", "FORA"))</f>
        <v/>
      </c>
    </row>
    <row r="2092" spans="2:6" x14ac:dyDescent="0.2">
      <c r="B2092" s="44"/>
      <c r="C2092" s="44"/>
      <c r="D2092" s="44"/>
      <c r="E2092" s="42"/>
      <c r="F2092" s="43" t="str">
        <f>IF(E2092="", "", IF(AND(E2092&gt;='PAINEL DE CONTROLE'!$C$5*(1-CONFIGURAÇÕES!$D$7), E2092&lt;='PAINEL DE CONTROLE'!$C$5*(1+CONFIGURAÇÕES!$D$7)), "DENTRO", "FORA"))</f>
        <v/>
      </c>
    </row>
    <row r="2093" spans="2:6" x14ac:dyDescent="0.2">
      <c r="B2093" s="44"/>
      <c r="C2093" s="44"/>
      <c r="D2093" s="44"/>
      <c r="E2093" s="42"/>
      <c r="F2093" s="43" t="str">
        <f>IF(E2093="", "", IF(AND(E2093&gt;='PAINEL DE CONTROLE'!$C$5*(1-CONFIGURAÇÕES!$D$7), E2093&lt;='PAINEL DE CONTROLE'!$C$5*(1+CONFIGURAÇÕES!$D$7)), "DENTRO", "FORA"))</f>
        <v/>
      </c>
    </row>
    <row r="2094" spans="2:6" x14ac:dyDescent="0.2">
      <c r="B2094" s="44"/>
      <c r="C2094" s="44"/>
      <c r="D2094" s="44"/>
      <c r="E2094" s="42"/>
      <c r="F2094" s="43" t="str">
        <f>IF(E2094="", "", IF(AND(E2094&gt;='PAINEL DE CONTROLE'!$C$5*(1-CONFIGURAÇÕES!$D$7), E2094&lt;='PAINEL DE CONTROLE'!$C$5*(1+CONFIGURAÇÕES!$D$7)), "DENTRO", "FORA"))</f>
        <v/>
      </c>
    </row>
    <row r="2095" spans="2:6" x14ac:dyDescent="0.2">
      <c r="B2095" s="44"/>
      <c r="C2095" s="44"/>
      <c r="D2095" s="44"/>
      <c r="E2095" s="42"/>
      <c r="F2095" s="43" t="str">
        <f>IF(E2095="", "", IF(AND(E2095&gt;='PAINEL DE CONTROLE'!$C$5*(1-CONFIGURAÇÕES!$D$7), E2095&lt;='PAINEL DE CONTROLE'!$C$5*(1+CONFIGURAÇÕES!$D$7)), "DENTRO", "FORA"))</f>
        <v/>
      </c>
    </row>
    <row r="2096" spans="2:6" x14ac:dyDescent="0.2">
      <c r="B2096" s="44"/>
      <c r="C2096" s="44"/>
      <c r="D2096" s="44"/>
      <c r="E2096" s="42"/>
      <c r="F2096" s="43" t="str">
        <f>IF(E2096="", "", IF(AND(E2096&gt;='PAINEL DE CONTROLE'!$C$5*(1-CONFIGURAÇÕES!$D$7), E2096&lt;='PAINEL DE CONTROLE'!$C$5*(1+CONFIGURAÇÕES!$D$7)), "DENTRO", "FORA"))</f>
        <v/>
      </c>
    </row>
    <row r="2097" spans="2:6" x14ac:dyDescent="0.2">
      <c r="B2097" s="44"/>
      <c r="C2097" s="44"/>
      <c r="D2097" s="44"/>
      <c r="E2097" s="42"/>
      <c r="F2097" s="43" t="str">
        <f>IF(E2097="", "", IF(AND(E2097&gt;='PAINEL DE CONTROLE'!$C$5*(1-CONFIGURAÇÕES!$D$7), E2097&lt;='PAINEL DE CONTROLE'!$C$5*(1+CONFIGURAÇÕES!$D$7)), "DENTRO", "FORA"))</f>
        <v/>
      </c>
    </row>
    <row r="2098" spans="2:6" x14ac:dyDescent="0.2">
      <c r="B2098" s="44"/>
      <c r="C2098" s="44"/>
      <c r="D2098" s="44"/>
      <c r="E2098" s="42"/>
      <c r="F2098" s="43" t="str">
        <f>IF(E2098="", "", IF(AND(E2098&gt;='PAINEL DE CONTROLE'!$C$5*(1-CONFIGURAÇÕES!$D$7), E2098&lt;='PAINEL DE CONTROLE'!$C$5*(1+CONFIGURAÇÕES!$D$7)), "DENTRO", "FORA"))</f>
        <v/>
      </c>
    </row>
    <row r="2099" spans="2:6" x14ac:dyDescent="0.2">
      <c r="B2099" s="44"/>
      <c r="C2099" s="44"/>
      <c r="D2099" s="44"/>
      <c r="E2099" s="42"/>
      <c r="F2099" s="43" t="str">
        <f>IF(E2099="", "", IF(AND(E2099&gt;='PAINEL DE CONTROLE'!$C$5*(1-CONFIGURAÇÕES!$D$7), E2099&lt;='PAINEL DE CONTROLE'!$C$5*(1+CONFIGURAÇÕES!$D$7)), "DENTRO", "FORA"))</f>
        <v/>
      </c>
    </row>
    <row r="2100" spans="2:6" x14ac:dyDescent="0.2">
      <c r="B2100" s="44"/>
      <c r="C2100" s="44"/>
      <c r="D2100" s="44"/>
      <c r="E2100" s="42"/>
      <c r="F2100" s="43" t="str">
        <f>IF(E2100="", "", IF(AND(E2100&gt;='PAINEL DE CONTROLE'!$C$5*(1-CONFIGURAÇÕES!$D$7), E2100&lt;='PAINEL DE CONTROLE'!$C$5*(1+CONFIGURAÇÕES!$D$7)), "DENTRO", "FORA"))</f>
        <v/>
      </c>
    </row>
    <row r="2101" spans="2:6" x14ac:dyDescent="0.2">
      <c r="B2101" s="44"/>
      <c r="C2101" s="44"/>
      <c r="D2101" s="44"/>
      <c r="E2101" s="42"/>
      <c r="F2101" s="43" t="str">
        <f>IF(E2101="", "", IF(AND(E2101&gt;='PAINEL DE CONTROLE'!$C$5*(1-CONFIGURAÇÕES!$D$7), E2101&lt;='PAINEL DE CONTROLE'!$C$5*(1+CONFIGURAÇÕES!$D$7)), "DENTRO", "FORA"))</f>
        <v/>
      </c>
    </row>
    <row r="2102" spans="2:6" x14ac:dyDescent="0.2">
      <c r="B2102" s="44"/>
      <c r="C2102" s="44"/>
      <c r="D2102" s="44"/>
      <c r="E2102" s="42"/>
      <c r="F2102" s="43" t="str">
        <f>IF(E2102="", "", IF(AND(E2102&gt;='PAINEL DE CONTROLE'!$C$5*(1-CONFIGURAÇÕES!$D$7), E2102&lt;='PAINEL DE CONTROLE'!$C$5*(1+CONFIGURAÇÕES!$D$7)), "DENTRO", "FORA"))</f>
        <v/>
      </c>
    </row>
    <row r="2103" spans="2:6" x14ac:dyDescent="0.2">
      <c r="B2103" s="44"/>
      <c r="C2103" s="44"/>
      <c r="D2103" s="44"/>
      <c r="E2103" s="42"/>
      <c r="F2103" s="43" t="str">
        <f>IF(E2103="", "", IF(AND(E2103&gt;='PAINEL DE CONTROLE'!$C$5*(1-CONFIGURAÇÕES!$D$7), E2103&lt;='PAINEL DE CONTROLE'!$C$5*(1+CONFIGURAÇÕES!$D$7)), "DENTRO", "FORA"))</f>
        <v/>
      </c>
    </row>
    <row r="2104" spans="2:6" x14ac:dyDescent="0.2">
      <c r="B2104" s="44"/>
      <c r="C2104" s="44"/>
      <c r="D2104" s="44"/>
      <c r="E2104" s="42"/>
      <c r="F2104" s="43" t="str">
        <f>IF(E2104="", "", IF(AND(E2104&gt;='PAINEL DE CONTROLE'!$C$5*(1-CONFIGURAÇÕES!$D$7), E2104&lt;='PAINEL DE CONTROLE'!$C$5*(1+CONFIGURAÇÕES!$D$7)), "DENTRO", "FORA"))</f>
        <v/>
      </c>
    </row>
    <row r="2105" spans="2:6" x14ac:dyDescent="0.2">
      <c r="B2105" s="44"/>
      <c r="C2105" s="44"/>
      <c r="D2105" s="44"/>
      <c r="E2105" s="42"/>
      <c r="F2105" s="43" t="str">
        <f>IF(E2105="", "", IF(AND(E2105&gt;='PAINEL DE CONTROLE'!$C$5*(1-CONFIGURAÇÕES!$D$7), E2105&lt;='PAINEL DE CONTROLE'!$C$5*(1+CONFIGURAÇÕES!$D$7)), "DENTRO", "FORA"))</f>
        <v/>
      </c>
    </row>
    <row r="2106" spans="2:6" x14ac:dyDescent="0.2">
      <c r="B2106" s="44"/>
      <c r="C2106" s="44"/>
      <c r="D2106" s="44"/>
      <c r="E2106" s="42"/>
      <c r="F2106" s="43" t="str">
        <f>IF(E2106="", "", IF(AND(E2106&gt;='PAINEL DE CONTROLE'!$C$5*(1-CONFIGURAÇÕES!$D$7), E2106&lt;='PAINEL DE CONTROLE'!$C$5*(1+CONFIGURAÇÕES!$D$7)), "DENTRO", "FORA"))</f>
        <v/>
      </c>
    </row>
    <row r="2107" spans="2:6" x14ac:dyDescent="0.2">
      <c r="B2107" s="44"/>
      <c r="C2107" s="44"/>
      <c r="D2107" s="44"/>
      <c r="E2107" s="42"/>
      <c r="F2107" s="43" t="str">
        <f>IF(E2107="", "", IF(AND(E2107&gt;='PAINEL DE CONTROLE'!$C$5*(1-CONFIGURAÇÕES!$D$7), E2107&lt;='PAINEL DE CONTROLE'!$C$5*(1+CONFIGURAÇÕES!$D$7)), "DENTRO", "FORA"))</f>
        <v/>
      </c>
    </row>
    <row r="2108" spans="2:6" x14ac:dyDescent="0.2">
      <c r="B2108" s="44"/>
      <c r="C2108" s="44"/>
      <c r="D2108" s="44"/>
      <c r="E2108" s="42"/>
      <c r="F2108" s="43" t="str">
        <f>IF(E2108="", "", IF(AND(E2108&gt;='PAINEL DE CONTROLE'!$C$5*(1-CONFIGURAÇÕES!$D$7), E2108&lt;='PAINEL DE CONTROLE'!$C$5*(1+CONFIGURAÇÕES!$D$7)), "DENTRO", "FORA"))</f>
        <v/>
      </c>
    </row>
    <row r="2109" spans="2:6" x14ac:dyDescent="0.2">
      <c r="B2109" s="44"/>
      <c r="C2109" s="44"/>
      <c r="D2109" s="44"/>
      <c r="E2109" s="42"/>
      <c r="F2109" s="43" t="str">
        <f>IF(E2109="", "", IF(AND(E2109&gt;='PAINEL DE CONTROLE'!$C$5*(1-CONFIGURAÇÕES!$D$7), E2109&lt;='PAINEL DE CONTROLE'!$C$5*(1+CONFIGURAÇÕES!$D$7)), "DENTRO", "FORA"))</f>
        <v/>
      </c>
    </row>
    <row r="2110" spans="2:6" x14ac:dyDescent="0.2">
      <c r="B2110" s="44"/>
      <c r="C2110" s="44"/>
      <c r="D2110" s="44"/>
      <c r="E2110" s="42"/>
      <c r="F2110" s="43" t="str">
        <f>IF(E2110="", "", IF(AND(E2110&gt;='PAINEL DE CONTROLE'!$C$5*(1-CONFIGURAÇÕES!$D$7), E2110&lt;='PAINEL DE CONTROLE'!$C$5*(1+CONFIGURAÇÕES!$D$7)), "DENTRO", "FORA"))</f>
        <v/>
      </c>
    </row>
    <row r="2111" spans="2:6" x14ac:dyDescent="0.2">
      <c r="B2111" s="44"/>
      <c r="C2111" s="44"/>
      <c r="D2111" s="44"/>
      <c r="E2111" s="42"/>
      <c r="F2111" s="43" t="str">
        <f>IF(E2111="", "", IF(AND(E2111&gt;='PAINEL DE CONTROLE'!$C$5*(1-CONFIGURAÇÕES!$D$7), E2111&lt;='PAINEL DE CONTROLE'!$C$5*(1+CONFIGURAÇÕES!$D$7)), "DENTRO", "FORA"))</f>
        <v/>
      </c>
    </row>
    <row r="2112" spans="2:6" x14ac:dyDescent="0.2">
      <c r="B2112" s="44"/>
      <c r="C2112" s="44"/>
      <c r="D2112" s="44"/>
      <c r="E2112" s="42"/>
      <c r="F2112" s="43" t="str">
        <f>IF(E2112="", "", IF(AND(E2112&gt;='PAINEL DE CONTROLE'!$C$5*(1-CONFIGURAÇÕES!$D$7), E2112&lt;='PAINEL DE CONTROLE'!$C$5*(1+CONFIGURAÇÕES!$D$7)), "DENTRO", "FORA"))</f>
        <v/>
      </c>
    </row>
    <row r="2113" spans="2:6" x14ac:dyDescent="0.2">
      <c r="B2113" s="44"/>
      <c r="C2113" s="44"/>
      <c r="D2113" s="44"/>
      <c r="E2113" s="42"/>
      <c r="F2113" s="43" t="str">
        <f>IF(E2113="", "", IF(AND(E2113&gt;='PAINEL DE CONTROLE'!$C$5*(1-CONFIGURAÇÕES!$D$7), E2113&lt;='PAINEL DE CONTROLE'!$C$5*(1+CONFIGURAÇÕES!$D$7)), "DENTRO", "FORA"))</f>
        <v/>
      </c>
    </row>
    <row r="2114" spans="2:6" x14ac:dyDescent="0.2">
      <c r="B2114" s="44"/>
      <c r="C2114" s="44"/>
      <c r="D2114" s="44"/>
      <c r="E2114" s="42"/>
      <c r="F2114" s="43" t="str">
        <f>IF(E2114="", "", IF(AND(E2114&gt;='PAINEL DE CONTROLE'!$C$5*(1-CONFIGURAÇÕES!$D$7), E2114&lt;='PAINEL DE CONTROLE'!$C$5*(1+CONFIGURAÇÕES!$D$7)), "DENTRO", "FORA"))</f>
        <v/>
      </c>
    </row>
    <row r="2115" spans="2:6" x14ac:dyDescent="0.2">
      <c r="B2115" s="44"/>
      <c r="C2115" s="44"/>
      <c r="D2115" s="44"/>
      <c r="E2115" s="42"/>
      <c r="F2115" s="43" t="str">
        <f>IF(E2115="", "", IF(AND(E2115&gt;='PAINEL DE CONTROLE'!$C$5*(1-CONFIGURAÇÕES!$D$7), E2115&lt;='PAINEL DE CONTROLE'!$C$5*(1+CONFIGURAÇÕES!$D$7)), "DENTRO", "FORA"))</f>
        <v/>
      </c>
    </row>
    <row r="2116" spans="2:6" x14ac:dyDescent="0.2">
      <c r="B2116" s="44"/>
      <c r="C2116" s="44"/>
      <c r="D2116" s="44"/>
      <c r="E2116" s="42"/>
      <c r="F2116" s="43" t="str">
        <f>IF(E2116="", "", IF(AND(E2116&gt;='PAINEL DE CONTROLE'!$C$5*(1-CONFIGURAÇÕES!$D$7), E2116&lt;='PAINEL DE CONTROLE'!$C$5*(1+CONFIGURAÇÕES!$D$7)), "DENTRO", "FORA"))</f>
        <v/>
      </c>
    </row>
    <row r="2117" spans="2:6" x14ac:dyDescent="0.2">
      <c r="B2117" s="44"/>
      <c r="C2117" s="44"/>
      <c r="D2117" s="44"/>
      <c r="E2117" s="42"/>
      <c r="F2117" s="43" t="str">
        <f>IF(E2117="", "", IF(AND(E2117&gt;='PAINEL DE CONTROLE'!$C$5*(1-CONFIGURAÇÕES!$D$7), E2117&lt;='PAINEL DE CONTROLE'!$C$5*(1+CONFIGURAÇÕES!$D$7)), "DENTRO", "FORA"))</f>
        <v/>
      </c>
    </row>
    <row r="2118" spans="2:6" x14ac:dyDescent="0.2">
      <c r="B2118" s="44"/>
      <c r="C2118" s="44"/>
      <c r="D2118" s="44"/>
      <c r="E2118" s="42"/>
      <c r="F2118" s="43" t="str">
        <f>IF(E2118="", "", IF(AND(E2118&gt;='PAINEL DE CONTROLE'!$C$5*(1-CONFIGURAÇÕES!$D$7), E2118&lt;='PAINEL DE CONTROLE'!$C$5*(1+CONFIGURAÇÕES!$D$7)), "DENTRO", "FORA"))</f>
        <v/>
      </c>
    </row>
    <row r="2119" spans="2:6" x14ac:dyDescent="0.2">
      <c r="B2119" s="44"/>
      <c r="C2119" s="44"/>
      <c r="D2119" s="44"/>
      <c r="E2119" s="42"/>
      <c r="F2119" s="43" t="str">
        <f>IF(E2119="", "", IF(AND(E2119&gt;='PAINEL DE CONTROLE'!$C$5*(1-CONFIGURAÇÕES!$D$7), E2119&lt;='PAINEL DE CONTROLE'!$C$5*(1+CONFIGURAÇÕES!$D$7)), "DENTRO", "FORA"))</f>
        <v/>
      </c>
    </row>
    <row r="2120" spans="2:6" x14ac:dyDescent="0.2">
      <c r="B2120" s="44"/>
      <c r="C2120" s="44"/>
      <c r="D2120" s="44"/>
      <c r="E2120" s="42"/>
      <c r="F2120" s="43" t="str">
        <f>IF(E2120="", "", IF(AND(E2120&gt;='PAINEL DE CONTROLE'!$C$5*(1-CONFIGURAÇÕES!$D$7), E2120&lt;='PAINEL DE CONTROLE'!$C$5*(1+CONFIGURAÇÕES!$D$7)), "DENTRO", "FORA"))</f>
        <v/>
      </c>
    </row>
    <row r="2121" spans="2:6" x14ac:dyDescent="0.2">
      <c r="B2121" s="44"/>
      <c r="C2121" s="44"/>
      <c r="D2121" s="44"/>
      <c r="E2121" s="42"/>
      <c r="F2121" s="43" t="str">
        <f>IF(E2121="", "", IF(AND(E2121&gt;='PAINEL DE CONTROLE'!$C$5*(1-CONFIGURAÇÕES!$D$7), E2121&lt;='PAINEL DE CONTROLE'!$C$5*(1+CONFIGURAÇÕES!$D$7)), "DENTRO", "FORA"))</f>
        <v/>
      </c>
    </row>
    <row r="2122" spans="2:6" x14ac:dyDescent="0.2">
      <c r="B2122" s="44"/>
      <c r="C2122" s="44"/>
      <c r="D2122" s="44"/>
      <c r="E2122" s="42"/>
      <c r="F2122" s="43" t="str">
        <f>IF(E2122="", "", IF(AND(E2122&gt;='PAINEL DE CONTROLE'!$C$5*(1-CONFIGURAÇÕES!$D$7), E2122&lt;='PAINEL DE CONTROLE'!$C$5*(1+CONFIGURAÇÕES!$D$7)), "DENTRO", "FORA"))</f>
        <v/>
      </c>
    </row>
    <row r="2123" spans="2:6" x14ac:dyDescent="0.2">
      <c r="B2123" s="44"/>
      <c r="C2123" s="44"/>
      <c r="D2123" s="44"/>
      <c r="E2123" s="42"/>
      <c r="F2123" s="43" t="str">
        <f>IF(E2123="", "", IF(AND(E2123&gt;='PAINEL DE CONTROLE'!$C$5*(1-CONFIGURAÇÕES!$D$7), E2123&lt;='PAINEL DE CONTROLE'!$C$5*(1+CONFIGURAÇÕES!$D$7)), "DENTRO", "FORA"))</f>
        <v/>
      </c>
    </row>
    <row r="2124" spans="2:6" x14ac:dyDescent="0.2">
      <c r="B2124" s="44"/>
      <c r="C2124" s="44"/>
      <c r="D2124" s="44"/>
      <c r="E2124" s="42"/>
      <c r="F2124" s="43" t="str">
        <f>IF(E2124="", "", IF(AND(E2124&gt;='PAINEL DE CONTROLE'!$C$5*(1-CONFIGURAÇÕES!$D$7), E2124&lt;='PAINEL DE CONTROLE'!$C$5*(1+CONFIGURAÇÕES!$D$7)), "DENTRO", "FORA"))</f>
        <v/>
      </c>
    </row>
    <row r="2125" spans="2:6" x14ac:dyDescent="0.2">
      <c r="B2125" s="44"/>
      <c r="C2125" s="44"/>
      <c r="D2125" s="44"/>
      <c r="E2125" s="42"/>
      <c r="F2125" s="43" t="str">
        <f>IF(E2125="", "", IF(AND(E2125&gt;='PAINEL DE CONTROLE'!$C$5*(1-CONFIGURAÇÕES!$D$7), E2125&lt;='PAINEL DE CONTROLE'!$C$5*(1+CONFIGURAÇÕES!$D$7)), "DENTRO", "FORA"))</f>
        <v/>
      </c>
    </row>
    <row r="2126" spans="2:6" x14ac:dyDescent="0.2">
      <c r="B2126" s="44"/>
      <c r="C2126" s="44"/>
      <c r="D2126" s="44"/>
      <c r="E2126" s="42"/>
      <c r="F2126" s="43" t="str">
        <f>IF(E2126="", "", IF(AND(E2126&gt;='PAINEL DE CONTROLE'!$C$5*(1-CONFIGURAÇÕES!$D$7), E2126&lt;='PAINEL DE CONTROLE'!$C$5*(1+CONFIGURAÇÕES!$D$7)), "DENTRO", "FORA"))</f>
        <v/>
      </c>
    </row>
    <row r="2127" spans="2:6" x14ac:dyDescent="0.2">
      <c r="B2127" s="44"/>
      <c r="C2127" s="44"/>
      <c r="D2127" s="44"/>
      <c r="E2127" s="42"/>
      <c r="F2127" s="43" t="str">
        <f>IF(E2127="", "", IF(AND(E2127&gt;='PAINEL DE CONTROLE'!$C$5*(1-CONFIGURAÇÕES!$D$7), E2127&lt;='PAINEL DE CONTROLE'!$C$5*(1+CONFIGURAÇÕES!$D$7)), "DENTRO", "FORA"))</f>
        <v/>
      </c>
    </row>
    <row r="2128" spans="2:6" x14ac:dyDescent="0.2">
      <c r="B2128" s="44"/>
      <c r="C2128" s="44"/>
      <c r="D2128" s="44"/>
      <c r="E2128" s="42"/>
      <c r="F2128" s="43" t="str">
        <f>IF(E2128="", "", IF(AND(E2128&gt;='PAINEL DE CONTROLE'!$C$5*(1-CONFIGURAÇÕES!$D$7), E2128&lt;='PAINEL DE CONTROLE'!$C$5*(1+CONFIGURAÇÕES!$D$7)), "DENTRO", "FORA"))</f>
        <v/>
      </c>
    </row>
    <row r="2129" spans="2:6" x14ac:dyDescent="0.2">
      <c r="B2129" s="44"/>
      <c r="C2129" s="44"/>
      <c r="D2129" s="44"/>
      <c r="E2129" s="42"/>
      <c r="F2129" s="43" t="str">
        <f>IF(E2129="", "", IF(AND(E2129&gt;='PAINEL DE CONTROLE'!$C$5*(1-CONFIGURAÇÕES!$D$7), E2129&lt;='PAINEL DE CONTROLE'!$C$5*(1+CONFIGURAÇÕES!$D$7)), "DENTRO", "FORA"))</f>
        <v/>
      </c>
    </row>
    <row r="2130" spans="2:6" x14ac:dyDescent="0.2">
      <c r="B2130" s="44"/>
      <c r="C2130" s="44"/>
      <c r="D2130" s="44"/>
      <c r="E2130" s="42"/>
      <c r="F2130" s="43" t="str">
        <f>IF(E2130="", "", IF(AND(E2130&gt;='PAINEL DE CONTROLE'!$C$5*(1-CONFIGURAÇÕES!$D$7), E2130&lt;='PAINEL DE CONTROLE'!$C$5*(1+CONFIGURAÇÕES!$D$7)), "DENTRO", "FORA"))</f>
        <v/>
      </c>
    </row>
    <row r="2131" spans="2:6" x14ac:dyDescent="0.2">
      <c r="B2131" s="44"/>
      <c r="C2131" s="44"/>
      <c r="D2131" s="44"/>
      <c r="E2131" s="42"/>
      <c r="F2131" s="43" t="str">
        <f>IF(E2131="", "", IF(AND(E2131&gt;='PAINEL DE CONTROLE'!$C$5*(1-CONFIGURAÇÕES!$D$7), E2131&lt;='PAINEL DE CONTROLE'!$C$5*(1+CONFIGURAÇÕES!$D$7)), "DENTRO", "FORA"))</f>
        <v/>
      </c>
    </row>
    <row r="2132" spans="2:6" x14ac:dyDescent="0.2">
      <c r="B2132" s="44"/>
      <c r="C2132" s="44"/>
      <c r="D2132" s="44"/>
      <c r="E2132" s="42"/>
      <c r="F2132" s="43" t="str">
        <f>IF(E2132="", "", IF(AND(E2132&gt;='PAINEL DE CONTROLE'!$C$5*(1-CONFIGURAÇÕES!$D$7), E2132&lt;='PAINEL DE CONTROLE'!$C$5*(1+CONFIGURAÇÕES!$D$7)), "DENTRO", "FORA"))</f>
        <v/>
      </c>
    </row>
    <row r="2133" spans="2:6" x14ac:dyDescent="0.2">
      <c r="B2133" s="44"/>
      <c r="C2133" s="44"/>
      <c r="D2133" s="44"/>
      <c r="E2133" s="42"/>
      <c r="F2133" s="43" t="str">
        <f>IF(E2133="", "", IF(AND(E2133&gt;='PAINEL DE CONTROLE'!$C$5*(1-CONFIGURAÇÕES!$D$7), E2133&lt;='PAINEL DE CONTROLE'!$C$5*(1+CONFIGURAÇÕES!$D$7)), "DENTRO", "FORA"))</f>
        <v/>
      </c>
    </row>
    <row r="2134" spans="2:6" x14ac:dyDescent="0.2">
      <c r="B2134" s="44"/>
      <c r="C2134" s="44"/>
      <c r="D2134" s="44"/>
      <c r="E2134" s="42"/>
      <c r="F2134" s="43" t="str">
        <f>IF(E2134="", "", IF(AND(E2134&gt;='PAINEL DE CONTROLE'!$C$5*(1-CONFIGURAÇÕES!$D$7), E2134&lt;='PAINEL DE CONTROLE'!$C$5*(1+CONFIGURAÇÕES!$D$7)), "DENTRO", "FORA"))</f>
        <v/>
      </c>
    </row>
    <row r="2135" spans="2:6" x14ac:dyDescent="0.2">
      <c r="B2135" s="44"/>
      <c r="C2135" s="44"/>
      <c r="D2135" s="44"/>
      <c r="E2135" s="42"/>
      <c r="F2135" s="43" t="str">
        <f>IF(E2135="", "", IF(AND(E2135&gt;='PAINEL DE CONTROLE'!$C$5*(1-CONFIGURAÇÕES!$D$7), E2135&lt;='PAINEL DE CONTROLE'!$C$5*(1+CONFIGURAÇÕES!$D$7)), "DENTRO", "FORA"))</f>
        <v/>
      </c>
    </row>
    <row r="2136" spans="2:6" x14ac:dyDescent="0.2">
      <c r="B2136" s="44"/>
      <c r="C2136" s="44"/>
      <c r="D2136" s="44"/>
      <c r="E2136" s="42"/>
      <c r="F2136" s="43" t="str">
        <f>IF(E2136="", "", IF(AND(E2136&gt;='PAINEL DE CONTROLE'!$C$5*(1-CONFIGURAÇÕES!$D$7), E2136&lt;='PAINEL DE CONTROLE'!$C$5*(1+CONFIGURAÇÕES!$D$7)), "DENTRO", "FORA"))</f>
        <v/>
      </c>
    </row>
    <row r="2137" spans="2:6" x14ac:dyDescent="0.2">
      <c r="B2137" s="44"/>
      <c r="C2137" s="44"/>
      <c r="D2137" s="44"/>
      <c r="E2137" s="42"/>
      <c r="F2137" s="43" t="str">
        <f>IF(E2137="", "", IF(AND(E2137&gt;='PAINEL DE CONTROLE'!$C$5*(1-CONFIGURAÇÕES!$D$7), E2137&lt;='PAINEL DE CONTROLE'!$C$5*(1+CONFIGURAÇÕES!$D$7)), "DENTRO", "FORA"))</f>
        <v/>
      </c>
    </row>
    <row r="2138" spans="2:6" x14ac:dyDescent="0.2">
      <c r="B2138" s="44"/>
      <c r="C2138" s="44"/>
      <c r="D2138" s="44"/>
      <c r="E2138" s="42"/>
      <c r="F2138" s="43" t="str">
        <f>IF(E2138="", "", IF(AND(E2138&gt;='PAINEL DE CONTROLE'!$C$5*(1-CONFIGURAÇÕES!$D$7), E2138&lt;='PAINEL DE CONTROLE'!$C$5*(1+CONFIGURAÇÕES!$D$7)), "DENTRO", "FORA"))</f>
        <v/>
      </c>
    </row>
    <row r="2139" spans="2:6" x14ac:dyDescent="0.2">
      <c r="B2139" s="44"/>
      <c r="C2139" s="44"/>
      <c r="D2139" s="44"/>
      <c r="E2139" s="42"/>
      <c r="F2139" s="43" t="str">
        <f>IF(E2139="", "", IF(AND(E2139&gt;='PAINEL DE CONTROLE'!$C$5*(1-CONFIGURAÇÕES!$D$7), E2139&lt;='PAINEL DE CONTROLE'!$C$5*(1+CONFIGURAÇÕES!$D$7)), "DENTRO", "FORA"))</f>
        <v/>
      </c>
    </row>
    <row r="2140" spans="2:6" x14ac:dyDescent="0.2">
      <c r="B2140" s="44"/>
      <c r="C2140" s="44"/>
      <c r="D2140" s="44"/>
      <c r="E2140" s="42"/>
      <c r="F2140" s="43" t="str">
        <f>IF(E2140="", "", IF(AND(E2140&gt;='PAINEL DE CONTROLE'!$C$5*(1-CONFIGURAÇÕES!$D$7), E2140&lt;='PAINEL DE CONTROLE'!$C$5*(1+CONFIGURAÇÕES!$D$7)), "DENTRO", "FORA"))</f>
        <v/>
      </c>
    </row>
    <row r="2141" spans="2:6" x14ac:dyDescent="0.2">
      <c r="B2141" s="44"/>
      <c r="C2141" s="44"/>
      <c r="D2141" s="44"/>
      <c r="E2141" s="42"/>
      <c r="F2141" s="43" t="str">
        <f>IF(E2141="", "", IF(AND(E2141&gt;='PAINEL DE CONTROLE'!$C$5*(1-CONFIGURAÇÕES!$D$7), E2141&lt;='PAINEL DE CONTROLE'!$C$5*(1+CONFIGURAÇÕES!$D$7)), "DENTRO", "FORA"))</f>
        <v/>
      </c>
    </row>
    <row r="2142" spans="2:6" x14ac:dyDescent="0.2">
      <c r="B2142" s="44"/>
      <c r="C2142" s="44"/>
      <c r="D2142" s="44"/>
      <c r="E2142" s="42"/>
      <c r="F2142" s="43" t="str">
        <f>IF(E2142="", "", IF(AND(E2142&gt;='PAINEL DE CONTROLE'!$C$5*(1-CONFIGURAÇÕES!$D$7), E2142&lt;='PAINEL DE CONTROLE'!$C$5*(1+CONFIGURAÇÕES!$D$7)), "DENTRO", "FORA"))</f>
        <v/>
      </c>
    </row>
    <row r="2143" spans="2:6" x14ac:dyDescent="0.2">
      <c r="B2143" s="44"/>
      <c r="C2143" s="44"/>
      <c r="D2143" s="44"/>
      <c r="E2143" s="42"/>
      <c r="F2143" s="43" t="str">
        <f>IF(E2143="", "", IF(AND(E2143&gt;='PAINEL DE CONTROLE'!$C$5*(1-CONFIGURAÇÕES!$D$7), E2143&lt;='PAINEL DE CONTROLE'!$C$5*(1+CONFIGURAÇÕES!$D$7)), "DENTRO", "FORA"))</f>
        <v/>
      </c>
    </row>
    <row r="2144" spans="2:6" x14ac:dyDescent="0.2">
      <c r="B2144" s="44"/>
      <c r="C2144" s="44"/>
      <c r="D2144" s="44"/>
      <c r="E2144" s="42"/>
      <c r="F2144" s="43" t="str">
        <f>IF(E2144="", "", IF(AND(E2144&gt;='PAINEL DE CONTROLE'!$C$5*(1-CONFIGURAÇÕES!$D$7), E2144&lt;='PAINEL DE CONTROLE'!$C$5*(1+CONFIGURAÇÕES!$D$7)), "DENTRO", "FORA"))</f>
        <v/>
      </c>
    </row>
    <row r="2145" spans="2:6" x14ac:dyDescent="0.2">
      <c r="B2145" s="44"/>
      <c r="C2145" s="44"/>
      <c r="D2145" s="44"/>
      <c r="E2145" s="42"/>
      <c r="F2145" s="43" t="str">
        <f>IF(E2145="", "", IF(AND(E2145&gt;='PAINEL DE CONTROLE'!$C$5*(1-CONFIGURAÇÕES!$D$7), E2145&lt;='PAINEL DE CONTROLE'!$C$5*(1+CONFIGURAÇÕES!$D$7)), "DENTRO", "FORA"))</f>
        <v/>
      </c>
    </row>
    <row r="2146" spans="2:6" x14ac:dyDescent="0.2">
      <c r="B2146" s="44"/>
      <c r="C2146" s="44"/>
      <c r="D2146" s="44"/>
      <c r="E2146" s="42"/>
      <c r="F2146" s="43" t="str">
        <f>IF(E2146="", "", IF(AND(E2146&gt;='PAINEL DE CONTROLE'!$C$5*(1-CONFIGURAÇÕES!$D$7), E2146&lt;='PAINEL DE CONTROLE'!$C$5*(1+CONFIGURAÇÕES!$D$7)), "DENTRO", "FORA"))</f>
        <v/>
      </c>
    </row>
    <row r="2147" spans="2:6" x14ac:dyDescent="0.2">
      <c r="B2147" s="44"/>
      <c r="C2147" s="44"/>
      <c r="D2147" s="44"/>
      <c r="E2147" s="42"/>
      <c r="F2147" s="43" t="str">
        <f>IF(E2147="", "", IF(AND(E2147&gt;='PAINEL DE CONTROLE'!$C$5*(1-CONFIGURAÇÕES!$D$7), E2147&lt;='PAINEL DE CONTROLE'!$C$5*(1+CONFIGURAÇÕES!$D$7)), "DENTRO", "FORA"))</f>
        <v/>
      </c>
    </row>
    <row r="2148" spans="2:6" x14ac:dyDescent="0.2">
      <c r="B2148" s="44"/>
      <c r="C2148" s="44"/>
      <c r="D2148" s="44"/>
      <c r="E2148" s="42"/>
      <c r="F2148" s="43" t="str">
        <f>IF(E2148="", "", IF(AND(E2148&gt;='PAINEL DE CONTROLE'!$C$5*(1-CONFIGURAÇÕES!$D$7), E2148&lt;='PAINEL DE CONTROLE'!$C$5*(1+CONFIGURAÇÕES!$D$7)), "DENTRO", "FORA"))</f>
        <v/>
      </c>
    </row>
    <row r="2149" spans="2:6" x14ac:dyDescent="0.2">
      <c r="B2149" s="44"/>
      <c r="C2149" s="44"/>
      <c r="D2149" s="44"/>
      <c r="E2149" s="42"/>
      <c r="F2149" s="43" t="str">
        <f>IF(E2149="", "", IF(AND(E2149&gt;='PAINEL DE CONTROLE'!$C$5*(1-CONFIGURAÇÕES!$D$7), E2149&lt;='PAINEL DE CONTROLE'!$C$5*(1+CONFIGURAÇÕES!$D$7)), "DENTRO", "FORA"))</f>
        <v/>
      </c>
    </row>
    <row r="2150" spans="2:6" x14ac:dyDescent="0.2">
      <c r="B2150" s="44"/>
      <c r="C2150" s="44"/>
      <c r="D2150" s="44"/>
      <c r="E2150" s="42"/>
      <c r="F2150" s="43" t="str">
        <f>IF(E2150="", "", IF(AND(E2150&gt;='PAINEL DE CONTROLE'!$C$5*(1-CONFIGURAÇÕES!$D$7), E2150&lt;='PAINEL DE CONTROLE'!$C$5*(1+CONFIGURAÇÕES!$D$7)), "DENTRO", "FORA"))</f>
        <v/>
      </c>
    </row>
    <row r="2151" spans="2:6" x14ac:dyDescent="0.2">
      <c r="B2151" s="44"/>
      <c r="C2151" s="44"/>
      <c r="D2151" s="44"/>
      <c r="E2151" s="42"/>
      <c r="F2151" s="43" t="str">
        <f>IF(E2151="", "", IF(AND(E2151&gt;='PAINEL DE CONTROLE'!$C$5*(1-CONFIGURAÇÕES!$D$7), E2151&lt;='PAINEL DE CONTROLE'!$C$5*(1+CONFIGURAÇÕES!$D$7)), "DENTRO", "FORA"))</f>
        <v/>
      </c>
    </row>
    <row r="2152" spans="2:6" x14ac:dyDescent="0.2">
      <c r="B2152" s="44"/>
      <c r="C2152" s="44"/>
      <c r="D2152" s="44"/>
      <c r="E2152" s="42"/>
      <c r="F2152" s="43" t="str">
        <f>IF(E2152="", "", IF(AND(E2152&gt;='PAINEL DE CONTROLE'!$C$5*(1-CONFIGURAÇÕES!$D$7), E2152&lt;='PAINEL DE CONTROLE'!$C$5*(1+CONFIGURAÇÕES!$D$7)), "DENTRO", "FORA"))</f>
        <v/>
      </c>
    </row>
    <row r="2153" spans="2:6" x14ac:dyDescent="0.2">
      <c r="B2153" s="44"/>
      <c r="C2153" s="44"/>
      <c r="D2153" s="44"/>
      <c r="E2153" s="42"/>
      <c r="F2153" s="43" t="str">
        <f>IF(E2153="", "", IF(AND(E2153&gt;='PAINEL DE CONTROLE'!$C$5*(1-CONFIGURAÇÕES!$D$7), E2153&lt;='PAINEL DE CONTROLE'!$C$5*(1+CONFIGURAÇÕES!$D$7)), "DENTRO", "FORA"))</f>
        <v/>
      </c>
    </row>
    <row r="2154" spans="2:6" x14ac:dyDescent="0.2">
      <c r="B2154" s="44"/>
      <c r="C2154" s="44"/>
      <c r="D2154" s="44"/>
      <c r="E2154" s="42"/>
      <c r="F2154" s="43" t="str">
        <f>IF(E2154="", "", IF(AND(E2154&gt;='PAINEL DE CONTROLE'!$C$5*(1-CONFIGURAÇÕES!$D$7), E2154&lt;='PAINEL DE CONTROLE'!$C$5*(1+CONFIGURAÇÕES!$D$7)), "DENTRO", "FORA"))</f>
        <v/>
      </c>
    </row>
    <row r="2155" spans="2:6" x14ac:dyDescent="0.2">
      <c r="B2155" s="44"/>
      <c r="C2155" s="44"/>
      <c r="D2155" s="44"/>
      <c r="E2155" s="42"/>
      <c r="F2155" s="43" t="str">
        <f>IF(E2155="", "", IF(AND(E2155&gt;='PAINEL DE CONTROLE'!$C$5*(1-CONFIGURAÇÕES!$D$7), E2155&lt;='PAINEL DE CONTROLE'!$C$5*(1+CONFIGURAÇÕES!$D$7)), "DENTRO", "FORA"))</f>
        <v/>
      </c>
    </row>
    <row r="2156" spans="2:6" x14ac:dyDescent="0.2">
      <c r="B2156" s="44"/>
      <c r="C2156" s="44"/>
      <c r="D2156" s="44"/>
      <c r="E2156" s="42"/>
      <c r="F2156" s="43" t="str">
        <f>IF(E2156="", "", IF(AND(E2156&gt;='PAINEL DE CONTROLE'!$C$5*(1-CONFIGURAÇÕES!$D$7), E2156&lt;='PAINEL DE CONTROLE'!$C$5*(1+CONFIGURAÇÕES!$D$7)), "DENTRO", "FORA"))</f>
        <v/>
      </c>
    </row>
    <row r="2157" spans="2:6" x14ac:dyDescent="0.2">
      <c r="B2157" s="44"/>
      <c r="C2157" s="44"/>
      <c r="D2157" s="44"/>
      <c r="E2157" s="42"/>
      <c r="F2157" s="43" t="str">
        <f>IF(E2157="", "", IF(AND(E2157&gt;='PAINEL DE CONTROLE'!$C$5*(1-CONFIGURAÇÕES!$D$7), E2157&lt;='PAINEL DE CONTROLE'!$C$5*(1+CONFIGURAÇÕES!$D$7)), "DENTRO", "FORA"))</f>
        <v/>
      </c>
    </row>
    <row r="2158" spans="2:6" x14ac:dyDescent="0.2">
      <c r="B2158" s="44"/>
      <c r="C2158" s="44"/>
      <c r="D2158" s="44"/>
      <c r="E2158" s="42"/>
      <c r="F2158" s="43" t="str">
        <f>IF(E2158="", "", IF(AND(E2158&gt;='PAINEL DE CONTROLE'!$C$5*(1-CONFIGURAÇÕES!$D$7), E2158&lt;='PAINEL DE CONTROLE'!$C$5*(1+CONFIGURAÇÕES!$D$7)), "DENTRO", "FORA"))</f>
        <v/>
      </c>
    </row>
    <row r="2159" spans="2:6" x14ac:dyDescent="0.2">
      <c r="B2159" s="44"/>
      <c r="C2159" s="44"/>
      <c r="D2159" s="44"/>
      <c r="E2159" s="42"/>
      <c r="F2159" s="43" t="str">
        <f>IF(E2159="", "", IF(AND(E2159&gt;='PAINEL DE CONTROLE'!$C$5*(1-CONFIGURAÇÕES!$D$7), E2159&lt;='PAINEL DE CONTROLE'!$C$5*(1+CONFIGURAÇÕES!$D$7)), "DENTRO", "FORA"))</f>
        <v/>
      </c>
    </row>
    <row r="2160" spans="2:6" x14ac:dyDescent="0.2">
      <c r="B2160" s="44"/>
      <c r="C2160" s="44"/>
      <c r="D2160" s="44"/>
      <c r="E2160" s="42"/>
      <c r="F2160" s="43" t="str">
        <f>IF(E2160="", "", IF(AND(E2160&gt;='PAINEL DE CONTROLE'!$C$5*(1-CONFIGURAÇÕES!$D$7), E2160&lt;='PAINEL DE CONTROLE'!$C$5*(1+CONFIGURAÇÕES!$D$7)), "DENTRO", "FORA"))</f>
        <v/>
      </c>
    </row>
    <row r="2161" spans="2:6" x14ac:dyDescent="0.2">
      <c r="B2161" s="44"/>
      <c r="C2161" s="44"/>
      <c r="D2161" s="44"/>
      <c r="E2161" s="42"/>
      <c r="F2161" s="43" t="str">
        <f>IF(E2161="", "", IF(AND(E2161&gt;='PAINEL DE CONTROLE'!$C$5*(1-CONFIGURAÇÕES!$D$7), E2161&lt;='PAINEL DE CONTROLE'!$C$5*(1+CONFIGURAÇÕES!$D$7)), "DENTRO", "FORA"))</f>
        <v/>
      </c>
    </row>
    <row r="2162" spans="2:6" x14ac:dyDescent="0.2">
      <c r="B2162" s="44"/>
      <c r="C2162" s="44"/>
      <c r="D2162" s="44"/>
      <c r="E2162" s="42"/>
      <c r="F2162" s="43" t="str">
        <f>IF(E2162="", "", IF(AND(E2162&gt;='PAINEL DE CONTROLE'!$C$5*(1-CONFIGURAÇÕES!$D$7), E2162&lt;='PAINEL DE CONTROLE'!$C$5*(1+CONFIGURAÇÕES!$D$7)), "DENTRO", "FORA"))</f>
        <v/>
      </c>
    </row>
    <row r="2163" spans="2:6" x14ac:dyDescent="0.2">
      <c r="B2163" s="44"/>
      <c r="C2163" s="44"/>
      <c r="D2163" s="44"/>
      <c r="E2163" s="42"/>
      <c r="F2163" s="43" t="str">
        <f>IF(E2163="", "", IF(AND(E2163&gt;='PAINEL DE CONTROLE'!$C$5*(1-CONFIGURAÇÕES!$D$7), E2163&lt;='PAINEL DE CONTROLE'!$C$5*(1+CONFIGURAÇÕES!$D$7)), "DENTRO", "FORA"))</f>
        <v/>
      </c>
    </row>
    <row r="2164" spans="2:6" x14ac:dyDescent="0.2">
      <c r="B2164" s="44"/>
      <c r="C2164" s="44"/>
      <c r="D2164" s="44"/>
      <c r="E2164" s="42"/>
      <c r="F2164" s="43" t="str">
        <f>IF(E2164="", "", IF(AND(E2164&gt;='PAINEL DE CONTROLE'!$C$5*(1-CONFIGURAÇÕES!$D$7), E2164&lt;='PAINEL DE CONTROLE'!$C$5*(1+CONFIGURAÇÕES!$D$7)), "DENTRO", "FORA"))</f>
        <v/>
      </c>
    </row>
    <row r="2165" spans="2:6" x14ac:dyDescent="0.2">
      <c r="B2165" s="44"/>
      <c r="C2165" s="44"/>
      <c r="D2165" s="44"/>
      <c r="E2165" s="42"/>
      <c r="F2165" s="43" t="str">
        <f>IF(E2165="", "", IF(AND(E2165&gt;='PAINEL DE CONTROLE'!$C$5*(1-CONFIGURAÇÕES!$D$7), E2165&lt;='PAINEL DE CONTROLE'!$C$5*(1+CONFIGURAÇÕES!$D$7)), "DENTRO", "FORA"))</f>
        <v/>
      </c>
    </row>
    <row r="2166" spans="2:6" x14ac:dyDescent="0.2">
      <c r="B2166" s="44"/>
      <c r="C2166" s="44"/>
      <c r="D2166" s="44"/>
      <c r="E2166" s="42"/>
      <c r="F2166" s="43" t="str">
        <f>IF(E2166="", "", IF(AND(E2166&gt;='PAINEL DE CONTROLE'!$C$5*(1-CONFIGURAÇÕES!$D$7), E2166&lt;='PAINEL DE CONTROLE'!$C$5*(1+CONFIGURAÇÕES!$D$7)), "DENTRO", "FORA"))</f>
        <v/>
      </c>
    </row>
    <row r="2167" spans="2:6" x14ac:dyDescent="0.2">
      <c r="B2167" s="44"/>
      <c r="C2167" s="44"/>
      <c r="D2167" s="44"/>
      <c r="E2167" s="42"/>
      <c r="F2167" s="43" t="str">
        <f>IF(E2167="", "", IF(AND(E2167&gt;='PAINEL DE CONTROLE'!$C$5*(1-CONFIGURAÇÕES!$D$7), E2167&lt;='PAINEL DE CONTROLE'!$C$5*(1+CONFIGURAÇÕES!$D$7)), "DENTRO", "FORA"))</f>
        <v/>
      </c>
    </row>
    <row r="2168" spans="2:6" x14ac:dyDescent="0.2">
      <c r="B2168" s="44"/>
      <c r="C2168" s="44"/>
      <c r="D2168" s="44"/>
      <c r="E2168" s="42"/>
      <c r="F2168" s="43" t="str">
        <f>IF(E2168="", "", IF(AND(E2168&gt;='PAINEL DE CONTROLE'!$C$5*(1-CONFIGURAÇÕES!$D$7), E2168&lt;='PAINEL DE CONTROLE'!$C$5*(1+CONFIGURAÇÕES!$D$7)), "DENTRO", "FORA"))</f>
        <v/>
      </c>
    </row>
    <row r="2169" spans="2:6" x14ac:dyDescent="0.2">
      <c r="B2169" s="44"/>
      <c r="C2169" s="44"/>
      <c r="D2169" s="44"/>
      <c r="E2169" s="42"/>
      <c r="F2169" s="43" t="str">
        <f>IF(E2169="", "", IF(AND(E2169&gt;='PAINEL DE CONTROLE'!$C$5*(1-CONFIGURAÇÕES!$D$7), E2169&lt;='PAINEL DE CONTROLE'!$C$5*(1+CONFIGURAÇÕES!$D$7)), "DENTRO", "FORA"))</f>
        <v/>
      </c>
    </row>
    <row r="2170" spans="2:6" x14ac:dyDescent="0.2">
      <c r="B2170" s="44"/>
      <c r="C2170" s="44"/>
      <c r="D2170" s="44"/>
      <c r="E2170" s="42"/>
      <c r="F2170" s="43" t="str">
        <f>IF(E2170="", "", IF(AND(E2170&gt;='PAINEL DE CONTROLE'!$C$5*(1-CONFIGURAÇÕES!$D$7), E2170&lt;='PAINEL DE CONTROLE'!$C$5*(1+CONFIGURAÇÕES!$D$7)), "DENTRO", "FORA"))</f>
        <v/>
      </c>
    </row>
    <row r="2171" spans="2:6" x14ac:dyDescent="0.2">
      <c r="B2171" s="44"/>
      <c r="C2171" s="44"/>
      <c r="D2171" s="44"/>
      <c r="E2171" s="42"/>
      <c r="F2171" s="43" t="str">
        <f>IF(E2171="", "", IF(AND(E2171&gt;='PAINEL DE CONTROLE'!$C$5*(1-CONFIGURAÇÕES!$D$7), E2171&lt;='PAINEL DE CONTROLE'!$C$5*(1+CONFIGURAÇÕES!$D$7)), "DENTRO", "FORA"))</f>
        <v/>
      </c>
    </row>
    <row r="2172" spans="2:6" x14ac:dyDescent="0.2">
      <c r="B2172" s="44"/>
      <c r="C2172" s="44"/>
      <c r="D2172" s="44"/>
      <c r="E2172" s="42"/>
      <c r="F2172" s="43" t="str">
        <f>IF(E2172="", "", IF(AND(E2172&gt;='PAINEL DE CONTROLE'!$C$5*(1-CONFIGURAÇÕES!$D$7), E2172&lt;='PAINEL DE CONTROLE'!$C$5*(1+CONFIGURAÇÕES!$D$7)), "DENTRO", "FORA"))</f>
        <v/>
      </c>
    </row>
    <row r="2173" spans="2:6" x14ac:dyDescent="0.2">
      <c r="B2173" s="44"/>
      <c r="C2173" s="44"/>
      <c r="D2173" s="44"/>
      <c r="E2173" s="42"/>
      <c r="F2173" s="43" t="str">
        <f>IF(E2173="", "", IF(AND(E2173&gt;='PAINEL DE CONTROLE'!$C$5*(1-CONFIGURAÇÕES!$D$7), E2173&lt;='PAINEL DE CONTROLE'!$C$5*(1+CONFIGURAÇÕES!$D$7)), "DENTRO", "FORA"))</f>
        <v/>
      </c>
    </row>
    <row r="2174" spans="2:6" x14ac:dyDescent="0.2">
      <c r="B2174" s="44"/>
      <c r="C2174" s="44"/>
      <c r="D2174" s="44"/>
      <c r="E2174" s="42"/>
      <c r="F2174" s="43" t="str">
        <f>IF(E2174="", "", IF(AND(E2174&gt;='PAINEL DE CONTROLE'!$C$5*(1-CONFIGURAÇÕES!$D$7), E2174&lt;='PAINEL DE CONTROLE'!$C$5*(1+CONFIGURAÇÕES!$D$7)), "DENTRO", "FORA"))</f>
        <v/>
      </c>
    </row>
    <row r="2175" spans="2:6" x14ac:dyDescent="0.2">
      <c r="B2175" s="44"/>
      <c r="C2175" s="44"/>
      <c r="D2175" s="44"/>
      <c r="E2175" s="42"/>
      <c r="F2175" s="43" t="str">
        <f>IF(E2175="", "", IF(AND(E2175&gt;='PAINEL DE CONTROLE'!$C$5*(1-CONFIGURAÇÕES!$D$7), E2175&lt;='PAINEL DE CONTROLE'!$C$5*(1+CONFIGURAÇÕES!$D$7)), "DENTRO", "FORA"))</f>
        <v/>
      </c>
    </row>
    <row r="2176" spans="2:6" x14ac:dyDescent="0.2">
      <c r="B2176" s="44"/>
      <c r="C2176" s="44"/>
      <c r="D2176" s="44"/>
      <c r="E2176" s="42"/>
      <c r="F2176" s="43" t="str">
        <f>IF(E2176="", "", IF(AND(E2176&gt;='PAINEL DE CONTROLE'!$C$5*(1-CONFIGURAÇÕES!$D$7), E2176&lt;='PAINEL DE CONTROLE'!$C$5*(1+CONFIGURAÇÕES!$D$7)), "DENTRO", "FORA"))</f>
        <v/>
      </c>
    </row>
    <row r="2177" spans="2:6" x14ac:dyDescent="0.2">
      <c r="B2177" s="44"/>
      <c r="C2177" s="44"/>
      <c r="D2177" s="44"/>
      <c r="E2177" s="42"/>
      <c r="F2177" s="43" t="str">
        <f>IF(E2177="", "", IF(AND(E2177&gt;='PAINEL DE CONTROLE'!$C$5*(1-CONFIGURAÇÕES!$D$7), E2177&lt;='PAINEL DE CONTROLE'!$C$5*(1+CONFIGURAÇÕES!$D$7)), "DENTRO", "FORA"))</f>
        <v/>
      </c>
    </row>
    <row r="2178" spans="2:6" x14ac:dyDescent="0.2">
      <c r="B2178" s="44"/>
      <c r="C2178" s="44"/>
      <c r="D2178" s="44"/>
      <c r="E2178" s="42"/>
      <c r="F2178" s="43" t="str">
        <f>IF(E2178="", "", IF(AND(E2178&gt;='PAINEL DE CONTROLE'!$C$5*(1-CONFIGURAÇÕES!$D$7), E2178&lt;='PAINEL DE CONTROLE'!$C$5*(1+CONFIGURAÇÕES!$D$7)), "DENTRO", "FORA"))</f>
        <v/>
      </c>
    </row>
    <row r="2179" spans="2:6" x14ac:dyDescent="0.2">
      <c r="B2179" s="44"/>
      <c r="C2179" s="44"/>
      <c r="D2179" s="44"/>
      <c r="E2179" s="42"/>
      <c r="F2179" s="43" t="str">
        <f>IF(E2179="", "", IF(AND(E2179&gt;='PAINEL DE CONTROLE'!$C$5*(1-CONFIGURAÇÕES!$D$7), E2179&lt;='PAINEL DE CONTROLE'!$C$5*(1+CONFIGURAÇÕES!$D$7)), "DENTRO", "FORA"))</f>
        <v/>
      </c>
    </row>
    <row r="2180" spans="2:6" x14ac:dyDescent="0.2">
      <c r="B2180" s="44"/>
      <c r="C2180" s="44"/>
      <c r="D2180" s="44"/>
      <c r="E2180" s="42"/>
      <c r="F2180" s="43" t="str">
        <f>IF(E2180="", "", IF(AND(E2180&gt;='PAINEL DE CONTROLE'!$C$5*(1-CONFIGURAÇÕES!$D$7), E2180&lt;='PAINEL DE CONTROLE'!$C$5*(1+CONFIGURAÇÕES!$D$7)), "DENTRO", "FORA"))</f>
        <v/>
      </c>
    </row>
    <row r="2181" spans="2:6" x14ac:dyDescent="0.2">
      <c r="B2181" s="44"/>
      <c r="C2181" s="44"/>
      <c r="D2181" s="44"/>
      <c r="E2181" s="42"/>
      <c r="F2181" s="43" t="str">
        <f>IF(E2181="", "", IF(AND(E2181&gt;='PAINEL DE CONTROLE'!$C$5*(1-CONFIGURAÇÕES!$D$7), E2181&lt;='PAINEL DE CONTROLE'!$C$5*(1+CONFIGURAÇÕES!$D$7)), "DENTRO", "FORA"))</f>
        <v/>
      </c>
    </row>
    <row r="2182" spans="2:6" x14ac:dyDescent="0.2">
      <c r="B2182" s="44"/>
      <c r="C2182" s="44"/>
      <c r="D2182" s="44"/>
      <c r="E2182" s="42"/>
      <c r="F2182" s="43" t="str">
        <f>IF(E2182="", "", IF(AND(E2182&gt;='PAINEL DE CONTROLE'!$C$5*(1-CONFIGURAÇÕES!$D$7), E2182&lt;='PAINEL DE CONTROLE'!$C$5*(1+CONFIGURAÇÕES!$D$7)), "DENTRO", "FORA"))</f>
        <v/>
      </c>
    </row>
    <row r="2183" spans="2:6" x14ac:dyDescent="0.2">
      <c r="B2183" s="44"/>
      <c r="C2183" s="44"/>
      <c r="D2183" s="44"/>
      <c r="E2183" s="42"/>
      <c r="F2183" s="43" t="str">
        <f>IF(E2183="", "", IF(AND(E2183&gt;='PAINEL DE CONTROLE'!$C$5*(1-CONFIGURAÇÕES!$D$7), E2183&lt;='PAINEL DE CONTROLE'!$C$5*(1+CONFIGURAÇÕES!$D$7)), "DENTRO", "FORA"))</f>
        <v/>
      </c>
    </row>
    <row r="2184" spans="2:6" x14ac:dyDescent="0.2">
      <c r="B2184" s="44"/>
      <c r="C2184" s="44"/>
      <c r="D2184" s="44"/>
      <c r="E2184" s="42"/>
      <c r="F2184" s="43" t="str">
        <f>IF(E2184="", "", IF(AND(E2184&gt;='PAINEL DE CONTROLE'!$C$5*(1-CONFIGURAÇÕES!$D$7), E2184&lt;='PAINEL DE CONTROLE'!$C$5*(1+CONFIGURAÇÕES!$D$7)), "DENTRO", "FORA"))</f>
        <v/>
      </c>
    </row>
    <row r="2185" spans="2:6" x14ac:dyDescent="0.2">
      <c r="B2185" s="44"/>
      <c r="C2185" s="44"/>
      <c r="D2185" s="44"/>
      <c r="E2185" s="42"/>
      <c r="F2185" s="43" t="str">
        <f>IF(E2185="", "", IF(AND(E2185&gt;='PAINEL DE CONTROLE'!$C$5*(1-CONFIGURAÇÕES!$D$7), E2185&lt;='PAINEL DE CONTROLE'!$C$5*(1+CONFIGURAÇÕES!$D$7)), "DENTRO", "FORA"))</f>
        <v/>
      </c>
    </row>
    <row r="2186" spans="2:6" x14ac:dyDescent="0.2">
      <c r="B2186" s="44"/>
      <c r="C2186" s="44"/>
      <c r="D2186" s="44"/>
      <c r="E2186" s="42"/>
      <c r="F2186" s="43" t="str">
        <f>IF(E2186="", "", IF(AND(E2186&gt;='PAINEL DE CONTROLE'!$C$5*(1-CONFIGURAÇÕES!$D$7), E2186&lt;='PAINEL DE CONTROLE'!$C$5*(1+CONFIGURAÇÕES!$D$7)), "DENTRO", "FORA"))</f>
        <v/>
      </c>
    </row>
    <row r="2187" spans="2:6" x14ac:dyDescent="0.2">
      <c r="B2187" s="44"/>
      <c r="C2187" s="44"/>
      <c r="D2187" s="44"/>
      <c r="E2187" s="42"/>
      <c r="F2187" s="43" t="str">
        <f>IF(E2187="", "", IF(AND(E2187&gt;='PAINEL DE CONTROLE'!$C$5*(1-CONFIGURAÇÕES!$D$7), E2187&lt;='PAINEL DE CONTROLE'!$C$5*(1+CONFIGURAÇÕES!$D$7)), "DENTRO", "FORA"))</f>
        <v/>
      </c>
    </row>
    <row r="2188" spans="2:6" x14ac:dyDescent="0.2">
      <c r="B2188" s="44"/>
      <c r="C2188" s="44"/>
      <c r="D2188" s="44"/>
      <c r="E2188" s="42"/>
      <c r="F2188" s="43" t="str">
        <f>IF(E2188="", "", IF(AND(E2188&gt;='PAINEL DE CONTROLE'!$C$5*(1-CONFIGURAÇÕES!$D$7), E2188&lt;='PAINEL DE CONTROLE'!$C$5*(1+CONFIGURAÇÕES!$D$7)), "DENTRO", "FORA"))</f>
        <v/>
      </c>
    </row>
    <row r="2189" spans="2:6" x14ac:dyDescent="0.2">
      <c r="B2189" s="44"/>
      <c r="C2189" s="44"/>
      <c r="D2189" s="44"/>
      <c r="E2189" s="42"/>
      <c r="F2189" s="43" t="str">
        <f>IF(E2189="", "", IF(AND(E2189&gt;='PAINEL DE CONTROLE'!$C$5*(1-CONFIGURAÇÕES!$D$7), E2189&lt;='PAINEL DE CONTROLE'!$C$5*(1+CONFIGURAÇÕES!$D$7)), "DENTRO", "FORA"))</f>
        <v/>
      </c>
    </row>
    <row r="2190" spans="2:6" x14ac:dyDescent="0.2">
      <c r="B2190" s="44"/>
      <c r="C2190" s="44"/>
      <c r="D2190" s="44"/>
      <c r="E2190" s="42"/>
      <c r="F2190" s="43" t="str">
        <f>IF(E2190="", "", IF(AND(E2190&gt;='PAINEL DE CONTROLE'!$C$5*(1-CONFIGURAÇÕES!$D$7), E2190&lt;='PAINEL DE CONTROLE'!$C$5*(1+CONFIGURAÇÕES!$D$7)), "DENTRO", "FORA"))</f>
        <v/>
      </c>
    </row>
    <row r="2191" spans="2:6" x14ac:dyDescent="0.2">
      <c r="B2191" s="44"/>
      <c r="C2191" s="44"/>
      <c r="D2191" s="44"/>
      <c r="E2191" s="42"/>
      <c r="F2191" s="43" t="str">
        <f>IF(E2191="", "", IF(AND(E2191&gt;='PAINEL DE CONTROLE'!$C$5*(1-CONFIGURAÇÕES!$D$7), E2191&lt;='PAINEL DE CONTROLE'!$C$5*(1+CONFIGURAÇÕES!$D$7)), "DENTRO", "FORA"))</f>
        <v/>
      </c>
    </row>
    <row r="2192" spans="2:6" x14ac:dyDescent="0.2">
      <c r="B2192" s="44"/>
      <c r="C2192" s="44"/>
      <c r="D2192" s="44"/>
      <c r="E2192" s="42"/>
      <c r="F2192" s="43" t="str">
        <f>IF(E2192="", "", IF(AND(E2192&gt;='PAINEL DE CONTROLE'!$C$5*(1-CONFIGURAÇÕES!$D$7), E2192&lt;='PAINEL DE CONTROLE'!$C$5*(1+CONFIGURAÇÕES!$D$7)), "DENTRO", "FORA"))</f>
        <v/>
      </c>
    </row>
    <row r="2193" spans="2:6" x14ac:dyDescent="0.2">
      <c r="B2193" s="44"/>
      <c r="C2193" s="44"/>
      <c r="D2193" s="44"/>
      <c r="E2193" s="42"/>
      <c r="F2193" s="43" t="str">
        <f>IF(E2193="", "", IF(AND(E2193&gt;='PAINEL DE CONTROLE'!$C$5*(1-CONFIGURAÇÕES!$D$7), E2193&lt;='PAINEL DE CONTROLE'!$C$5*(1+CONFIGURAÇÕES!$D$7)), "DENTRO", "FORA"))</f>
        <v/>
      </c>
    </row>
    <row r="2194" spans="2:6" x14ac:dyDescent="0.2">
      <c r="B2194" s="44"/>
      <c r="C2194" s="44"/>
      <c r="D2194" s="44"/>
      <c r="E2194" s="42"/>
      <c r="F2194" s="43" t="str">
        <f>IF(E2194="", "", IF(AND(E2194&gt;='PAINEL DE CONTROLE'!$C$5*(1-CONFIGURAÇÕES!$D$7), E2194&lt;='PAINEL DE CONTROLE'!$C$5*(1+CONFIGURAÇÕES!$D$7)), "DENTRO", "FORA"))</f>
        <v/>
      </c>
    </row>
    <row r="2195" spans="2:6" x14ac:dyDescent="0.2">
      <c r="B2195" s="44"/>
      <c r="C2195" s="44"/>
      <c r="D2195" s="44"/>
      <c r="E2195" s="42"/>
      <c r="F2195" s="43" t="str">
        <f>IF(E2195="", "", IF(AND(E2195&gt;='PAINEL DE CONTROLE'!$C$5*(1-CONFIGURAÇÕES!$D$7), E2195&lt;='PAINEL DE CONTROLE'!$C$5*(1+CONFIGURAÇÕES!$D$7)), "DENTRO", "FORA"))</f>
        <v/>
      </c>
    </row>
    <row r="2196" spans="2:6" x14ac:dyDescent="0.2">
      <c r="B2196" s="44"/>
      <c r="C2196" s="44"/>
      <c r="D2196" s="44"/>
      <c r="E2196" s="42"/>
      <c r="F2196" s="43" t="str">
        <f>IF(E2196="", "", IF(AND(E2196&gt;='PAINEL DE CONTROLE'!$C$5*(1-CONFIGURAÇÕES!$D$7), E2196&lt;='PAINEL DE CONTROLE'!$C$5*(1+CONFIGURAÇÕES!$D$7)), "DENTRO", "FORA"))</f>
        <v/>
      </c>
    </row>
    <row r="2197" spans="2:6" x14ac:dyDescent="0.2">
      <c r="B2197" s="44"/>
      <c r="C2197" s="44"/>
      <c r="D2197" s="44"/>
      <c r="E2197" s="42"/>
      <c r="F2197" s="43" t="str">
        <f>IF(E2197="", "", IF(AND(E2197&gt;='PAINEL DE CONTROLE'!$C$5*(1-CONFIGURAÇÕES!$D$7), E2197&lt;='PAINEL DE CONTROLE'!$C$5*(1+CONFIGURAÇÕES!$D$7)), "DENTRO", "FORA"))</f>
        <v/>
      </c>
    </row>
    <row r="2198" spans="2:6" x14ac:dyDescent="0.2">
      <c r="B2198" s="44"/>
      <c r="C2198" s="44"/>
      <c r="D2198" s="44"/>
      <c r="E2198" s="42"/>
      <c r="F2198" s="43" t="str">
        <f>IF(E2198="", "", IF(AND(E2198&gt;='PAINEL DE CONTROLE'!$C$5*(1-CONFIGURAÇÕES!$D$7), E2198&lt;='PAINEL DE CONTROLE'!$C$5*(1+CONFIGURAÇÕES!$D$7)), "DENTRO", "FORA"))</f>
        <v/>
      </c>
    </row>
    <row r="2199" spans="2:6" x14ac:dyDescent="0.2">
      <c r="B2199" s="44"/>
      <c r="C2199" s="44"/>
      <c r="D2199" s="44"/>
      <c r="E2199" s="42"/>
      <c r="F2199" s="43" t="str">
        <f>IF(E2199="", "", IF(AND(E2199&gt;='PAINEL DE CONTROLE'!$C$5*(1-CONFIGURAÇÕES!$D$7), E2199&lt;='PAINEL DE CONTROLE'!$C$5*(1+CONFIGURAÇÕES!$D$7)), "DENTRO", "FORA"))</f>
        <v/>
      </c>
    </row>
    <row r="2200" spans="2:6" x14ac:dyDescent="0.2">
      <c r="B2200" s="44"/>
      <c r="C2200" s="44"/>
      <c r="D2200" s="44"/>
      <c r="E2200" s="42"/>
      <c r="F2200" s="43" t="str">
        <f>IF(E2200="", "", IF(AND(E2200&gt;='PAINEL DE CONTROLE'!$C$5*(1-CONFIGURAÇÕES!$D$7), E2200&lt;='PAINEL DE CONTROLE'!$C$5*(1+CONFIGURAÇÕES!$D$7)), "DENTRO", "FORA"))</f>
        <v/>
      </c>
    </row>
    <row r="2201" spans="2:6" x14ac:dyDescent="0.2">
      <c r="B2201" s="44"/>
      <c r="C2201" s="44"/>
      <c r="D2201" s="44"/>
      <c r="E2201" s="42"/>
      <c r="F2201" s="43" t="str">
        <f>IF(E2201="", "", IF(AND(E2201&gt;='PAINEL DE CONTROLE'!$C$5*(1-CONFIGURAÇÕES!$D$7), E2201&lt;='PAINEL DE CONTROLE'!$C$5*(1+CONFIGURAÇÕES!$D$7)), "DENTRO", "FORA"))</f>
        <v/>
      </c>
    </row>
    <row r="2202" spans="2:6" x14ac:dyDescent="0.2">
      <c r="B2202" s="44"/>
      <c r="C2202" s="44"/>
      <c r="D2202" s="44"/>
      <c r="E2202" s="42"/>
      <c r="F2202" s="43" t="str">
        <f>IF(E2202="", "", IF(AND(E2202&gt;='PAINEL DE CONTROLE'!$C$5*(1-CONFIGURAÇÕES!$D$7), E2202&lt;='PAINEL DE CONTROLE'!$C$5*(1+CONFIGURAÇÕES!$D$7)), "DENTRO", "FORA"))</f>
        <v/>
      </c>
    </row>
    <row r="2203" spans="2:6" x14ac:dyDescent="0.2">
      <c r="B2203" s="44"/>
      <c r="C2203" s="44"/>
      <c r="D2203" s="44"/>
      <c r="E2203" s="42"/>
      <c r="F2203" s="43" t="str">
        <f>IF(E2203="", "", IF(AND(E2203&gt;='PAINEL DE CONTROLE'!$C$5*(1-CONFIGURAÇÕES!$D$7), E2203&lt;='PAINEL DE CONTROLE'!$C$5*(1+CONFIGURAÇÕES!$D$7)), "DENTRO", "FORA"))</f>
        <v/>
      </c>
    </row>
    <row r="2204" spans="2:6" x14ac:dyDescent="0.2">
      <c r="B2204" s="44"/>
      <c r="C2204" s="44"/>
      <c r="D2204" s="44"/>
      <c r="E2204" s="42"/>
      <c r="F2204" s="43" t="str">
        <f>IF(E2204="", "", IF(AND(E2204&gt;='PAINEL DE CONTROLE'!$C$5*(1-CONFIGURAÇÕES!$D$7), E2204&lt;='PAINEL DE CONTROLE'!$C$5*(1+CONFIGURAÇÕES!$D$7)), "DENTRO", "FORA"))</f>
        <v/>
      </c>
    </row>
    <row r="2205" spans="2:6" x14ac:dyDescent="0.2">
      <c r="B2205" s="44"/>
      <c r="C2205" s="44"/>
      <c r="D2205" s="44"/>
      <c r="E2205" s="42"/>
      <c r="F2205" s="43" t="str">
        <f>IF(E2205="", "", IF(AND(E2205&gt;='PAINEL DE CONTROLE'!$C$5*(1-CONFIGURAÇÕES!$D$7), E2205&lt;='PAINEL DE CONTROLE'!$C$5*(1+CONFIGURAÇÕES!$D$7)), "DENTRO", "FORA"))</f>
        <v/>
      </c>
    </row>
    <row r="2206" spans="2:6" x14ac:dyDescent="0.2">
      <c r="B2206" s="44"/>
      <c r="C2206" s="44"/>
      <c r="D2206" s="44"/>
      <c r="E2206" s="42"/>
      <c r="F2206" s="43" t="str">
        <f>IF(E2206="", "", IF(AND(E2206&gt;='PAINEL DE CONTROLE'!$C$5*(1-CONFIGURAÇÕES!$D$7), E2206&lt;='PAINEL DE CONTROLE'!$C$5*(1+CONFIGURAÇÕES!$D$7)), "DENTRO", "FORA"))</f>
        <v/>
      </c>
    </row>
    <row r="2207" spans="2:6" x14ac:dyDescent="0.2">
      <c r="B2207" s="44"/>
      <c r="C2207" s="44"/>
      <c r="D2207" s="44"/>
      <c r="E2207" s="42"/>
      <c r="F2207" s="43" t="str">
        <f>IF(E2207="", "", IF(AND(E2207&gt;='PAINEL DE CONTROLE'!$C$5*(1-CONFIGURAÇÕES!$D$7), E2207&lt;='PAINEL DE CONTROLE'!$C$5*(1+CONFIGURAÇÕES!$D$7)), "DENTRO", "FORA"))</f>
        <v/>
      </c>
    </row>
    <row r="2208" spans="2:6" x14ac:dyDescent="0.2">
      <c r="B2208" s="44"/>
      <c r="C2208" s="44"/>
      <c r="D2208" s="44"/>
      <c r="E2208" s="42"/>
      <c r="F2208" s="43" t="str">
        <f>IF(E2208="", "", IF(AND(E2208&gt;='PAINEL DE CONTROLE'!$C$5*(1-CONFIGURAÇÕES!$D$7), E2208&lt;='PAINEL DE CONTROLE'!$C$5*(1+CONFIGURAÇÕES!$D$7)), "DENTRO", "FORA"))</f>
        <v/>
      </c>
    </row>
    <row r="2209" spans="2:6" x14ac:dyDescent="0.2">
      <c r="B2209" s="44"/>
      <c r="C2209" s="44"/>
      <c r="D2209" s="44"/>
      <c r="E2209" s="42"/>
      <c r="F2209" s="43" t="str">
        <f>IF(E2209="", "", IF(AND(E2209&gt;='PAINEL DE CONTROLE'!$C$5*(1-CONFIGURAÇÕES!$D$7), E2209&lt;='PAINEL DE CONTROLE'!$C$5*(1+CONFIGURAÇÕES!$D$7)), "DENTRO", "FORA"))</f>
        <v/>
      </c>
    </row>
    <row r="2210" spans="2:6" x14ac:dyDescent="0.2">
      <c r="B2210" s="44"/>
      <c r="C2210" s="44"/>
      <c r="D2210" s="44"/>
      <c r="E2210" s="42"/>
      <c r="F2210" s="43" t="str">
        <f>IF(E2210="", "", IF(AND(E2210&gt;='PAINEL DE CONTROLE'!$C$5*(1-CONFIGURAÇÕES!$D$7), E2210&lt;='PAINEL DE CONTROLE'!$C$5*(1+CONFIGURAÇÕES!$D$7)), "DENTRO", "FORA"))</f>
        <v/>
      </c>
    </row>
    <row r="2211" spans="2:6" x14ac:dyDescent="0.2">
      <c r="B2211" s="44"/>
      <c r="C2211" s="44"/>
      <c r="D2211" s="44"/>
      <c r="E2211" s="42"/>
      <c r="F2211" s="43" t="str">
        <f>IF(E2211="", "", IF(AND(E2211&gt;='PAINEL DE CONTROLE'!$C$5*(1-CONFIGURAÇÕES!$D$7), E2211&lt;='PAINEL DE CONTROLE'!$C$5*(1+CONFIGURAÇÕES!$D$7)), "DENTRO", "FORA"))</f>
        <v/>
      </c>
    </row>
    <row r="2212" spans="2:6" x14ac:dyDescent="0.2">
      <c r="B2212" s="44"/>
      <c r="C2212" s="44"/>
      <c r="D2212" s="44"/>
      <c r="E2212" s="42"/>
      <c r="F2212" s="43" t="str">
        <f>IF(E2212="", "", IF(AND(E2212&gt;='PAINEL DE CONTROLE'!$C$5*(1-CONFIGURAÇÕES!$D$7), E2212&lt;='PAINEL DE CONTROLE'!$C$5*(1+CONFIGURAÇÕES!$D$7)), "DENTRO", "FORA"))</f>
        <v/>
      </c>
    </row>
    <row r="2213" spans="2:6" x14ac:dyDescent="0.2">
      <c r="B2213" s="44"/>
      <c r="C2213" s="44"/>
      <c r="D2213" s="44"/>
      <c r="E2213" s="42"/>
      <c r="F2213" s="43" t="str">
        <f>IF(E2213="", "", IF(AND(E2213&gt;='PAINEL DE CONTROLE'!$C$5*(1-CONFIGURAÇÕES!$D$7), E2213&lt;='PAINEL DE CONTROLE'!$C$5*(1+CONFIGURAÇÕES!$D$7)), "DENTRO", "FORA"))</f>
        <v/>
      </c>
    </row>
    <row r="2214" spans="2:6" x14ac:dyDescent="0.2">
      <c r="B2214" s="44"/>
      <c r="C2214" s="44"/>
      <c r="D2214" s="44"/>
      <c r="E2214" s="42"/>
      <c r="F2214" s="43" t="str">
        <f>IF(E2214="", "", IF(AND(E2214&gt;='PAINEL DE CONTROLE'!$C$5*(1-CONFIGURAÇÕES!$D$7), E2214&lt;='PAINEL DE CONTROLE'!$C$5*(1+CONFIGURAÇÕES!$D$7)), "DENTRO", "FORA"))</f>
        <v/>
      </c>
    </row>
    <row r="2215" spans="2:6" x14ac:dyDescent="0.2">
      <c r="B2215" s="44"/>
      <c r="C2215" s="44"/>
      <c r="D2215" s="44"/>
      <c r="E2215" s="42"/>
      <c r="F2215" s="43" t="str">
        <f>IF(E2215="", "", IF(AND(E2215&gt;='PAINEL DE CONTROLE'!$C$5*(1-CONFIGURAÇÕES!$D$7), E2215&lt;='PAINEL DE CONTROLE'!$C$5*(1+CONFIGURAÇÕES!$D$7)), "DENTRO", "FORA"))</f>
        <v/>
      </c>
    </row>
    <row r="2216" spans="2:6" x14ac:dyDescent="0.2">
      <c r="B2216" s="44"/>
      <c r="C2216" s="44"/>
      <c r="D2216" s="44"/>
      <c r="E2216" s="42"/>
      <c r="F2216" s="43" t="str">
        <f>IF(E2216="", "", IF(AND(E2216&gt;='PAINEL DE CONTROLE'!$C$5*(1-CONFIGURAÇÕES!$D$7), E2216&lt;='PAINEL DE CONTROLE'!$C$5*(1+CONFIGURAÇÕES!$D$7)), "DENTRO", "FORA"))</f>
        <v/>
      </c>
    </row>
    <row r="2217" spans="2:6" x14ac:dyDescent="0.2">
      <c r="B2217" s="44"/>
      <c r="C2217" s="44"/>
      <c r="D2217" s="44"/>
      <c r="E2217" s="42"/>
      <c r="F2217" s="43" t="str">
        <f>IF(E2217="", "", IF(AND(E2217&gt;='PAINEL DE CONTROLE'!$C$5*(1-CONFIGURAÇÕES!$D$7), E2217&lt;='PAINEL DE CONTROLE'!$C$5*(1+CONFIGURAÇÕES!$D$7)), "DENTRO", "FORA"))</f>
        <v/>
      </c>
    </row>
    <row r="2218" spans="2:6" x14ac:dyDescent="0.2">
      <c r="B2218" s="44"/>
      <c r="C2218" s="44"/>
      <c r="D2218" s="44"/>
      <c r="E2218" s="42"/>
      <c r="F2218" s="43" t="str">
        <f>IF(E2218="", "", IF(AND(E2218&gt;='PAINEL DE CONTROLE'!$C$5*(1-CONFIGURAÇÕES!$D$7), E2218&lt;='PAINEL DE CONTROLE'!$C$5*(1+CONFIGURAÇÕES!$D$7)), "DENTRO", "FORA"))</f>
        <v/>
      </c>
    </row>
    <row r="2219" spans="2:6" x14ac:dyDescent="0.2">
      <c r="B2219" s="44"/>
      <c r="C2219" s="44"/>
      <c r="D2219" s="44"/>
      <c r="E2219" s="42"/>
      <c r="F2219" s="43" t="str">
        <f>IF(E2219="", "", IF(AND(E2219&gt;='PAINEL DE CONTROLE'!$C$5*(1-CONFIGURAÇÕES!$D$7), E2219&lt;='PAINEL DE CONTROLE'!$C$5*(1+CONFIGURAÇÕES!$D$7)), "DENTRO", "FORA"))</f>
        <v/>
      </c>
    </row>
    <row r="2220" spans="2:6" x14ac:dyDescent="0.2">
      <c r="B2220" s="44"/>
      <c r="C2220" s="44"/>
      <c r="D2220" s="44"/>
      <c r="E2220" s="42"/>
      <c r="F2220" s="43" t="str">
        <f>IF(E2220="", "", IF(AND(E2220&gt;='PAINEL DE CONTROLE'!$C$5*(1-CONFIGURAÇÕES!$D$7), E2220&lt;='PAINEL DE CONTROLE'!$C$5*(1+CONFIGURAÇÕES!$D$7)), "DENTRO", "FORA"))</f>
        <v/>
      </c>
    </row>
    <row r="2221" spans="2:6" x14ac:dyDescent="0.2">
      <c r="B2221" s="44"/>
      <c r="C2221" s="44"/>
      <c r="D2221" s="44"/>
      <c r="E2221" s="42"/>
      <c r="F2221" s="43" t="str">
        <f>IF(E2221="", "", IF(AND(E2221&gt;='PAINEL DE CONTROLE'!$C$5*(1-CONFIGURAÇÕES!$D$7), E2221&lt;='PAINEL DE CONTROLE'!$C$5*(1+CONFIGURAÇÕES!$D$7)), "DENTRO", "FORA"))</f>
        <v/>
      </c>
    </row>
    <row r="2222" spans="2:6" x14ac:dyDescent="0.2">
      <c r="B2222" s="44"/>
      <c r="C2222" s="44"/>
      <c r="D2222" s="44"/>
      <c r="E2222" s="42"/>
      <c r="F2222" s="43" t="str">
        <f>IF(E2222="", "", IF(AND(E2222&gt;='PAINEL DE CONTROLE'!$C$5*(1-CONFIGURAÇÕES!$D$7), E2222&lt;='PAINEL DE CONTROLE'!$C$5*(1+CONFIGURAÇÕES!$D$7)), "DENTRO", "FORA"))</f>
        <v/>
      </c>
    </row>
    <row r="2223" spans="2:6" x14ac:dyDescent="0.2">
      <c r="B2223" s="44"/>
      <c r="C2223" s="44"/>
      <c r="D2223" s="44"/>
      <c r="E2223" s="42"/>
      <c r="F2223" s="43" t="str">
        <f>IF(E2223="", "", IF(AND(E2223&gt;='PAINEL DE CONTROLE'!$C$5*(1-CONFIGURAÇÕES!$D$7), E2223&lt;='PAINEL DE CONTROLE'!$C$5*(1+CONFIGURAÇÕES!$D$7)), "DENTRO", "FORA"))</f>
        <v/>
      </c>
    </row>
    <row r="2224" spans="2:6" x14ac:dyDescent="0.2">
      <c r="B2224" s="44"/>
      <c r="C2224" s="44"/>
      <c r="D2224" s="44"/>
      <c r="E2224" s="42"/>
      <c r="F2224" s="43" t="str">
        <f>IF(E2224="", "", IF(AND(E2224&gt;='PAINEL DE CONTROLE'!$C$5*(1-CONFIGURAÇÕES!$D$7), E2224&lt;='PAINEL DE CONTROLE'!$C$5*(1+CONFIGURAÇÕES!$D$7)), "DENTRO", "FORA"))</f>
        <v/>
      </c>
    </row>
    <row r="2225" spans="2:6" x14ac:dyDescent="0.2">
      <c r="B2225" s="44"/>
      <c r="C2225" s="44"/>
      <c r="D2225" s="44"/>
      <c r="E2225" s="42"/>
      <c r="F2225" s="43" t="str">
        <f>IF(E2225="", "", IF(AND(E2225&gt;='PAINEL DE CONTROLE'!$C$5*(1-CONFIGURAÇÕES!$D$7), E2225&lt;='PAINEL DE CONTROLE'!$C$5*(1+CONFIGURAÇÕES!$D$7)), "DENTRO", "FORA"))</f>
        <v/>
      </c>
    </row>
    <row r="2226" spans="2:6" x14ac:dyDescent="0.2">
      <c r="B2226" s="44"/>
      <c r="C2226" s="44"/>
      <c r="D2226" s="44"/>
      <c r="E2226" s="42"/>
      <c r="F2226" s="43" t="str">
        <f>IF(E2226="", "", IF(AND(E2226&gt;='PAINEL DE CONTROLE'!$C$5*(1-CONFIGURAÇÕES!$D$7), E2226&lt;='PAINEL DE CONTROLE'!$C$5*(1+CONFIGURAÇÕES!$D$7)), "DENTRO", "FORA"))</f>
        <v/>
      </c>
    </row>
    <row r="2227" spans="2:6" x14ac:dyDescent="0.2">
      <c r="B2227" s="44"/>
      <c r="C2227" s="44"/>
      <c r="D2227" s="44"/>
      <c r="E2227" s="42"/>
      <c r="F2227" s="43" t="str">
        <f>IF(E2227="", "", IF(AND(E2227&gt;='PAINEL DE CONTROLE'!$C$5*(1-CONFIGURAÇÕES!$D$7), E2227&lt;='PAINEL DE CONTROLE'!$C$5*(1+CONFIGURAÇÕES!$D$7)), "DENTRO", "FORA"))</f>
        <v/>
      </c>
    </row>
    <row r="2228" spans="2:6" x14ac:dyDescent="0.2">
      <c r="B2228" s="44"/>
      <c r="C2228" s="44"/>
      <c r="D2228" s="44"/>
      <c r="E2228" s="42"/>
      <c r="F2228" s="43" t="str">
        <f>IF(E2228="", "", IF(AND(E2228&gt;='PAINEL DE CONTROLE'!$C$5*(1-CONFIGURAÇÕES!$D$7), E2228&lt;='PAINEL DE CONTROLE'!$C$5*(1+CONFIGURAÇÕES!$D$7)), "DENTRO", "FORA"))</f>
        <v/>
      </c>
    </row>
    <row r="2229" spans="2:6" x14ac:dyDescent="0.2">
      <c r="B2229" s="44"/>
      <c r="C2229" s="44"/>
      <c r="D2229" s="44"/>
      <c r="E2229" s="42"/>
      <c r="F2229" s="43" t="str">
        <f>IF(E2229="", "", IF(AND(E2229&gt;='PAINEL DE CONTROLE'!$C$5*(1-CONFIGURAÇÕES!$D$7), E2229&lt;='PAINEL DE CONTROLE'!$C$5*(1+CONFIGURAÇÕES!$D$7)), "DENTRO", "FORA"))</f>
        <v/>
      </c>
    </row>
    <row r="2230" spans="2:6" x14ac:dyDescent="0.2">
      <c r="B2230" s="44"/>
      <c r="C2230" s="44"/>
      <c r="D2230" s="44"/>
      <c r="E2230" s="42"/>
      <c r="F2230" s="43" t="str">
        <f>IF(E2230="", "", IF(AND(E2230&gt;='PAINEL DE CONTROLE'!$C$5*(1-CONFIGURAÇÕES!$D$7), E2230&lt;='PAINEL DE CONTROLE'!$C$5*(1+CONFIGURAÇÕES!$D$7)), "DENTRO", "FORA"))</f>
        <v/>
      </c>
    </row>
    <row r="2231" spans="2:6" x14ac:dyDescent="0.2">
      <c r="B2231" s="44"/>
      <c r="C2231" s="44"/>
      <c r="D2231" s="44"/>
      <c r="E2231" s="42"/>
      <c r="F2231" s="43" t="str">
        <f>IF(E2231="", "", IF(AND(E2231&gt;='PAINEL DE CONTROLE'!$C$5*(1-CONFIGURAÇÕES!$D$7), E2231&lt;='PAINEL DE CONTROLE'!$C$5*(1+CONFIGURAÇÕES!$D$7)), "DENTRO", "FORA"))</f>
        <v/>
      </c>
    </row>
    <row r="2232" spans="2:6" x14ac:dyDescent="0.2">
      <c r="B2232" s="44"/>
      <c r="C2232" s="44"/>
      <c r="D2232" s="44"/>
      <c r="E2232" s="42"/>
      <c r="F2232" s="43" t="str">
        <f>IF(E2232="", "", IF(AND(E2232&gt;='PAINEL DE CONTROLE'!$C$5*(1-CONFIGURAÇÕES!$D$7), E2232&lt;='PAINEL DE CONTROLE'!$C$5*(1+CONFIGURAÇÕES!$D$7)), "DENTRO", "FORA"))</f>
        <v/>
      </c>
    </row>
    <row r="2233" spans="2:6" x14ac:dyDescent="0.2">
      <c r="B2233" s="44"/>
      <c r="C2233" s="44"/>
      <c r="D2233" s="44"/>
      <c r="E2233" s="42"/>
      <c r="F2233" s="43" t="str">
        <f>IF(E2233="", "", IF(AND(E2233&gt;='PAINEL DE CONTROLE'!$C$5*(1-CONFIGURAÇÕES!$D$7), E2233&lt;='PAINEL DE CONTROLE'!$C$5*(1+CONFIGURAÇÕES!$D$7)), "DENTRO", "FORA"))</f>
        <v/>
      </c>
    </row>
    <row r="2234" spans="2:6" x14ac:dyDescent="0.2">
      <c r="B2234" s="44"/>
      <c r="C2234" s="44"/>
      <c r="D2234" s="44"/>
      <c r="E2234" s="42"/>
      <c r="F2234" s="43" t="str">
        <f>IF(E2234="", "", IF(AND(E2234&gt;='PAINEL DE CONTROLE'!$C$5*(1-CONFIGURAÇÕES!$D$7), E2234&lt;='PAINEL DE CONTROLE'!$C$5*(1+CONFIGURAÇÕES!$D$7)), "DENTRO", "FORA"))</f>
        <v/>
      </c>
    </row>
    <row r="2235" spans="2:6" x14ac:dyDescent="0.2">
      <c r="B2235" s="44"/>
      <c r="C2235" s="44"/>
      <c r="D2235" s="44"/>
      <c r="E2235" s="42"/>
      <c r="F2235" s="43" t="str">
        <f>IF(E2235="", "", IF(AND(E2235&gt;='PAINEL DE CONTROLE'!$C$5*(1-CONFIGURAÇÕES!$D$7), E2235&lt;='PAINEL DE CONTROLE'!$C$5*(1+CONFIGURAÇÕES!$D$7)), "DENTRO", "FORA"))</f>
        <v/>
      </c>
    </row>
    <row r="2236" spans="2:6" x14ac:dyDescent="0.2">
      <c r="B2236" s="44"/>
      <c r="C2236" s="44"/>
      <c r="D2236" s="44"/>
      <c r="E2236" s="42"/>
      <c r="F2236" s="43" t="str">
        <f>IF(E2236="", "", IF(AND(E2236&gt;='PAINEL DE CONTROLE'!$C$5*(1-CONFIGURAÇÕES!$D$7), E2236&lt;='PAINEL DE CONTROLE'!$C$5*(1+CONFIGURAÇÕES!$D$7)), "DENTRO", "FORA"))</f>
        <v/>
      </c>
    </row>
    <row r="2237" spans="2:6" x14ac:dyDescent="0.2">
      <c r="B2237" s="44"/>
      <c r="C2237" s="44"/>
      <c r="D2237" s="44"/>
      <c r="E2237" s="42"/>
      <c r="F2237" s="43" t="str">
        <f>IF(E2237="", "", IF(AND(E2237&gt;='PAINEL DE CONTROLE'!$C$5*(1-CONFIGURAÇÕES!$D$7), E2237&lt;='PAINEL DE CONTROLE'!$C$5*(1+CONFIGURAÇÕES!$D$7)), "DENTRO", "FORA"))</f>
        <v/>
      </c>
    </row>
    <row r="2238" spans="2:6" x14ac:dyDescent="0.2">
      <c r="B2238" s="44"/>
      <c r="C2238" s="44"/>
      <c r="D2238" s="44"/>
      <c r="E2238" s="42"/>
      <c r="F2238" s="43" t="str">
        <f>IF(E2238="", "", IF(AND(E2238&gt;='PAINEL DE CONTROLE'!$C$5*(1-CONFIGURAÇÕES!$D$7), E2238&lt;='PAINEL DE CONTROLE'!$C$5*(1+CONFIGURAÇÕES!$D$7)), "DENTRO", "FORA"))</f>
        <v/>
      </c>
    </row>
    <row r="2239" spans="2:6" x14ac:dyDescent="0.2">
      <c r="B2239" s="44"/>
      <c r="C2239" s="44"/>
      <c r="D2239" s="44"/>
      <c r="E2239" s="42"/>
      <c r="F2239" s="43" t="str">
        <f>IF(E2239="", "", IF(AND(E2239&gt;='PAINEL DE CONTROLE'!$C$5*(1-CONFIGURAÇÕES!$D$7), E2239&lt;='PAINEL DE CONTROLE'!$C$5*(1+CONFIGURAÇÕES!$D$7)), "DENTRO", "FORA"))</f>
        <v/>
      </c>
    </row>
    <row r="2240" spans="2:6" x14ac:dyDescent="0.2">
      <c r="B2240" s="44"/>
      <c r="C2240" s="44"/>
      <c r="D2240" s="44"/>
      <c r="E2240" s="42"/>
      <c r="F2240" s="43" t="str">
        <f>IF(E2240="", "", IF(AND(E2240&gt;='PAINEL DE CONTROLE'!$C$5*(1-CONFIGURAÇÕES!$D$7), E2240&lt;='PAINEL DE CONTROLE'!$C$5*(1+CONFIGURAÇÕES!$D$7)), "DENTRO", "FORA"))</f>
        <v/>
      </c>
    </row>
    <row r="2241" spans="2:6" x14ac:dyDescent="0.2">
      <c r="B2241" s="44"/>
      <c r="C2241" s="44"/>
      <c r="D2241" s="44"/>
      <c r="E2241" s="42"/>
      <c r="F2241" s="43" t="str">
        <f>IF(E2241="", "", IF(AND(E2241&gt;='PAINEL DE CONTROLE'!$C$5*(1-CONFIGURAÇÕES!$D$7), E2241&lt;='PAINEL DE CONTROLE'!$C$5*(1+CONFIGURAÇÕES!$D$7)), "DENTRO", "FORA"))</f>
        <v/>
      </c>
    </row>
    <row r="2242" spans="2:6" x14ac:dyDescent="0.2">
      <c r="B2242" s="44"/>
      <c r="C2242" s="44"/>
      <c r="D2242" s="44"/>
      <c r="E2242" s="42"/>
      <c r="F2242" s="43" t="str">
        <f>IF(E2242="", "", IF(AND(E2242&gt;='PAINEL DE CONTROLE'!$C$5*(1-CONFIGURAÇÕES!$D$7), E2242&lt;='PAINEL DE CONTROLE'!$C$5*(1+CONFIGURAÇÕES!$D$7)), "DENTRO", "FORA"))</f>
        <v/>
      </c>
    </row>
    <row r="2243" spans="2:6" x14ac:dyDescent="0.2">
      <c r="B2243" s="44"/>
      <c r="C2243" s="44"/>
      <c r="D2243" s="44"/>
      <c r="E2243" s="42"/>
      <c r="F2243" s="43" t="str">
        <f>IF(E2243="", "", IF(AND(E2243&gt;='PAINEL DE CONTROLE'!$C$5*(1-CONFIGURAÇÕES!$D$7), E2243&lt;='PAINEL DE CONTROLE'!$C$5*(1+CONFIGURAÇÕES!$D$7)), "DENTRO", "FORA"))</f>
        <v/>
      </c>
    </row>
    <row r="2244" spans="2:6" x14ac:dyDescent="0.2">
      <c r="B2244" s="44"/>
      <c r="C2244" s="44"/>
      <c r="D2244" s="44"/>
      <c r="E2244" s="42"/>
      <c r="F2244" s="43" t="str">
        <f>IF(E2244="", "", IF(AND(E2244&gt;='PAINEL DE CONTROLE'!$C$5*(1-CONFIGURAÇÕES!$D$7), E2244&lt;='PAINEL DE CONTROLE'!$C$5*(1+CONFIGURAÇÕES!$D$7)), "DENTRO", "FORA"))</f>
        <v/>
      </c>
    </row>
    <row r="2245" spans="2:6" x14ac:dyDescent="0.2">
      <c r="B2245" s="44"/>
      <c r="C2245" s="44"/>
      <c r="D2245" s="44"/>
      <c r="E2245" s="42"/>
      <c r="F2245" s="43" t="str">
        <f>IF(E2245="", "", IF(AND(E2245&gt;='PAINEL DE CONTROLE'!$C$5*(1-CONFIGURAÇÕES!$D$7), E2245&lt;='PAINEL DE CONTROLE'!$C$5*(1+CONFIGURAÇÕES!$D$7)), "DENTRO", "FORA"))</f>
        <v/>
      </c>
    </row>
    <row r="2246" spans="2:6" x14ac:dyDescent="0.2">
      <c r="B2246" s="44"/>
      <c r="C2246" s="44"/>
      <c r="D2246" s="44"/>
      <c r="E2246" s="42"/>
      <c r="F2246" s="43" t="str">
        <f>IF(E2246="", "", IF(AND(E2246&gt;='PAINEL DE CONTROLE'!$C$5*(1-CONFIGURAÇÕES!$D$7), E2246&lt;='PAINEL DE CONTROLE'!$C$5*(1+CONFIGURAÇÕES!$D$7)), "DENTRO", "FORA"))</f>
        <v/>
      </c>
    </row>
    <row r="2247" spans="2:6" x14ac:dyDescent="0.2">
      <c r="B2247" s="44"/>
      <c r="C2247" s="44"/>
      <c r="D2247" s="44"/>
      <c r="E2247" s="42"/>
      <c r="F2247" s="43" t="str">
        <f>IF(E2247="", "", IF(AND(E2247&gt;='PAINEL DE CONTROLE'!$C$5*(1-CONFIGURAÇÕES!$D$7), E2247&lt;='PAINEL DE CONTROLE'!$C$5*(1+CONFIGURAÇÕES!$D$7)), "DENTRO", "FORA"))</f>
        <v/>
      </c>
    </row>
    <row r="2248" spans="2:6" x14ac:dyDescent="0.2">
      <c r="B2248" s="44"/>
      <c r="C2248" s="44"/>
      <c r="D2248" s="44"/>
      <c r="E2248" s="42"/>
      <c r="F2248" s="43" t="str">
        <f>IF(E2248="", "", IF(AND(E2248&gt;='PAINEL DE CONTROLE'!$C$5*(1-CONFIGURAÇÕES!$D$7), E2248&lt;='PAINEL DE CONTROLE'!$C$5*(1+CONFIGURAÇÕES!$D$7)), "DENTRO", "FORA"))</f>
        <v/>
      </c>
    </row>
    <row r="2249" spans="2:6" x14ac:dyDescent="0.2">
      <c r="B2249" s="44"/>
      <c r="C2249" s="44"/>
      <c r="D2249" s="44"/>
      <c r="E2249" s="42"/>
      <c r="F2249" s="43" t="str">
        <f>IF(E2249="", "", IF(AND(E2249&gt;='PAINEL DE CONTROLE'!$C$5*(1-CONFIGURAÇÕES!$D$7), E2249&lt;='PAINEL DE CONTROLE'!$C$5*(1+CONFIGURAÇÕES!$D$7)), "DENTRO", "FORA"))</f>
        <v/>
      </c>
    </row>
    <row r="2250" spans="2:6" x14ac:dyDescent="0.2">
      <c r="B2250" s="44"/>
      <c r="C2250" s="44"/>
      <c r="D2250" s="44"/>
      <c r="E2250" s="42"/>
      <c r="F2250" s="43" t="str">
        <f>IF(E2250="", "", IF(AND(E2250&gt;='PAINEL DE CONTROLE'!$C$5*(1-CONFIGURAÇÕES!$D$7), E2250&lt;='PAINEL DE CONTROLE'!$C$5*(1+CONFIGURAÇÕES!$D$7)), "DENTRO", "FORA"))</f>
        <v/>
      </c>
    </row>
    <row r="2251" spans="2:6" x14ac:dyDescent="0.2">
      <c r="B2251" s="44"/>
      <c r="C2251" s="44"/>
      <c r="D2251" s="44"/>
      <c r="E2251" s="42"/>
      <c r="F2251" s="43" t="str">
        <f>IF(E2251="", "", IF(AND(E2251&gt;='PAINEL DE CONTROLE'!$C$5*(1-CONFIGURAÇÕES!$D$7), E2251&lt;='PAINEL DE CONTROLE'!$C$5*(1+CONFIGURAÇÕES!$D$7)), "DENTRO", "FORA"))</f>
        <v/>
      </c>
    </row>
    <row r="2252" spans="2:6" x14ac:dyDescent="0.2">
      <c r="B2252" s="44"/>
      <c r="C2252" s="44"/>
      <c r="D2252" s="44"/>
      <c r="E2252" s="42"/>
      <c r="F2252" s="43" t="str">
        <f>IF(E2252="", "", IF(AND(E2252&gt;='PAINEL DE CONTROLE'!$C$5*(1-CONFIGURAÇÕES!$D$7), E2252&lt;='PAINEL DE CONTROLE'!$C$5*(1+CONFIGURAÇÕES!$D$7)), "DENTRO", "FORA"))</f>
        <v/>
      </c>
    </row>
    <row r="2253" spans="2:6" x14ac:dyDescent="0.2">
      <c r="B2253" s="44"/>
      <c r="C2253" s="44"/>
      <c r="D2253" s="44"/>
      <c r="E2253" s="42"/>
      <c r="F2253" s="43" t="str">
        <f>IF(E2253="", "", IF(AND(E2253&gt;='PAINEL DE CONTROLE'!$C$5*(1-CONFIGURAÇÕES!$D$7), E2253&lt;='PAINEL DE CONTROLE'!$C$5*(1+CONFIGURAÇÕES!$D$7)), "DENTRO", "FORA"))</f>
        <v/>
      </c>
    </row>
    <row r="2254" spans="2:6" x14ac:dyDescent="0.2">
      <c r="B2254" s="44"/>
      <c r="C2254" s="44"/>
      <c r="D2254" s="44"/>
      <c r="E2254" s="42"/>
      <c r="F2254" s="43" t="str">
        <f>IF(E2254="", "", IF(AND(E2254&gt;='PAINEL DE CONTROLE'!$C$5*(1-CONFIGURAÇÕES!$D$7), E2254&lt;='PAINEL DE CONTROLE'!$C$5*(1+CONFIGURAÇÕES!$D$7)), "DENTRO", "FORA"))</f>
        <v/>
      </c>
    </row>
    <row r="2255" spans="2:6" x14ac:dyDescent="0.2">
      <c r="B2255" s="44"/>
      <c r="C2255" s="44"/>
      <c r="D2255" s="44"/>
      <c r="E2255" s="42"/>
      <c r="F2255" s="43" t="str">
        <f>IF(E2255="", "", IF(AND(E2255&gt;='PAINEL DE CONTROLE'!$C$5*(1-CONFIGURAÇÕES!$D$7), E2255&lt;='PAINEL DE CONTROLE'!$C$5*(1+CONFIGURAÇÕES!$D$7)), "DENTRO", "FORA"))</f>
        <v/>
      </c>
    </row>
    <row r="2256" spans="2:6" x14ac:dyDescent="0.2">
      <c r="B2256" s="44"/>
      <c r="C2256" s="44"/>
      <c r="D2256" s="44"/>
      <c r="E2256" s="42"/>
      <c r="F2256" s="43" t="str">
        <f>IF(E2256="", "", IF(AND(E2256&gt;='PAINEL DE CONTROLE'!$C$5*(1-CONFIGURAÇÕES!$D$7), E2256&lt;='PAINEL DE CONTROLE'!$C$5*(1+CONFIGURAÇÕES!$D$7)), "DENTRO", "FORA"))</f>
        <v/>
      </c>
    </row>
    <row r="2257" spans="2:6" x14ac:dyDescent="0.2">
      <c r="B2257" s="44"/>
      <c r="C2257" s="44"/>
      <c r="D2257" s="44"/>
      <c r="E2257" s="42"/>
      <c r="F2257" s="43" t="str">
        <f>IF(E2257="", "", IF(AND(E2257&gt;='PAINEL DE CONTROLE'!$C$5*(1-CONFIGURAÇÕES!$D$7), E2257&lt;='PAINEL DE CONTROLE'!$C$5*(1+CONFIGURAÇÕES!$D$7)), "DENTRO", "FORA"))</f>
        <v/>
      </c>
    </row>
    <row r="2258" spans="2:6" x14ac:dyDescent="0.2">
      <c r="B2258" s="44"/>
      <c r="C2258" s="44"/>
      <c r="D2258" s="44"/>
      <c r="E2258" s="42"/>
      <c r="F2258" s="43" t="str">
        <f>IF(E2258="", "", IF(AND(E2258&gt;='PAINEL DE CONTROLE'!$C$5*(1-CONFIGURAÇÕES!$D$7), E2258&lt;='PAINEL DE CONTROLE'!$C$5*(1+CONFIGURAÇÕES!$D$7)), "DENTRO", "FORA"))</f>
        <v/>
      </c>
    </row>
    <row r="2259" spans="2:6" x14ac:dyDescent="0.2">
      <c r="B2259" s="44"/>
      <c r="C2259" s="44"/>
      <c r="D2259" s="44"/>
      <c r="E2259" s="42"/>
      <c r="F2259" s="43" t="str">
        <f>IF(E2259="", "", IF(AND(E2259&gt;='PAINEL DE CONTROLE'!$C$5*(1-CONFIGURAÇÕES!$D$7), E2259&lt;='PAINEL DE CONTROLE'!$C$5*(1+CONFIGURAÇÕES!$D$7)), "DENTRO", "FORA"))</f>
        <v/>
      </c>
    </row>
    <row r="2260" spans="2:6" x14ac:dyDescent="0.2">
      <c r="B2260" s="44"/>
      <c r="C2260" s="44"/>
      <c r="D2260" s="44"/>
      <c r="E2260" s="42"/>
      <c r="F2260" s="43" t="str">
        <f>IF(E2260="", "", IF(AND(E2260&gt;='PAINEL DE CONTROLE'!$C$5*(1-CONFIGURAÇÕES!$D$7), E2260&lt;='PAINEL DE CONTROLE'!$C$5*(1+CONFIGURAÇÕES!$D$7)), "DENTRO", "FORA"))</f>
        <v/>
      </c>
    </row>
    <row r="2261" spans="2:6" x14ac:dyDescent="0.2">
      <c r="B2261" s="44"/>
      <c r="C2261" s="44"/>
      <c r="D2261" s="44"/>
      <c r="E2261" s="42"/>
      <c r="F2261" s="43" t="str">
        <f>IF(E2261="", "", IF(AND(E2261&gt;='PAINEL DE CONTROLE'!$C$5*(1-CONFIGURAÇÕES!$D$7), E2261&lt;='PAINEL DE CONTROLE'!$C$5*(1+CONFIGURAÇÕES!$D$7)), "DENTRO", "FORA"))</f>
        <v/>
      </c>
    </row>
    <row r="2262" spans="2:6" x14ac:dyDescent="0.2">
      <c r="B2262" s="44"/>
      <c r="C2262" s="44"/>
      <c r="D2262" s="44"/>
      <c r="E2262" s="42"/>
      <c r="F2262" s="43" t="str">
        <f>IF(E2262="", "", IF(AND(E2262&gt;='PAINEL DE CONTROLE'!$C$5*(1-CONFIGURAÇÕES!$D$7), E2262&lt;='PAINEL DE CONTROLE'!$C$5*(1+CONFIGURAÇÕES!$D$7)), "DENTRO", "FORA"))</f>
        <v/>
      </c>
    </row>
    <row r="2263" spans="2:6" x14ac:dyDescent="0.2">
      <c r="B2263" s="44"/>
      <c r="C2263" s="44"/>
      <c r="D2263" s="44"/>
      <c r="E2263" s="42"/>
      <c r="F2263" s="43" t="str">
        <f>IF(E2263="", "", IF(AND(E2263&gt;='PAINEL DE CONTROLE'!$C$5*(1-CONFIGURAÇÕES!$D$7), E2263&lt;='PAINEL DE CONTROLE'!$C$5*(1+CONFIGURAÇÕES!$D$7)), "DENTRO", "FORA"))</f>
        <v/>
      </c>
    </row>
    <row r="2264" spans="2:6" x14ac:dyDescent="0.2">
      <c r="B2264" s="44"/>
      <c r="C2264" s="44"/>
      <c r="D2264" s="44"/>
      <c r="E2264" s="42"/>
      <c r="F2264" s="43" t="str">
        <f>IF(E2264="", "", IF(AND(E2264&gt;='PAINEL DE CONTROLE'!$C$5*(1-CONFIGURAÇÕES!$D$7), E2264&lt;='PAINEL DE CONTROLE'!$C$5*(1+CONFIGURAÇÕES!$D$7)), "DENTRO", "FORA"))</f>
        <v/>
      </c>
    </row>
    <row r="2265" spans="2:6" x14ac:dyDescent="0.2">
      <c r="B2265" s="44"/>
      <c r="C2265" s="44"/>
      <c r="D2265" s="44"/>
      <c r="E2265" s="42"/>
      <c r="F2265" s="43" t="str">
        <f>IF(E2265="", "", IF(AND(E2265&gt;='PAINEL DE CONTROLE'!$C$5*(1-CONFIGURAÇÕES!$D$7), E2265&lt;='PAINEL DE CONTROLE'!$C$5*(1+CONFIGURAÇÕES!$D$7)), "DENTRO", "FORA"))</f>
        <v/>
      </c>
    </row>
    <row r="2266" spans="2:6" x14ac:dyDescent="0.2">
      <c r="B2266" s="44"/>
      <c r="C2266" s="44"/>
      <c r="D2266" s="44"/>
      <c r="E2266" s="42"/>
      <c r="F2266" s="43" t="str">
        <f>IF(E2266="", "", IF(AND(E2266&gt;='PAINEL DE CONTROLE'!$C$5*(1-CONFIGURAÇÕES!$D$7), E2266&lt;='PAINEL DE CONTROLE'!$C$5*(1+CONFIGURAÇÕES!$D$7)), "DENTRO", "FORA"))</f>
        <v/>
      </c>
    </row>
    <row r="2267" spans="2:6" x14ac:dyDescent="0.2">
      <c r="B2267" s="44"/>
      <c r="C2267" s="44"/>
      <c r="D2267" s="44"/>
      <c r="E2267" s="42"/>
      <c r="F2267" s="43" t="str">
        <f>IF(E2267="", "", IF(AND(E2267&gt;='PAINEL DE CONTROLE'!$C$5*(1-CONFIGURAÇÕES!$D$7), E2267&lt;='PAINEL DE CONTROLE'!$C$5*(1+CONFIGURAÇÕES!$D$7)), "DENTRO", "FORA"))</f>
        <v/>
      </c>
    </row>
    <row r="2268" spans="2:6" x14ac:dyDescent="0.2">
      <c r="B2268" s="44"/>
      <c r="C2268" s="44"/>
      <c r="D2268" s="44"/>
      <c r="E2268" s="42"/>
      <c r="F2268" s="43" t="str">
        <f>IF(E2268="", "", IF(AND(E2268&gt;='PAINEL DE CONTROLE'!$C$5*(1-CONFIGURAÇÕES!$D$7), E2268&lt;='PAINEL DE CONTROLE'!$C$5*(1+CONFIGURAÇÕES!$D$7)), "DENTRO", "FORA"))</f>
        <v/>
      </c>
    </row>
    <row r="2269" spans="2:6" x14ac:dyDescent="0.2">
      <c r="B2269" s="44"/>
      <c r="C2269" s="44"/>
      <c r="D2269" s="44"/>
      <c r="E2269" s="42"/>
      <c r="F2269" s="43" t="str">
        <f>IF(E2269="", "", IF(AND(E2269&gt;='PAINEL DE CONTROLE'!$C$5*(1-CONFIGURAÇÕES!$D$7), E2269&lt;='PAINEL DE CONTROLE'!$C$5*(1+CONFIGURAÇÕES!$D$7)), "DENTRO", "FORA"))</f>
        <v/>
      </c>
    </row>
    <row r="2270" spans="2:6" x14ac:dyDescent="0.2">
      <c r="B2270" s="44"/>
      <c r="C2270" s="44"/>
      <c r="D2270" s="44"/>
      <c r="E2270" s="42"/>
      <c r="F2270" s="43" t="str">
        <f>IF(E2270="", "", IF(AND(E2270&gt;='PAINEL DE CONTROLE'!$C$5*(1-CONFIGURAÇÕES!$D$7), E2270&lt;='PAINEL DE CONTROLE'!$C$5*(1+CONFIGURAÇÕES!$D$7)), "DENTRO", "FORA"))</f>
        <v/>
      </c>
    </row>
    <row r="2271" spans="2:6" x14ac:dyDescent="0.2">
      <c r="B2271" s="44"/>
      <c r="C2271" s="44"/>
      <c r="D2271" s="44"/>
      <c r="E2271" s="42"/>
      <c r="F2271" s="43" t="str">
        <f>IF(E2271="", "", IF(AND(E2271&gt;='PAINEL DE CONTROLE'!$C$5*(1-CONFIGURAÇÕES!$D$7), E2271&lt;='PAINEL DE CONTROLE'!$C$5*(1+CONFIGURAÇÕES!$D$7)), "DENTRO", "FORA"))</f>
        <v/>
      </c>
    </row>
    <row r="2272" spans="2:6" x14ac:dyDescent="0.2">
      <c r="B2272" s="44"/>
      <c r="C2272" s="44"/>
      <c r="D2272" s="44"/>
      <c r="E2272" s="42"/>
      <c r="F2272" s="43" t="str">
        <f>IF(E2272="", "", IF(AND(E2272&gt;='PAINEL DE CONTROLE'!$C$5*(1-CONFIGURAÇÕES!$D$7), E2272&lt;='PAINEL DE CONTROLE'!$C$5*(1+CONFIGURAÇÕES!$D$7)), "DENTRO", "FORA"))</f>
        <v/>
      </c>
    </row>
    <row r="2273" spans="2:6" x14ac:dyDescent="0.2">
      <c r="B2273" s="44"/>
      <c r="C2273" s="44"/>
      <c r="D2273" s="44"/>
      <c r="E2273" s="42"/>
      <c r="F2273" s="43" t="str">
        <f>IF(E2273="", "", IF(AND(E2273&gt;='PAINEL DE CONTROLE'!$C$5*(1-CONFIGURAÇÕES!$D$7), E2273&lt;='PAINEL DE CONTROLE'!$C$5*(1+CONFIGURAÇÕES!$D$7)), "DENTRO", "FORA"))</f>
        <v/>
      </c>
    </row>
    <row r="2274" spans="2:6" x14ac:dyDescent="0.2">
      <c r="B2274" s="44"/>
      <c r="C2274" s="44"/>
      <c r="D2274" s="44"/>
      <c r="E2274" s="42"/>
      <c r="F2274" s="43" t="str">
        <f>IF(E2274="", "", IF(AND(E2274&gt;='PAINEL DE CONTROLE'!$C$5*(1-CONFIGURAÇÕES!$D$7), E2274&lt;='PAINEL DE CONTROLE'!$C$5*(1+CONFIGURAÇÕES!$D$7)), "DENTRO", "FORA"))</f>
        <v/>
      </c>
    </row>
    <row r="2275" spans="2:6" x14ac:dyDescent="0.2">
      <c r="B2275" s="44"/>
      <c r="C2275" s="44"/>
      <c r="D2275" s="44"/>
      <c r="E2275" s="42"/>
      <c r="F2275" s="43" t="str">
        <f>IF(E2275="", "", IF(AND(E2275&gt;='PAINEL DE CONTROLE'!$C$5*(1-CONFIGURAÇÕES!$D$7), E2275&lt;='PAINEL DE CONTROLE'!$C$5*(1+CONFIGURAÇÕES!$D$7)), "DENTRO", "FORA"))</f>
        <v/>
      </c>
    </row>
    <row r="2276" spans="2:6" x14ac:dyDescent="0.2">
      <c r="B2276" s="44"/>
      <c r="C2276" s="44"/>
      <c r="D2276" s="44"/>
      <c r="E2276" s="42"/>
      <c r="F2276" s="43" t="str">
        <f>IF(E2276="", "", IF(AND(E2276&gt;='PAINEL DE CONTROLE'!$C$5*(1-CONFIGURAÇÕES!$D$7), E2276&lt;='PAINEL DE CONTROLE'!$C$5*(1+CONFIGURAÇÕES!$D$7)), "DENTRO", "FORA"))</f>
        <v/>
      </c>
    </row>
    <row r="2277" spans="2:6" x14ac:dyDescent="0.2">
      <c r="B2277" s="44"/>
      <c r="C2277" s="44"/>
      <c r="D2277" s="44"/>
      <c r="E2277" s="42"/>
      <c r="F2277" s="43" t="str">
        <f>IF(E2277="", "", IF(AND(E2277&gt;='PAINEL DE CONTROLE'!$C$5*(1-CONFIGURAÇÕES!$D$7), E2277&lt;='PAINEL DE CONTROLE'!$C$5*(1+CONFIGURAÇÕES!$D$7)), "DENTRO", "FORA"))</f>
        <v/>
      </c>
    </row>
    <row r="2278" spans="2:6" x14ac:dyDescent="0.2">
      <c r="B2278" s="44"/>
      <c r="C2278" s="44"/>
      <c r="D2278" s="44"/>
      <c r="E2278" s="42"/>
      <c r="F2278" s="43" t="str">
        <f>IF(E2278="", "", IF(AND(E2278&gt;='PAINEL DE CONTROLE'!$C$5*(1-CONFIGURAÇÕES!$D$7), E2278&lt;='PAINEL DE CONTROLE'!$C$5*(1+CONFIGURAÇÕES!$D$7)), "DENTRO", "FORA"))</f>
        <v/>
      </c>
    </row>
    <row r="2279" spans="2:6" x14ac:dyDescent="0.2">
      <c r="B2279" s="44"/>
      <c r="C2279" s="44"/>
      <c r="D2279" s="44"/>
      <c r="E2279" s="42"/>
      <c r="F2279" s="43" t="str">
        <f>IF(E2279="", "", IF(AND(E2279&gt;='PAINEL DE CONTROLE'!$C$5*(1-CONFIGURAÇÕES!$D$7), E2279&lt;='PAINEL DE CONTROLE'!$C$5*(1+CONFIGURAÇÕES!$D$7)), "DENTRO", "FORA"))</f>
        <v/>
      </c>
    </row>
    <row r="2280" spans="2:6" x14ac:dyDescent="0.2">
      <c r="B2280" s="44"/>
      <c r="C2280" s="44"/>
      <c r="D2280" s="44"/>
      <c r="E2280" s="42"/>
      <c r="F2280" s="43" t="str">
        <f>IF(E2280="", "", IF(AND(E2280&gt;='PAINEL DE CONTROLE'!$C$5*(1-CONFIGURAÇÕES!$D$7), E2280&lt;='PAINEL DE CONTROLE'!$C$5*(1+CONFIGURAÇÕES!$D$7)), "DENTRO", "FORA"))</f>
        <v/>
      </c>
    </row>
    <row r="2281" spans="2:6" x14ac:dyDescent="0.2">
      <c r="B2281" s="44"/>
      <c r="C2281" s="44"/>
      <c r="D2281" s="44"/>
      <c r="E2281" s="42"/>
      <c r="F2281" s="43" t="str">
        <f>IF(E2281="", "", IF(AND(E2281&gt;='PAINEL DE CONTROLE'!$C$5*(1-CONFIGURAÇÕES!$D$7), E2281&lt;='PAINEL DE CONTROLE'!$C$5*(1+CONFIGURAÇÕES!$D$7)), "DENTRO", "FORA"))</f>
        <v/>
      </c>
    </row>
  </sheetData>
  <sheetProtection algorithmName="SHA-512" hashValue="JgUSOmbXFpILmEHIV1L4ojhOZS93nr8SM03b0X8vusEpfP98t9mU+TfrBovyqgjrYp7IreFzaj70/+sq0Qxyeg==" saltValue="57S6EIB2DsA/ZoNU/tBwhw==" spinCount="100000" sheet="1" objects="1" scenarios="1"/>
  <mergeCells count="9">
    <mergeCell ref="C7:D7"/>
    <mergeCell ref="C8:D8"/>
    <mergeCell ref="C9:D9"/>
    <mergeCell ref="C10:D10"/>
    <mergeCell ref="B2:D2"/>
    <mergeCell ref="C3:D3"/>
    <mergeCell ref="C4:D4"/>
    <mergeCell ref="C5:D5"/>
    <mergeCell ref="C6:D6"/>
  </mergeCells>
  <conditionalFormatting sqref="C14:C389 F3:F2281">
    <cfRule type="cellIs" dxfId="16" priority="5" operator="equal">
      <formula>"DENTRO"</formula>
    </cfRule>
    <cfRule type="cellIs" dxfId="15" priority="6" operator="equal">
      <formula>"FORA"</formula>
    </cfRule>
  </conditionalFormatting>
  <dataValidations count="2">
    <dataValidation type="date" errorStyle="warning" allowBlank="1" showInputMessage="1" showErrorMessage="1" errorTitle="Data inválida" error="Informe uma data válida no formato dd/mm/aaaa." prompt="Informe a data em que a pesagem foi realizada." sqref="C4 G4" xr:uid="{27646957-3206-6B40-869F-AF60A8AB0040}">
      <formula1>43831</formula1>
      <formula2>TODAY()</formula2>
    </dataValidation>
    <dataValidation allowBlank="1" showInputMessage="1" showErrorMessage="1" prompt="Coloque os valores de pesagem abaixo, para cada animal pesado." sqref="E2" xr:uid="{045DDB09-848F-6F49-AC69-A6F0DF2DE8CF}"/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602B0F-9D27-9149-A9E2-C45276C376B0}">
          <x14:formula1>
            <xm:f>Cadastro_Lote!$A$2:$A$59</xm:f>
          </x14:formula1>
          <xm:sqref>C3 G3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7F0FE-D6F2-A548-90EB-9BF39DBC6882}">
  <sheetPr codeName="Planilha6">
    <tabColor theme="5" tint="0.39997558519241921"/>
  </sheetPr>
  <dimension ref="B3:Q24"/>
  <sheetViews>
    <sheetView showGridLines="0" topLeftCell="A3" zoomScaleNormal="100" workbookViewId="0">
      <selection activeCell="G3" sqref="G3"/>
    </sheetView>
  </sheetViews>
  <sheetFormatPr baseColWidth="10" defaultRowHeight="16" x14ac:dyDescent="0.2"/>
  <cols>
    <col min="2" max="2" width="27.83203125" bestFit="1" customWidth="1"/>
    <col min="3" max="3" width="33.6640625" bestFit="1" customWidth="1"/>
    <col min="4" max="4" width="10.6640625" customWidth="1"/>
    <col min="5" max="5" width="10.1640625" bestFit="1" customWidth="1"/>
    <col min="6" max="7" width="18.1640625" bestFit="1" customWidth="1"/>
    <col min="8" max="8" width="20" bestFit="1" customWidth="1"/>
    <col min="9" max="9" width="12.6640625" bestFit="1" customWidth="1"/>
    <col min="10" max="10" width="21.1640625" bestFit="1" customWidth="1"/>
    <col min="11" max="11" width="19.1640625" bestFit="1" customWidth="1"/>
    <col min="12" max="12" width="18.83203125" bestFit="1" customWidth="1"/>
    <col min="15" max="15" width="21.1640625" bestFit="1" customWidth="1"/>
    <col min="16" max="16" width="19.1640625" bestFit="1" customWidth="1"/>
    <col min="17" max="17" width="18.83203125" bestFit="1" customWidth="1"/>
  </cols>
  <sheetData>
    <row r="3" spans="2:17" x14ac:dyDescent="0.2">
      <c r="B3" s="100" t="s">
        <v>53</v>
      </c>
      <c r="C3" s="100"/>
      <c r="F3" s="67" t="s">
        <v>78</v>
      </c>
      <c r="G3" s="68" t="s">
        <v>28</v>
      </c>
      <c r="H3" s="69" t="str">
        <f>IFERROR(VLOOKUP(G3, Cadastro_Lote!$A:$D, 4, FALSE), "-")</f>
        <v>Novogen Brown</v>
      </c>
      <c r="I3" s="70"/>
      <c r="J3" s="70"/>
      <c r="K3" s="70"/>
      <c r="L3" s="70"/>
    </row>
    <row r="4" spans="2:17" x14ac:dyDescent="0.2">
      <c r="B4" s="13" t="s">
        <v>54</v>
      </c>
      <c r="C4" s="62">
        <f>COUNTA('NOVA COLETA'!E3:E1000)</f>
        <v>0</v>
      </c>
      <c r="F4" s="71" t="s">
        <v>72</v>
      </c>
      <c r="G4" s="71" t="s">
        <v>73</v>
      </c>
      <c r="H4" s="71" t="s">
        <v>74</v>
      </c>
      <c r="I4" s="71" t="s">
        <v>71</v>
      </c>
      <c r="J4" s="71" t="s">
        <v>75</v>
      </c>
      <c r="K4" s="71" t="s">
        <v>76</v>
      </c>
      <c r="L4" s="71" t="s">
        <v>77</v>
      </c>
    </row>
    <row r="5" spans="2:17" x14ac:dyDescent="0.2">
      <c r="B5" s="13" t="s">
        <v>55</v>
      </c>
      <c r="C5" s="63">
        <f>IFERROR(AVERAGE('NOVA COLETA'!E3:E1000), 0)</f>
        <v>0</v>
      </c>
      <c r="F5" s="72">
        <v>7</v>
      </c>
      <c r="G5" s="73">
        <f>IF(OR($G$3="", F5=""), "", IF(SUMIFS('HISTÓRICO GERAL'!$E:$E, 'HISTÓRICO GERAL'!$A:$A, $G$3, 'HISTÓRICO GERAL'!$C:$C, F5)=0, "-", SUMIFS('HISTÓRICO GERAL'!$E:$E, 'HISTÓRICO GERAL'!$A:$A, $G$3, 'HISTÓRICO GERAL'!$C:$C, F5)))</f>
        <v>68.400000000000006</v>
      </c>
      <c r="H5" s="73">
        <f>IF(OR($H$3="", F5=""), "", IF(SUMIFS(Manual_Linhagens!$E:$E, Manual_Linhagens!$C:$C, $H$3, Manual_Linhagens!$D:$D, F5)=0, "-", SUMIFS(Manual_Linhagens!$E:$E, Manual_Linhagens!$C:$C, $H$3, Manual_Linhagens!$D:$D, F5)))</f>
        <v>68</v>
      </c>
      <c r="I5" s="73" t="str" cm="1">
        <f t="array" ref="I5">IFERROR(_xlfn.XLOOKUP(1, (tbl_fase[Categoria]=VLOOKUP($G$3, Cadastro_Lote!$A:$B, 2, FALSE)) * (F5&gt;=tbl_fase[Idade Inicial]) * (F5&lt;=tbl_fase[Idade Final]), tbl_fase[Fase de Criação], "-"), "-")</f>
        <v>Pré Inicial</v>
      </c>
      <c r="J5" s="74">
        <f>IF(OR($G$3="", SUMIFS('HISTÓRICO GERAL'!$F:$F, 'HISTÓRICO GERAL'!$A:$A, $G$3, 'HISTÓRICO GERAL'!$C:$C, F5)=0), "-", SUMIFS('HISTÓRICO GERAL'!$F:$F, 'HISTÓRICO GERAL'!$A:$A, $G$3, 'HISTÓRICO GERAL'!$C:$C, F5))</f>
        <v>0.88</v>
      </c>
      <c r="K5" s="75">
        <f>IF(OR($G$3="", SUMIFS('HISTÓRICO GERAL'!$H:$H, 'HISTÓRICO GERAL'!$A:$A, $G$3, 'HISTÓRICO GERAL'!$C:$C, F5)=0), "-", SUMIFS('HISTÓRICO GERAL'!$H:$H, 'HISTÓRICO GERAL'!$A:$A, $G$3, 'HISTÓRICO GERAL'!$C:$C, F5))</f>
        <v>450</v>
      </c>
      <c r="L5" s="75" t="str">
        <f>IF(OR(K5="", K5="-"), "-", IF(K5 &gt;= MAX(100, ROUND(VLOOKUP($G$3, Cadastro_Lote!$A:$F, 6, FALSE)*0.01, 0)), "CONFORME", "AMOSTRA BAIXA"))</f>
        <v>CONFORME</v>
      </c>
    </row>
    <row r="6" spans="2:17" x14ac:dyDescent="0.2">
      <c r="B6" s="20" t="s">
        <v>56</v>
      </c>
      <c r="C6" s="63">
        <f>IFERROR(_xlfn.STDEV.S('NOVA COLETA'!E3:E1000), 0)</f>
        <v>0</v>
      </c>
      <c r="F6" s="72">
        <v>14</v>
      </c>
      <c r="G6" s="73">
        <f>IF(OR($G$3="", F6=""), "", IF(SUMIFS('HISTÓRICO GERAL'!$E:$E, 'HISTÓRICO GERAL'!$A:$A, $G$3, 'HISTÓRICO GERAL'!$C:$C, F6)=0, "-", SUMIFS('HISTÓRICO GERAL'!$E:$E, 'HISTÓRICO GERAL'!$A:$A, $G$3, 'HISTÓRICO GERAL'!$C:$C, F6)))</f>
        <v>116.2</v>
      </c>
      <c r="H6" s="73">
        <f>IF(OR($H$3="", F6=""), "", IF(SUMIFS(Manual_Linhagens!$E:$E, Manual_Linhagens!$C:$C, $H$3, Manual_Linhagens!$D:$D, F6)=0, "-", SUMIFS(Manual_Linhagens!$E:$E, Manual_Linhagens!$C:$C, $H$3, Manual_Linhagens!$D:$D, F6)))</f>
        <v>115</v>
      </c>
      <c r="I6" s="73" t="str" cm="1">
        <f t="array" ref="I6">IFERROR(_xlfn.XLOOKUP(1, (tbl_fase[Categoria]=VLOOKUP($G$3, Cadastro_Lote!$A:$B, 2, FALSE)) * (F6&gt;=tbl_fase[Idade Inicial]) * (F6&lt;=tbl_fase[Idade Final]), tbl_fase[Fase de Criação], "-"), "-")</f>
        <v>Pré Inicial</v>
      </c>
      <c r="J6" s="74">
        <f>IF(OR($G$3="", SUMIFS('HISTÓRICO GERAL'!$F:$F, 'HISTÓRICO GERAL'!$A:$A, $G$3, 'HISTÓRICO GERAL'!$C:$C, F6)=0), "-", SUMIFS('HISTÓRICO GERAL'!$F:$F, 'HISTÓRICO GERAL'!$A:$A, $G$3, 'HISTÓRICO GERAL'!$C:$C, F6))</f>
        <v>0.87</v>
      </c>
      <c r="K6" s="75">
        <f>IF(OR($G$3="", SUMIFS('HISTÓRICO GERAL'!$H:$H, 'HISTÓRICO GERAL'!$A:$A, $G$3, 'HISTÓRICO GERAL'!$C:$C, F6)=0), "-", SUMIFS('HISTÓRICO GERAL'!$H:$H, 'HISTÓRICO GERAL'!$A:$A, $G$3, 'HISTÓRICO GERAL'!$C:$C, F6))</f>
        <v>450</v>
      </c>
      <c r="L6" s="75" t="str">
        <f>IF(OR(K6="", K6="-"), "-", IF(K6 &gt;= MAX(100, ROUND(VLOOKUP($G$3, Cadastro_Lote!$A:$F, 6, FALSE)*0.01, 0)), "CONFORME", "AMOSTRA BAIXA"))</f>
        <v>CONFORME</v>
      </c>
    </row>
    <row r="7" spans="2:17" x14ac:dyDescent="0.2">
      <c r="B7" s="20" t="s">
        <v>57</v>
      </c>
      <c r="C7" s="64">
        <f>IFERROR(C6/C5, 0)</f>
        <v>0</v>
      </c>
      <c r="F7" s="72">
        <v>21</v>
      </c>
      <c r="G7" s="73">
        <f>IF(OR($G$3="", F7=""), "", IF(SUMIFS('HISTÓRICO GERAL'!$E:$E, 'HISTÓRICO GERAL'!$A:$A, $G$3, 'HISTÓRICO GERAL'!$C:$C, F7)=0, "-", SUMIFS('HISTÓRICO GERAL'!$E:$E, 'HISTÓRICO GERAL'!$A:$A, $G$3, 'HISTÓRICO GERAL'!$C:$C, F7)))</f>
        <v>186</v>
      </c>
      <c r="H7" s="73">
        <f>IF(OR($H$3="", F7=""), "", IF(SUMIFS(Manual_Linhagens!$E:$E, Manual_Linhagens!$C:$C, $H$3, Manual_Linhagens!$D:$D, F7)=0, "-", SUMIFS(Manual_Linhagens!$E:$E, Manual_Linhagens!$C:$C, $H$3, Manual_Linhagens!$D:$D, F7)))</f>
        <v>185</v>
      </c>
      <c r="I7" s="73" t="str" cm="1">
        <f t="array" ref="I7">IFERROR(_xlfn.XLOOKUP(1, (tbl_fase[Categoria]=VLOOKUP($G$3, Cadastro_Lote!$A:$B, 2, FALSE)) * (F7&gt;=tbl_fase[Idade Inicial]) * (F7&lt;=tbl_fase[Idade Final]), tbl_fase[Fase de Criação], "-"), "-")</f>
        <v>Pré Inicial</v>
      </c>
      <c r="J7" s="74">
        <f>IF(OR($G$3="", SUMIFS('HISTÓRICO GERAL'!$F:$F, 'HISTÓRICO GERAL'!$A:$A, $G$3, 'HISTÓRICO GERAL'!$C:$C, F7)=0), "-", SUMIFS('HISTÓRICO GERAL'!$F:$F, 'HISTÓRICO GERAL'!$A:$A, $G$3, 'HISTÓRICO GERAL'!$C:$C, F7))</f>
        <v>0.86</v>
      </c>
      <c r="K7" s="75">
        <f>IF(OR($G$3="", SUMIFS('HISTÓRICO GERAL'!$H:$H, 'HISTÓRICO GERAL'!$A:$A, $G$3, 'HISTÓRICO GERAL'!$C:$C, F7)=0), "-", SUMIFS('HISTÓRICO GERAL'!$H:$H, 'HISTÓRICO GERAL'!$A:$A, $G$3, 'HISTÓRICO GERAL'!$C:$C, F7))</f>
        <v>450</v>
      </c>
      <c r="L7" s="75" t="str">
        <f>IF(OR(K7="", K7="-"), "-", IF(K7 &gt;= MAX(100, ROUND(VLOOKUP($G$3, Cadastro_Lote!$A:$F, 6, FALSE)*0.01, 0)), "CONFORME", "AMOSTRA BAIXA"))</f>
        <v>CONFORME</v>
      </c>
    </row>
    <row r="8" spans="2:17" x14ac:dyDescent="0.2">
      <c r="B8" s="20" t="s">
        <v>58</v>
      </c>
      <c r="C8" s="64">
        <f>IFERROR(COUNTIFS('NOVA COLETA'!E3:E1000, "&gt;="&amp;C9, 'NOVA COLETA'!E3:E971, "&lt;="&amp;C10) / C4, 0)</f>
        <v>0</v>
      </c>
      <c r="F8" s="72">
        <v>28</v>
      </c>
      <c r="G8" s="73">
        <f>IF(OR($G$3="", F8=""), "", IF(SUMIFS('HISTÓRICO GERAL'!$E:$E, 'HISTÓRICO GERAL'!$A:$A, $G$3, 'HISTÓRICO GERAL'!$C:$C, F8)=0, "-", SUMIFS('HISTÓRICO GERAL'!$E:$E, 'HISTÓRICO GERAL'!$A:$A, $G$3, 'HISTÓRICO GERAL'!$C:$C, F8)))</f>
        <v>279.5</v>
      </c>
      <c r="H8" s="73">
        <f>IF(OR($H$3="", F8=""), "", IF(SUMIFS(Manual_Linhagens!$E:$E, Manual_Linhagens!$C:$C, $H$3, Manual_Linhagens!$D:$D, F8)=0, "-", SUMIFS(Manual_Linhagens!$E:$E, Manual_Linhagens!$C:$C, $H$3, Manual_Linhagens!$D:$D, F8)))</f>
        <v>278</v>
      </c>
      <c r="I8" s="73" t="str" cm="1">
        <f t="array" ref="I8">IFERROR(_xlfn.XLOOKUP(1, (tbl_fase[Categoria]=VLOOKUP($G$3, Cadastro_Lote!$A:$B, 2, FALSE)) * (F8&gt;=tbl_fase[Idade Inicial]) * (F8&lt;=tbl_fase[Idade Final]), tbl_fase[Fase de Criação], "-"), "-")</f>
        <v>Inicial</v>
      </c>
      <c r="J8" s="74">
        <f>IF(OR($G$3="", SUMIFS('HISTÓRICO GERAL'!$F:$F, 'HISTÓRICO GERAL'!$A:$A, $G$3, 'HISTÓRICO GERAL'!$C:$C, F8)=0), "-", SUMIFS('HISTÓRICO GERAL'!$F:$F, 'HISTÓRICO GERAL'!$A:$A, $G$3, 'HISTÓRICO GERAL'!$C:$C, F8))</f>
        <v>0.86</v>
      </c>
      <c r="K8" s="75">
        <f>IF(OR($G$3="", SUMIFS('HISTÓRICO GERAL'!$H:$H, 'HISTÓRICO GERAL'!$A:$A, $G$3, 'HISTÓRICO GERAL'!$C:$C, F8)=0), "-", SUMIFS('HISTÓRICO GERAL'!$H:$H, 'HISTÓRICO GERAL'!$A:$A, $G$3, 'HISTÓRICO GERAL'!$C:$C, F8))</f>
        <v>450</v>
      </c>
      <c r="L8" s="75" t="str">
        <f>IF(OR(K8="", K8="-"), "-", IF(K8 &gt;= MAX(100, ROUND(VLOOKUP($G$3, Cadastro_Lote!$A:$F, 6, FALSE)*0.01, 0)), "CONFORME", "AMOSTRA BAIXA"))</f>
        <v>CONFORME</v>
      </c>
    </row>
    <row r="9" spans="2:17" x14ac:dyDescent="0.2">
      <c r="B9" s="20" t="s">
        <v>59</v>
      </c>
      <c r="C9" s="62">
        <f>C5*(1-CONFIGURAÇÕES!$D$7)</f>
        <v>0</v>
      </c>
      <c r="F9" s="72">
        <v>35</v>
      </c>
      <c r="G9" s="73">
        <f>IF(OR($G$3="", F9=""), "", IF(SUMIFS('HISTÓRICO GERAL'!$E:$E, 'HISTÓRICO GERAL'!$A:$A, $G$3, 'HISTÓRICO GERAL'!$C:$C, F9)=0, "-", SUMIFS('HISTÓRICO GERAL'!$E:$E, 'HISTÓRICO GERAL'!$A:$A, $G$3, 'HISTÓRICO GERAL'!$C:$C, F9)))</f>
        <v>371</v>
      </c>
      <c r="H9" s="73">
        <f>IF(OR($H$3="", F9=""), "", IF(SUMIFS(Manual_Linhagens!$E:$E, Manual_Linhagens!$C:$C, $H$3, Manual_Linhagens!$D:$D, F9)=0, "-", SUMIFS(Manual_Linhagens!$E:$E, Manual_Linhagens!$C:$C, $H$3, Manual_Linhagens!$D:$D, F9)))</f>
        <v>372</v>
      </c>
      <c r="I9" s="73" t="str" cm="1">
        <f t="array" ref="I9">IFERROR(_xlfn.XLOOKUP(1, (tbl_fase[Categoria]=VLOOKUP($G$3, Cadastro_Lote!$A:$B, 2, FALSE)) * (F9&gt;=tbl_fase[Idade Inicial]) * (F9&lt;=tbl_fase[Idade Final]), tbl_fase[Fase de Criação], "-"), "-")</f>
        <v>Inicial</v>
      </c>
      <c r="J9" s="74">
        <f>IF(OR($G$3="", SUMIFS('HISTÓRICO GERAL'!$F:$F, 'HISTÓRICO GERAL'!$A:$A, $G$3, 'HISTÓRICO GERAL'!$C:$C, F9)=0), "-", SUMIFS('HISTÓRICO GERAL'!$F:$F, 'HISTÓRICO GERAL'!$A:$A, $G$3, 'HISTÓRICO GERAL'!$C:$C, F9))</f>
        <v>0.84</v>
      </c>
      <c r="K9" s="75">
        <f>IF(OR($G$3="", SUMIFS('HISTÓRICO GERAL'!$H:$H, 'HISTÓRICO GERAL'!$A:$A, $G$3, 'HISTÓRICO GERAL'!$C:$C, F9)=0), "-", SUMIFS('HISTÓRICO GERAL'!$H:$H, 'HISTÓRICO GERAL'!$A:$A, $G$3, 'HISTÓRICO GERAL'!$C:$C, F9))</f>
        <v>450</v>
      </c>
      <c r="L9" s="75" t="str">
        <f>IF(OR(K9="", K9="-"), "-", IF(K9 &gt;= MAX(100, ROUND(VLOOKUP($G$3, Cadastro_Lote!$A:$F, 6, FALSE)*0.01, 0)), "CONFORME", "AMOSTRA BAIXA"))</f>
        <v>CONFORME</v>
      </c>
    </row>
    <row r="10" spans="2:17" x14ac:dyDescent="0.2">
      <c r="B10" s="20" t="s">
        <v>60</v>
      </c>
      <c r="C10" s="62">
        <f>C5*(1+CONFIGURAÇÕES!$D$7)</f>
        <v>0</v>
      </c>
      <c r="F10" s="72">
        <v>42</v>
      </c>
      <c r="G10" s="73">
        <f>IF(OR($G$3="", F10=""), "", IF(SUMIFS('HISTÓRICO GERAL'!$E:$E, 'HISTÓRICO GERAL'!$A:$A, $G$3, 'HISTÓRICO GERAL'!$C:$C, F10)=0, "-", SUMIFS('HISTÓRICO GERAL'!$E:$E, 'HISTÓRICO GERAL'!$A:$A, $G$3, 'HISTÓRICO GERAL'!$C:$C, F10)))</f>
        <v>455.2</v>
      </c>
      <c r="H10" s="73">
        <f>IF(OR($H$3="", F10=""), "", IF(SUMIFS(Manual_Linhagens!$E:$E, Manual_Linhagens!$C:$C, $H$3, Manual_Linhagens!$D:$D, F10)=0, "-", SUMIFS(Manual_Linhagens!$E:$E, Manual_Linhagens!$C:$C, $H$3, Manual_Linhagens!$D:$D, F10)))</f>
        <v>482</v>
      </c>
      <c r="I10" s="73" t="str" cm="1">
        <f t="array" ref="I10">IFERROR(_xlfn.XLOOKUP(1, (tbl_fase[Categoria]=VLOOKUP($G$3, Cadastro_Lote!$A:$B, 2, FALSE)) * (F10&gt;=tbl_fase[Idade Inicial]) * (F10&lt;=tbl_fase[Idade Final]), tbl_fase[Fase de Criação], "-"), "-")</f>
        <v>Inicial</v>
      </c>
      <c r="J10" s="74">
        <f>IF(OR($G$3="", SUMIFS('HISTÓRICO GERAL'!$F:$F, 'HISTÓRICO GERAL'!$A:$A, $G$3, 'HISTÓRICO GERAL'!$C:$C, F10)=0), "-", SUMIFS('HISTÓRICO GERAL'!$F:$F, 'HISTÓRICO GERAL'!$A:$A, $G$3, 'HISTÓRICO GERAL'!$C:$C, F10))</f>
        <v>0.76</v>
      </c>
      <c r="K10" s="75">
        <f>IF(OR($G$3="", SUMIFS('HISTÓRICO GERAL'!$H:$H, 'HISTÓRICO GERAL'!$A:$A, $G$3, 'HISTÓRICO GERAL'!$C:$C, F10)=0), "-", SUMIFS('HISTÓRICO GERAL'!$H:$H, 'HISTÓRICO GERAL'!$A:$A, $G$3, 'HISTÓRICO GERAL'!$C:$C, F10))</f>
        <v>450</v>
      </c>
      <c r="L10" s="75" t="str">
        <f>IF(OR(K10="", K10="-"), "-", IF(K10 &gt;= MAX(100, ROUND(VLOOKUP($G$3, Cadastro_Lote!$A:$F, 6, FALSE)*0.01, 0)), "CONFORME", "AMOSTRA BAIXA"))</f>
        <v>CONFORME</v>
      </c>
    </row>
    <row r="11" spans="2:17" x14ac:dyDescent="0.2">
      <c r="B11" s="20" t="s">
        <v>74</v>
      </c>
      <c r="C11" s="65">
        <f>IFERROR(SUMIFS(Manual_Linhagens!$E:$E, Manual_Linhagens!$C:$C, 'NOVA COLETA'!C6, Manual_Linhagens!$D:$D, INT('NOVA COLETA'!C7/7)*7), "-")</f>
        <v>0</v>
      </c>
      <c r="F11" s="72">
        <v>49</v>
      </c>
      <c r="G11" s="73">
        <f>IF(OR($G$3="", F11=""), "", IF(SUMIFS('HISTÓRICO GERAL'!$E:$E, 'HISTÓRICO GERAL'!$A:$A, $G$3, 'HISTÓRICO GERAL'!$C:$C, F11)=0, "-", SUMIFS('HISTÓRICO GERAL'!$E:$E, 'HISTÓRICO GERAL'!$A:$A, $G$3, 'HISTÓRICO GERAL'!$C:$C, F11)))</f>
        <v>538</v>
      </c>
      <c r="H11" s="73">
        <f>IF(OR($H$3="", F11=""), "", IF(SUMIFS(Manual_Linhagens!$E:$E, Manual_Linhagens!$C:$C, $H$3, Manual_Linhagens!$D:$D, F11)=0, "-", SUMIFS(Manual_Linhagens!$E:$E, Manual_Linhagens!$C:$C, $H$3, Manual_Linhagens!$D:$D, F11)))</f>
        <v>585</v>
      </c>
      <c r="I11" s="73" t="str" cm="1">
        <f t="array" ref="I11">IFERROR(_xlfn.XLOOKUP(1, (tbl_fase[Categoria]=VLOOKUP($G$3, Cadastro_Lote!$A:$B, 2, FALSE)) * (F11&gt;=tbl_fase[Idade Inicial]) * (F11&lt;=tbl_fase[Idade Final]), tbl_fase[Fase de Criação], "-"), "-")</f>
        <v>Crescimento</v>
      </c>
      <c r="J11" s="74">
        <f>IF(OR($G$3="", SUMIFS('HISTÓRICO GERAL'!$F:$F, 'HISTÓRICO GERAL'!$A:$A, $G$3, 'HISTÓRICO GERAL'!$C:$C, F11)=0), "-", SUMIFS('HISTÓRICO GERAL'!$F:$F, 'HISTÓRICO GERAL'!$A:$A, $G$3, 'HISTÓRICO GERAL'!$C:$C, F11))</f>
        <v>0.71</v>
      </c>
      <c r="K11" s="75">
        <f>IF(OR($G$3="", SUMIFS('HISTÓRICO GERAL'!$H:$H, 'HISTÓRICO GERAL'!$A:$A, $G$3, 'HISTÓRICO GERAL'!$C:$C, F11)=0), "-", SUMIFS('HISTÓRICO GERAL'!$H:$H, 'HISTÓRICO GERAL'!$A:$A, $G$3, 'HISTÓRICO GERAL'!$C:$C, F11))</f>
        <v>450</v>
      </c>
      <c r="L11" s="75" t="str">
        <f>IF(OR(K11="", K11="-"), "-", IF(K11 &gt;= MAX(100, ROUND(VLOOKUP($G$3, Cadastro_Lote!$A:$F, 6, FALSE)*0.01, 0)), "CONFORME", "AMOSTRA BAIXA"))</f>
        <v>CONFORME</v>
      </c>
    </row>
    <row r="12" spans="2:17" x14ac:dyDescent="0.2">
      <c r="B12" s="13" t="s">
        <v>66</v>
      </c>
      <c r="C12" s="66" t="str">
        <f>IF(OR(C8="", C8=0), "", IF(C8&gt;=CONFIGURAÇÕES!$D$8, "ÓTIMA UNIFORMIDADE", IF(C8&gt;=CONFIGURAÇÕES!$D$9, "BOA UNIFORMIDADE", IF(C8&gt;=CONFIGURAÇÕES!$D$10, "UNIFORMIDADE REGULAR", "DESUNIFORME"))))</f>
        <v/>
      </c>
      <c r="F12" s="72">
        <v>56</v>
      </c>
      <c r="G12" s="73">
        <f>IF(OR($G$3="", F12=""), "", IF(SUMIFS('HISTÓRICO GERAL'!$E:$E, 'HISTÓRICO GERAL'!$A:$A, $G$3, 'HISTÓRICO GERAL'!$C:$C, F12)=0, "-", SUMIFS('HISTÓRICO GERAL'!$E:$E, 'HISTÓRICO GERAL'!$A:$A, $G$3, 'HISTÓRICO GERAL'!$C:$C, F12)))</f>
        <v>615.4</v>
      </c>
      <c r="H12" s="73">
        <f>IF(OR($H$3="", F12=""), "", IF(SUMIFS(Manual_Linhagens!$E:$E, Manual_Linhagens!$C:$C, $H$3, Manual_Linhagens!$D:$D, F12)=0, "-", SUMIFS(Manual_Linhagens!$E:$E, Manual_Linhagens!$C:$C, $H$3, Manual_Linhagens!$D:$D, F12)))</f>
        <v>678</v>
      </c>
      <c r="I12" s="73" t="str" cm="1">
        <f t="array" ref="I12">IFERROR(_xlfn.XLOOKUP(1, (tbl_fase[Categoria]=VLOOKUP($G$3, Cadastro_Lote!$A:$B, 2, FALSE)) * (F12&gt;=tbl_fase[Idade Inicial]) * (F12&lt;=tbl_fase[Idade Final]), tbl_fase[Fase de Criação], "-"), "-")</f>
        <v>Crescimento</v>
      </c>
      <c r="J12" s="74">
        <f>IF(OR($G$3="", SUMIFS('HISTÓRICO GERAL'!$F:$F, 'HISTÓRICO GERAL'!$A:$A, $G$3, 'HISTÓRICO GERAL'!$C:$C, F12)=0), "-", SUMIFS('HISTÓRICO GERAL'!$F:$F, 'HISTÓRICO GERAL'!$A:$A, $G$3, 'HISTÓRICO GERAL'!$C:$C, F12))</f>
        <v>0.68</v>
      </c>
      <c r="K12" s="75">
        <f>IF(OR($G$3="", SUMIFS('HISTÓRICO GERAL'!$H:$H, 'HISTÓRICO GERAL'!$A:$A, $G$3, 'HISTÓRICO GERAL'!$C:$C, F12)=0), "-", SUMIFS('HISTÓRICO GERAL'!$H:$H, 'HISTÓRICO GERAL'!$A:$A, $G$3, 'HISTÓRICO GERAL'!$C:$C, F12))</f>
        <v>450</v>
      </c>
      <c r="L12" s="75" t="str">
        <f>IF(OR(K12="", K12="-"), "-", IF(K12 &gt;= MAX(100, ROUND(VLOOKUP($G$3, Cadastro_Lote!$A:$F, 6, FALSE)*0.01, 0)), "CONFORME", "AMOSTRA BAIXA"))</f>
        <v>CONFORME</v>
      </c>
    </row>
    <row r="13" spans="2:17" x14ac:dyDescent="0.2">
      <c r="F13" s="72">
        <v>63</v>
      </c>
      <c r="G13" s="73">
        <f>IF(OR($G$3="", F13=""), "", IF(SUMIFS('HISTÓRICO GERAL'!$E:$E, 'HISTÓRICO GERAL'!$A:$A, $G$3, 'HISTÓRICO GERAL'!$C:$C, F13)=0, "-", SUMIFS('HISTÓRICO GERAL'!$E:$E, 'HISTÓRICO GERAL'!$A:$A, $G$3, 'HISTÓRICO GERAL'!$C:$C, F13)))</f>
        <v>702.1</v>
      </c>
      <c r="H13" s="73">
        <f>IF(OR($H$3="", F13=""), "", IF(SUMIFS(Manual_Linhagens!$E:$E, Manual_Linhagens!$C:$C, $H$3, Manual_Linhagens!$D:$D, F13)=0, "-", SUMIFS(Manual_Linhagens!$E:$E, Manual_Linhagens!$C:$C, $H$3, Manual_Linhagens!$D:$D, F13)))</f>
        <v>770</v>
      </c>
      <c r="I13" s="73" t="str" cm="1">
        <f t="array" ref="I13">IFERROR(_xlfn.XLOOKUP(1, (tbl_fase[Categoria]=VLOOKUP($G$3, Cadastro_Lote!$A:$B, 2, FALSE)) * (F13&gt;=tbl_fase[Idade Inicial]) * (F13&lt;=tbl_fase[Idade Final]), tbl_fase[Fase de Criação], "-"), "-")</f>
        <v>Crescimento</v>
      </c>
      <c r="J13" s="74">
        <f>IF(OR($G$3="", SUMIFS('HISTÓRICO GERAL'!$F:$F, 'HISTÓRICO GERAL'!$A:$A, $G$3, 'HISTÓRICO GERAL'!$C:$C, F13)=0), "-", SUMIFS('HISTÓRICO GERAL'!$F:$F, 'HISTÓRICO GERAL'!$A:$A, $G$3, 'HISTÓRICO GERAL'!$C:$C, F13))</f>
        <v>0.73</v>
      </c>
      <c r="K13" s="75">
        <f>IF(OR($G$3="", SUMIFS('HISTÓRICO GERAL'!$H:$H, 'HISTÓRICO GERAL'!$A:$A, $G$3, 'HISTÓRICO GERAL'!$C:$C, F13)=0), "-", SUMIFS('HISTÓRICO GERAL'!$H:$H, 'HISTÓRICO GERAL'!$A:$A, $G$3, 'HISTÓRICO GERAL'!$C:$C, F13))</f>
        <v>450</v>
      </c>
      <c r="L13" s="75" t="str">
        <f>IF(OR(K13="", K13="-"), "-", IF(K13 &gt;= MAX(100, ROUND(VLOOKUP($G$3, Cadastro_Lote!$A:$F, 6, FALSE)*0.01, 0)), "CONFORME", "AMOSTRA BAIXA"))</f>
        <v>CONFORME</v>
      </c>
    </row>
    <row r="14" spans="2:17" x14ac:dyDescent="0.2">
      <c r="E14" s="12"/>
      <c r="F14" s="72">
        <v>70</v>
      </c>
      <c r="G14" s="73">
        <f>IF(OR($G$3="", F14=""), "", IF(SUMIFS('HISTÓRICO GERAL'!$E:$E, 'HISTÓRICO GERAL'!$A:$A, $G$3, 'HISTÓRICO GERAL'!$C:$C, F14)=0, "-", SUMIFS('HISTÓRICO GERAL'!$E:$E, 'HISTÓRICO GERAL'!$A:$A, $G$3, 'HISTÓRICO GERAL'!$C:$C, F14)))</f>
        <v>810.5</v>
      </c>
      <c r="H14" s="73">
        <f>IF(OR($H$3="", F14=""), "", IF(SUMIFS(Manual_Linhagens!$E:$E, Manual_Linhagens!$C:$C, $H$3, Manual_Linhagens!$D:$D, F14)=0, "-", SUMIFS(Manual_Linhagens!$E:$E, Manual_Linhagens!$C:$C, $H$3, Manual_Linhagens!$D:$D, F14)))</f>
        <v>870</v>
      </c>
      <c r="I14" s="73" t="str" cm="1">
        <f t="array" ref="I14">IFERROR(_xlfn.XLOOKUP(1, (tbl_fase[Categoria]=VLOOKUP($G$3, Cadastro_Lote!$A:$B, 2, FALSE)) * (F14&gt;=tbl_fase[Idade Inicial]) * (F14&lt;=tbl_fase[Idade Final]), tbl_fase[Fase de Criação], "-"), "-")</f>
        <v>Crescimento</v>
      </c>
      <c r="J14" s="74">
        <f>IF(OR($G$3="", SUMIFS('HISTÓRICO GERAL'!$F:$F, 'HISTÓRICO GERAL'!$A:$A, $G$3, 'HISTÓRICO GERAL'!$C:$C, F14)=0), "-", SUMIFS('HISTÓRICO GERAL'!$F:$F, 'HISTÓRICO GERAL'!$A:$A, $G$3, 'HISTÓRICO GERAL'!$C:$C, F14))</f>
        <v>0.78</v>
      </c>
      <c r="K14" s="75">
        <f>IF(OR($G$3="", SUMIFS('HISTÓRICO GERAL'!$H:$H, 'HISTÓRICO GERAL'!$A:$A, $G$3, 'HISTÓRICO GERAL'!$C:$C, F14)=0), "-", SUMIFS('HISTÓRICO GERAL'!$H:$H, 'HISTÓRICO GERAL'!$A:$A, $G$3, 'HISTÓRICO GERAL'!$C:$C, F14))</f>
        <v>450</v>
      </c>
      <c r="L14" s="75" t="str">
        <f>IF(OR(K14="", K14="-"), "-", IF(K14 &gt;= MAX(100, ROUND(VLOOKUP($G$3, Cadastro_Lote!$A:$F, 6, FALSE)*0.01, 0)), "CONFORME", "AMOSTRA BAIXA"))</f>
        <v>CONFORME</v>
      </c>
      <c r="M14" s="24"/>
      <c r="N14" s="24"/>
      <c r="O14" s="24"/>
      <c r="P14" s="24"/>
      <c r="Q14" s="24"/>
    </row>
    <row r="15" spans="2:17" x14ac:dyDescent="0.2">
      <c r="F15" s="72">
        <v>77</v>
      </c>
      <c r="G15" s="73">
        <f>IF(OR($G$3="", F15=""), "", IF(SUMIFS('HISTÓRICO GERAL'!$E:$E, 'HISTÓRICO GERAL'!$A:$A, $G$3, 'HISTÓRICO GERAL'!$C:$C, F15)=0, "-", SUMIFS('HISTÓRICO GERAL'!$E:$E, 'HISTÓRICO GERAL'!$A:$A, $G$3, 'HISTÓRICO GERAL'!$C:$C, F15)))</f>
        <v>912</v>
      </c>
      <c r="H15" s="73">
        <f>IF(OR($H$3="", F15=""), "", IF(SUMIFS(Manual_Linhagens!$E:$E, Manual_Linhagens!$C:$C, $H$3, Manual_Linhagens!$D:$D, F15)=0, "-", SUMIFS(Manual_Linhagens!$E:$E, Manual_Linhagens!$C:$C, $H$3, Manual_Linhagens!$D:$D, F15)))</f>
        <v>960</v>
      </c>
      <c r="I15" s="73" t="str" cm="1">
        <f t="array" ref="I15">IFERROR(_xlfn.XLOOKUP(1, (tbl_fase[Categoria]=VLOOKUP($G$3, Cadastro_Lote!$A:$B, 2, FALSE)) * (F15&gt;=tbl_fase[Idade Inicial]) * (F15&lt;=tbl_fase[Idade Final]), tbl_fase[Fase de Criação], "-"), "-")</f>
        <v>Crescimento</v>
      </c>
      <c r="J15" s="74">
        <f>IF(OR($G$3="", SUMIFS('HISTÓRICO GERAL'!$F:$F, 'HISTÓRICO GERAL'!$A:$A, $G$3, 'HISTÓRICO GERAL'!$C:$C, F15)=0), "-", SUMIFS('HISTÓRICO GERAL'!$F:$F, 'HISTÓRICO GERAL'!$A:$A, $G$3, 'HISTÓRICO GERAL'!$C:$C, F15))</f>
        <v>0.81</v>
      </c>
      <c r="K15" s="75">
        <f>IF(OR($G$3="", SUMIFS('HISTÓRICO GERAL'!$H:$H, 'HISTÓRICO GERAL'!$A:$A, $G$3, 'HISTÓRICO GERAL'!$C:$C, F15)=0), "-", SUMIFS('HISTÓRICO GERAL'!$H:$H, 'HISTÓRICO GERAL'!$A:$A, $G$3, 'HISTÓRICO GERAL'!$C:$C, F15))</f>
        <v>450</v>
      </c>
      <c r="L15" s="75" t="str">
        <f>IF(OR(K15="", K15="-"), "-", IF(K15 &gt;= MAX(100, ROUND(VLOOKUP($G$3, Cadastro_Lote!$A:$F, 6, FALSE)*0.01, 0)), "CONFORME", "AMOSTRA BAIXA"))</f>
        <v>CONFORME</v>
      </c>
      <c r="O15" s="25"/>
      <c r="P15" s="26"/>
      <c r="Q15" s="27"/>
    </row>
    <row r="16" spans="2:17" x14ac:dyDescent="0.2">
      <c r="F16" s="72">
        <v>84</v>
      </c>
      <c r="G16" s="73">
        <f>IF(OR($G$3="", F16=""), "", IF(SUMIFS('HISTÓRICO GERAL'!$E:$E, 'HISTÓRICO GERAL'!$A:$A, $G$3, 'HISTÓRICO GERAL'!$C:$C, F16)=0, "-", SUMIFS('HISTÓRICO GERAL'!$E:$E, 'HISTÓRICO GERAL'!$A:$A, $G$3, 'HISTÓRICO GERAL'!$C:$C, F16)))</f>
        <v>1015.4</v>
      </c>
      <c r="H16" s="73">
        <f>IF(OR($H$3="", F16=""), "", IF(SUMIFS(Manual_Linhagens!$E:$E, Manual_Linhagens!$C:$C, $H$3, Manual_Linhagens!$D:$D, F16)=0, "-", SUMIFS(Manual_Linhagens!$E:$E, Manual_Linhagens!$C:$C, $H$3, Manual_Linhagens!$D:$D, F16)))</f>
        <v>1055</v>
      </c>
      <c r="I16" s="73" t="str" cm="1">
        <f t="array" ref="I16">IFERROR(_xlfn.XLOOKUP(1, (tbl_fase[Categoria]=VLOOKUP($G$3, Cadastro_Lote!$A:$B, 2, FALSE)) * (F16&gt;=tbl_fase[Idade Inicial]) * (F16&lt;=tbl_fase[Idade Final]), tbl_fase[Fase de Criação], "-"), "-")</f>
        <v>Crescimento</v>
      </c>
      <c r="J16" s="74">
        <f>IF(OR($G$3="", SUMIFS('HISTÓRICO GERAL'!$F:$F, 'HISTÓRICO GERAL'!$A:$A, $G$3, 'HISTÓRICO GERAL'!$C:$C, F16)=0), "-", SUMIFS('HISTÓRICO GERAL'!$F:$F, 'HISTÓRICO GERAL'!$A:$A, $G$3, 'HISTÓRICO GERAL'!$C:$C, F16))</f>
        <v>0.83</v>
      </c>
      <c r="K16" s="75">
        <f>IF(OR($G$3="", SUMIFS('HISTÓRICO GERAL'!$H:$H, 'HISTÓRICO GERAL'!$A:$A, $G$3, 'HISTÓRICO GERAL'!$C:$C, F16)=0), "-", SUMIFS('HISTÓRICO GERAL'!$H:$H, 'HISTÓRICO GERAL'!$A:$A, $G$3, 'HISTÓRICO GERAL'!$C:$C, F16))</f>
        <v>450</v>
      </c>
      <c r="L16" s="75" t="str">
        <f>IF(OR(K16="", K16="-"), "-", IF(K16 &gt;= MAX(100, ROUND(VLOOKUP($G$3, Cadastro_Lote!$A:$F, 6, FALSE)*0.01, 0)), "CONFORME", "AMOSTRA BAIXA"))</f>
        <v>CONFORME</v>
      </c>
      <c r="M16" s="28"/>
      <c r="N16" s="28"/>
      <c r="O16" s="25"/>
      <c r="P16" s="26"/>
      <c r="Q16" s="27"/>
    </row>
    <row r="17" spans="6:17" x14ac:dyDescent="0.2">
      <c r="F17" s="72">
        <v>91</v>
      </c>
      <c r="G17" s="73">
        <f>IF(OR($G$3="", F17=""), "", IF(SUMIFS('HISTÓRICO GERAL'!$E:$E, 'HISTÓRICO GERAL'!$A:$A, $G$3, 'HISTÓRICO GERAL'!$C:$C, F17)=0, "-", SUMIFS('HISTÓRICO GERAL'!$E:$E, 'HISTÓRICO GERAL'!$A:$A, $G$3, 'HISTÓRICO GERAL'!$C:$C, F17)))</f>
        <v>1110.2</v>
      </c>
      <c r="H17" s="73">
        <f>IF(OR($H$3="", F17=""), "", IF(SUMIFS(Manual_Linhagens!$E:$E, Manual_Linhagens!$C:$C, $H$3, Manual_Linhagens!$D:$D, F17)=0, "-", SUMIFS(Manual_Linhagens!$E:$E, Manual_Linhagens!$C:$C, $H$3, Manual_Linhagens!$D:$D, F17)))</f>
        <v>1145</v>
      </c>
      <c r="I17" s="73" t="str" cm="1">
        <f t="array" ref="I17">IFERROR(_xlfn.XLOOKUP(1, (tbl_fase[Categoria]=VLOOKUP($G$3, Cadastro_Lote!$A:$B, 2, FALSE)) * (F17&gt;=tbl_fase[Idade Inicial]) * (F17&lt;=tbl_fase[Idade Final]), tbl_fase[Fase de Criação], "-"), "-")</f>
        <v>Maturidade</v>
      </c>
      <c r="J17" s="74">
        <f>IF(OR($G$3="", SUMIFS('HISTÓRICO GERAL'!$F:$F, 'HISTÓRICO GERAL'!$A:$A, $G$3, 'HISTÓRICO GERAL'!$C:$C, F17)=0), "-", SUMIFS('HISTÓRICO GERAL'!$F:$F, 'HISTÓRICO GERAL'!$A:$A, $G$3, 'HISTÓRICO GERAL'!$C:$C, F17))</f>
        <v>0.84</v>
      </c>
      <c r="K17" s="75">
        <f>IF(OR($G$3="", SUMIFS('HISTÓRICO GERAL'!$H:$H, 'HISTÓRICO GERAL'!$A:$A, $G$3, 'HISTÓRICO GERAL'!$C:$C, F17)=0), "-", SUMIFS('HISTÓRICO GERAL'!$H:$H, 'HISTÓRICO GERAL'!$A:$A, $G$3, 'HISTÓRICO GERAL'!$C:$C, F17))</f>
        <v>450</v>
      </c>
      <c r="L17" s="75" t="str">
        <f>IF(OR(K17="", K17="-"), "-", IF(K17 &gt;= MAX(100, ROUND(VLOOKUP($G$3, Cadastro_Lote!$A:$F, 6, FALSE)*0.01, 0)), "CONFORME", "AMOSTRA BAIXA"))</f>
        <v>CONFORME</v>
      </c>
      <c r="M17" s="28"/>
      <c r="N17" s="28"/>
      <c r="O17" s="25"/>
      <c r="P17" s="26"/>
      <c r="Q17" s="27"/>
    </row>
    <row r="18" spans="6:17" x14ac:dyDescent="0.2">
      <c r="F18" s="72">
        <v>98</v>
      </c>
      <c r="G18" s="73">
        <f>IF(OR($G$3="", F18=""), "", IF(SUMIFS('HISTÓRICO GERAL'!$E:$E, 'HISTÓRICO GERAL'!$A:$A, $G$3, 'HISTÓRICO GERAL'!$C:$C, F18)=0, "-", SUMIFS('HISTÓRICO GERAL'!$E:$E, 'HISTÓRICO GERAL'!$A:$A, $G$3, 'HISTÓRICO GERAL'!$C:$C, F18)))</f>
        <v>1198</v>
      </c>
      <c r="H18" s="73">
        <f>IF(OR($H$3="", F18=""), "", IF(SUMIFS(Manual_Linhagens!$E:$E, Manual_Linhagens!$C:$C, $H$3, Manual_Linhagens!$D:$D, F18)=0, "-", SUMIFS(Manual_Linhagens!$E:$E, Manual_Linhagens!$C:$C, $H$3, Manual_Linhagens!$D:$D, F18)))</f>
        <v>1222</v>
      </c>
      <c r="I18" s="73" t="str" cm="1">
        <f t="array" ref="I18">IFERROR(_xlfn.XLOOKUP(1, (tbl_fase[Categoria]=VLOOKUP($G$3, Cadastro_Lote!$A:$B, 2, FALSE)) * (F18&gt;=tbl_fase[Idade Inicial]) * (F18&lt;=tbl_fase[Idade Final]), tbl_fase[Fase de Criação], "-"), "-")</f>
        <v>Maturidade</v>
      </c>
      <c r="J18" s="74">
        <f>IF(OR($G$3="", SUMIFS('HISTÓRICO GERAL'!$F:$F, 'HISTÓRICO GERAL'!$A:$A, $G$3, 'HISTÓRICO GERAL'!$C:$C, F18)=0), "-", SUMIFS('HISTÓRICO GERAL'!$F:$F, 'HISTÓRICO GERAL'!$A:$A, $G$3, 'HISTÓRICO GERAL'!$C:$C, F18))</f>
        <v>0.85</v>
      </c>
      <c r="K18" s="75">
        <f>IF(OR($G$3="", SUMIFS('HISTÓRICO GERAL'!$H:$H, 'HISTÓRICO GERAL'!$A:$A, $G$3, 'HISTÓRICO GERAL'!$C:$C, F18)=0), "-", SUMIFS('HISTÓRICO GERAL'!$H:$H, 'HISTÓRICO GERAL'!$A:$A, $G$3, 'HISTÓRICO GERAL'!$C:$C, F18))</f>
        <v>450</v>
      </c>
      <c r="L18" s="75" t="str">
        <f>IF(OR(K18="", K18="-"), "-", IF(K18 &gt;= MAX(100, ROUND(VLOOKUP($G$3, Cadastro_Lote!$A:$F, 6, FALSE)*0.01, 0)), "CONFORME", "AMOSTRA BAIXA"))</f>
        <v>CONFORME</v>
      </c>
      <c r="M18" s="28"/>
      <c r="N18" s="28"/>
      <c r="O18" s="25"/>
      <c r="P18" s="26"/>
      <c r="Q18" s="27"/>
    </row>
    <row r="19" spans="6:17" x14ac:dyDescent="0.2">
      <c r="F19" s="72">
        <v>105</v>
      </c>
      <c r="G19" s="73">
        <f>IF(OR($G$3="", F19=""), "", IF(SUMIFS('HISTÓRICO GERAL'!$E:$E, 'HISTÓRICO GERAL'!$A:$A, $G$3, 'HISTÓRICO GERAL'!$C:$C, F19)=0, "-", SUMIFS('HISTÓRICO GERAL'!$E:$E, 'HISTÓRICO GERAL'!$A:$A, $G$3, 'HISTÓRICO GERAL'!$C:$C, F19)))</f>
        <v>1282.5</v>
      </c>
      <c r="H19" s="73">
        <f>IF(OR($H$3="", F19=""), "", IF(SUMIFS(Manual_Linhagens!$E:$E, Manual_Linhagens!$C:$C, $H$3, Manual_Linhagens!$D:$D, F19)=0, "-", SUMIFS(Manual_Linhagens!$E:$E, Manual_Linhagens!$C:$C, $H$3, Manual_Linhagens!$D:$D, F19)))</f>
        <v>1305</v>
      </c>
      <c r="I19" s="73" t="str" cm="1">
        <f t="array" ref="I19">IFERROR(_xlfn.XLOOKUP(1, (tbl_fase[Categoria]=VLOOKUP($G$3, Cadastro_Lote!$A:$B, 2, FALSE)) * (F19&gt;=tbl_fase[Idade Inicial]) * (F19&lt;=tbl_fase[Idade Final]), tbl_fase[Fase de Criação], "-"), "-")</f>
        <v>Maturidade</v>
      </c>
      <c r="J19" s="74">
        <f>IF(OR($G$3="", SUMIFS('HISTÓRICO GERAL'!$F:$F, 'HISTÓRICO GERAL'!$A:$A, $G$3, 'HISTÓRICO GERAL'!$C:$C, F19)=0), "-", SUMIFS('HISTÓRICO GERAL'!$F:$F, 'HISTÓRICO GERAL'!$A:$A, $G$3, 'HISTÓRICO GERAL'!$C:$C, F19))</f>
        <v>0.85</v>
      </c>
      <c r="K19" s="75">
        <f>IF(OR($G$3="", SUMIFS('HISTÓRICO GERAL'!$H:$H, 'HISTÓRICO GERAL'!$A:$A, $G$3, 'HISTÓRICO GERAL'!$C:$C, F19)=0), "-", SUMIFS('HISTÓRICO GERAL'!$H:$H, 'HISTÓRICO GERAL'!$A:$A, $G$3, 'HISTÓRICO GERAL'!$C:$C, F19))</f>
        <v>450</v>
      </c>
      <c r="L19" s="75" t="str">
        <f>IF(OR(K19="", K19="-"), "-", IF(K19 &gt;= MAX(100, ROUND(VLOOKUP($G$3, Cadastro_Lote!$A:$F, 6, FALSE)*0.01, 0)), "CONFORME", "AMOSTRA BAIXA"))</f>
        <v>CONFORME</v>
      </c>
      <c r="M19" s="28"/>
      <c r="N19" s="28"/>
      <c r="O19" s="25"/>
      <c r="P19" s="26"/>
      <c r="Q19" s="27"/>
    </row>
    <row r="20" spans="6:17" x14ac:dyDescent="0.2">
      <c r="F20" s="72">
        <v>112</v>
      </c>
      <c r="G20" s="73">
        <f>IF(OR($G$3="", F20=""), "", IF(SUMIFS('HISTÓRICO GERAL'!$E:$E, 'HISTÓRICO GERAL'!$A:$A, $G$3, 'HISTÓRICO GERAL'!$C:$C, F20)=0, "-", SUMIFS('HISTÓRICO GERAL'!$E:$E, 'HISTÓRICO GERAL'!$A:$A, $G$3, 'HISTÓRICO GERAL'!$C:$C, F20)))</f>
        <v>1365</v>
      </c>
      <c r="H20" s="73">
        <f>IF(OR($H$3="", F20=""), "", IF(SUMIFS(Manual_Linhagens!$E:$E, Manual_Linhagens!$C:$C, $H$3, Manual_Linhagens!$D:$D, F20)=0, "-", SUMIFS(Manual_Linhagens!$E:$E, Manual_Linhagens!$C:$C, $H$3, Manual_Linhagens!$D:$D, F20)))</f>
        <v>1388</v>
      </c>
      <c r="I20" s="73" t="str" cm="1">
        <f t="array" ref="I20">IFERROR(_xlfn.XLOOKUP(1, (tbl_fase[Categoria]=VLOOKUP($G$3, Cadastro_Lote!$A:$B, 2, FALSE)) * (F20&gt;=tbl_fase[Idade Inicial]) * (F20&lt;=tbl_fase[Idade Final]), tbl_fase[Fase de Criação], "-"), "-")</f>
        <v>Maturidade</v>
      </c>
      <c r="J20" s="74">
        <f>IF(OR($G$3="", SUMIFS('HISTÓRICO GERAL'!$F:$F, 'HISTÓRICO GERAL'!$A:$A, $G$3, 'HISTÓRICO GERAL'!$C:$C, F20)=0), "-", SUMIFS('HISTÓRICO GERAL'!$F:$F, 'HISTÓRICO GERAL'!$A:$A, $G$3, 'HISTÓRICO GERAL'!$C:$C, F20))</f>
        <v>0.86</v>
      </c>
      <c r="K20" s="75">
        <f>IF(OR($G$3="", SUMIFS('HISTÓRICO GERAL'!$H:$H, 'HISTÓRICO GERAL'!$A:$A, $G$3, 'HISTÓRICO GERAL'!$C:$C, F20)=0), "-", SUMIFS('HISTÓRICO GERAL'!$H:$H, 'HISTÓRICO GERAL'!$A:$A, $G$3, 'HISTÓRICO GERAL'!$C:$C, F20))</f>
        <v>450</v>
      </c>
      <c r="L20" s="75" t="str">
        <f>IF(OR(K20="", K20="-"), "-", IF(K20 &gt;= MAX(100, ROUND(VLOOKUP($G$3, Cadastro_Lote!$A:$F, 6, FALSE)*0.01, 0)), "CONFORME", "AMOSTRA BAIXA"))</f>
        <v>CONFORME</v>
      </c>
      <c r="M20" s="28"/>
      <c r="N20" s="28"/>
      <c r="O20" s="25"/>
      <c r="P20" s="26"/>
      <c r="Q20" s="27"/>
    </row>
    <row r="21" spans="6:17" x14ac:dyDescent="0.2">
      <c r="F21" s="72">
        <v>119</v>
      </c>
      <c r="G21" s="73">
        <f>IF(OR($G$3="", F21=""), "", IF(SUMIFS('HISTÓRICO GERAL'!$E:$E, 'HISTÓRICO GERAL'!$A:$A, $G$3, 'HISTÓRICO GERAL'!$C:$C, F21)=0, "-", SUMIFS('HISTÓRICO GERAL'!$E:$E, 'HISTÓRICO GERAL'!$A:$A, $G$3, 'HISTÓRICO GERAL'!$C:$C, F21)))</f>
        <v>1448.2</v>
      </c>
      <c r="H21" s="73">
        <f>IF(OR($H$3="", F21=""), "", IF(SUMIFS(Manual_Linhagens!$E:$E, Manual_Linhagens!$C:$C, $H$3, Manual_Linhagens!$D:$D, F21)=0, "-", SUMIFS(Manual_Linhagens!$E:$E, Manual_Linhagens!$C:$C, $H$3, Manual_Linhagens!$D:$D, F21)))</f>
        <v>1470</v>
      </c>
      <c r="I21" s="73" t="str" cm="1">
        <f t="array" ref="I21">IFERROR(_xlfn.XLOOKUP(1, (tbl_fase[Categoria]=VLOOKUP($G$3, Cadastro_Lote!$A:$B, 2, FALSE)) * (F21&gt;=tbl_fase[Idade Inicial]) * (F21&lt;=tbl_fase[Idade Final]), tbl_fase[Fase de Criação], "-"), "-")</f>
        <v>Pré Postura</v>
      </c>
      <c r="J21" s="74">
        <f>IF(OR($G$3="", SUMIFS('HISTÓRICO GERAL'!$F:$F, 'HISTÓRICO GERAL'!$A:$A, $G$3, 'HISTÓRICO GERAL'!$C:$C, F21)=0), "-", SUMIFS('HISTÓRICO GERAL'!$F:$F, 'HISTÓRICO GERAL'!$A:$A, $G$3, 'HISTÓRICO GERAL'!$C:$C, F21))</f>
        <v>0.86</v>
      </c>
      <c r="K21" s="75">
        <f>IF(OR($G$3="", SUMIFS('HISTÓRICO GERAL'!$H:$H, 'HISTÓRICO GERAL'!$A:$A, $G$3, 'HISTÓRICO GERAL'!$C:$C, F21)=0), "-", SUMIFS('HISTÓRICO GERAL'!$H:$H, 'HISTÓRICO GERAL'!$A:$A, $G$3, 'HISTÓRICO GERAL'!$C:$C, F21))</f>
        <v>450</v>
      </c>
      <c r="L21" s="75" t="str">
        <f>IF(OR(K21="", K21="-"), "-", IF(K21 &gt;= MAX(100, ROUND(VLOOKUP($G$3, Cadastro_Lote!$A:$F, 6, FALSE)*0.01, 0)), "CONFORME", "AMOSTRA BAIXA"))</f>
        <v>CONFORME</v>
      </c>
    </row>
    <row r="22" spans="6:17" x14ac:dyDescent="0.2">
      <c r="F22" s="72">
        <v>126</v>
      </c>
      <c r="G22" s="73">
        <f>IF(OR($G$3="", F22=""), "", IF(SUMIFS('HISTÓRICO GERAL'!$E:$E, 'HISTÓRICO GERAL'!$A:$A, $G$3, 'HISTÓRICO GERAL'!$C:$C, F22)=0, "-", SUMIFS('HISTÓRICO GERAL'!$E:$E, 'HISTÓRICO GERAL'!$A:$A, $G$3, 'HISTÓRICO GERAL'!$C:$C, F22)))</f>
        <v>1520</v>
      </c>
      <c r="H22" s="73">
        <f>IF(OR($H$3="", F22=""), "", IF(SUMIFS(Manual_Linhagens!$E:$E, Manual_Linhagens!$C:$C, $H$3, Manual_Linhagens!$D:$D, F22)=0, "-", SUMIFS(Manual_Linhagens!$E:$E, Manual_Linhagens!$C:$C, $H$3, Manual_Linhagens!$D:$D, F22)))</f>
        <v>1500</v>
      </c>
      <c r="I22" s="73" t="str" cm="1">
        <f t="array" ref="I22">IFERROR(_xlfn.XLOOKUP(1, (tbl_fase[Categoria]=VLOOKUP($G$3, Cadastro_Lote!$A:$B, 2, FALSE)) * (F22&gt;=tbl_fase[Idade Inicial]) * (F22&lt;=tbl_fase[Idade Final]), tbl_fase[Fase de Criação], "-"), "-")</f>
        <v>Pré Postura</v>
      </c>
      <c r="J22" s="74">
        <f>IF(OR($G$3="", SUMIFS('HISTÓRICO GERAL'!$F:$F, 'HISTÓRICO GERAL'!$A:$A, $G$3, 'HISTÓRICO GERAL'!$C:$C, F22)=0), "-", SUMIFS('HISTÓRICO GERAL'!$F:$F, 'HISTÓRICO GERAL'!$A:$A, $G$3, 'HISTÓRICO GERAL'!$C:$C, F22))</f>
        <v>0.86</v>
      </c>
      <c r="K22" s="75">
        <f>IF(OR($G$3="", SUMIFS('HISTÓRICO GERAL'!$H:$H, 'HISTÓRICO GERAL'!$A:$A, $G$3, 'HISTÓRICO GERAL'!$C:$C, F22)=0), "-", SUMIFS('HISTÓRICO GERAL'!$H:$H, 'HISTÓRICO GERAL'!$A:$A, $G$3, 'HISTÓRICO GERAL'!$C:$C, F22))</f>
        <v>450</v>
      </c>
      <c r="L22" s="75" t="str">
        <f>IF(OR(K22="", K22="-"), "-", IF(K22 &gt;= MAX(100, ROUND(VLOOKUP($G$3, Cadastro_Lote!$A:$F, 6, FALSE)*0.01, 0)), "CONFORME", "AMOSTRA BAIXA"))</f>
        <v>CONFORME</v>
      </c>
    </row>
    <row r="23" spans="6:17" x14ac:dyDescent="0.2">
      <c r="F23" s="72">
        <v>133</v>
      </c>
      <c r="G23" s="73">
        <f>IF(OR($G$3="", F23=""), "", IF(SUMIFS('HISTÓRICO GERAL'!$E:$E, 'HISTÓRICO GERAL'!$A:$A, $G$3, 'HISTÓRICO GERAL'!$C:$C, F23)=0, "-", SUMIFS('HISTÓRICO GERAL'!$E:$E, 'HISTÓRICO GERAL'!$A:$A, $G$3, 'HISTÓRICO GERAL'!$C:$C, F23)))</f>
        <v>1590.4</v>
      </c>
      <c r="H23" s="73">
        <f>IF(OR($H$3="", F23=""), "", IF(SUMIFS(Manual_Linhagens!$E:$E, Manual_Linhagens!$C:$C, $H$3, Manual_Linhagens!$D:$D, F23)=0, "-", SUMIFS(Manual_Linhagens!$E:$E, Manual_Linhagens!$C:$C, $H$3, Manual_Linhagens!$D:$D, F23)))</f>
        <v>1580</v>
      </c>
      <c r="I23" s="73" t="str" cm="1">
        <f t="array" ref="I23">IFERROR(_xlfn.XLOOKUP(1, (tbl_fase[Categoria]=VLOOKUP($G$3, Cadastro_Lote!$A:$B, 2, FALSE)) * (F23&gt;=tbl_fase[Idade Inicial]) * (F23&lt;=tbl_fase[Idade Final]), tbl_fase[Fase de Criação], "-"), "-")</f>
        <v>Pré Postura</v>
      </c>
      <c r="J23" s="74">
        <f>IF(OR($G$3="", SUMIFS('HISTÓRICO GERAL'!$F:$F, 'HISTÓRICO GERAL'!$A:$A, $G$3, 'HISTÓRICO GERAL'!$C:$C, F23)=0), "-", SUMIFS('HISTÓRICO GERAL'!$F:$F, 'HISTÓRICO GERAL'!$A:$A, $G$3, 'HISTÓRICO GERAL'!$C:$C, F23))</f>
        <v>0.87</v>
      </c>
      <c r="K23" s="75">
        <f>IF(OR($G$3="", SUMIFS('HISTÓRICO GERAL'!$H:$H, 'HISTÓRICO GERAL'!$A:$A, $G$3, 'HISTÓRICO GERAL'!$C:$C, F23)=0), "-", SUMIFS('HISTÓRICO GERAL'!$H:$H, 'HISTÓRICO GERAL'!$A:$A, $G$3, 'HISTÓRICO GERAL'!$C:$C, F23))</f>
        <v>450</v>
      </c>
      <c r="L23" s="75" t="str">
        <f>IF(OR(K23="", K23="-"), "-", IF(K23 &gt;= MAX(100, ROUND(VLOOKUP($G$3, Cadastro_Lote!$A:$F, 6, FALSE)*0.01, 0)), "CONFORME", "AMOSTRA BAIXA"))</f>
        <v>CONFORME</v>
      </c>
    </row>
    <row r="24" spans="6:17" x14ac:dyDescent="0.2">
      <c r="F24" s="72">
        <v>140</v>
      </c>
      <c r="G24" s="73">
        <f>IF(OR($G$3="", F24=""), "", IF(SUMIFS('HISTÓRICO GERAL'!$E:$E, 'HISTÓRICO GERAL'!$A:$A, $G$3, 'HISTÓRICO GERAL'!$C:$C, F24)=0, "-", SUMIFS('HISTÓRICO GERAL'!$E:$E, 'HISTÓRICO GERAL'!$A:$A, $G$3, 'HISTÓRICO GERAL'!$C:$C, F24)))</f>
        <v>1645.8</v>
      </c>
      <c r="H24" s="73">
        <f>IF(OR($H$3="", F24=""), "", IF(SUMIFS(Manual_Linhagens!$E:$E, Manual_Linhagens!$C:$C, $H$3, Manual_Linhagens!$D:$D, F24)=0, "-", SUMIFS(Manual_Linhagens!$E:$E, Manual_Linhagens!$C:$C, $H$3, Manual_Linhagens!$D:$D, F24)))</f>
        <v>1640</v>
      </c>
      <c r="I24" s="73" t="str" cm="1">
        <f t="array" ref="I24">IFERROR(_xlfn.XLOOKUP(1, (tbl_fase[Categoria]=VLOOKUP($G$3, Cadastro_Lote!$A:$B, 2, FALSE)) * (F24&gt;=tbl_fase[Idade Inicial]) * (F24&lt;=tbl_fase[Idade Final]), tbl_fase[Fase de Criação], "-"), "-")</f>
        <v>Postura Pico</v>
      </c>
      <c r="J24" s="74">
        <f>IF(OR($G$3="", SUMIFS('HISTÓRICO GERAL'!$F:$F, 'HISTÓRICO GERAL'!$A:$A, $G$3, 'HISTÓRICO GERAL'!$C:$C, F24)=0), "-", SUMIFS('HISTÓRICO GERAL'!$F:$F, 'HISTÓRICO GERAL'!$A:$A, $G$3, 'HISTÓRICO GERAL'!$C:$C, F24))</f>
        <v>0.87</v>
      </c>
      <c r="K24" s="75">
        <f>IF(OR($G$3="", SUMIFS('HISTÓRICO GERAL'!$H:$H, 'HISTÓRICO GERAL'!$A:$A, $G$3, 'HISTÓRICO GERAL'!$C:$C, F24)=0), "-", SUMIFS('HISTÓRICO GERAL'!$H:$H, 'HISTÓRICO GERAL'!$A:$A, $G$3, 'HISTÓRICO GERAL'!$C:$C, F24))</f>
        <v>450</v>
      </c>
      <c r="L24" s="75" t="str">
        <f>IF(OR(K24="", K24="-"), "-", IF(K24 &gt;= MAX(100, ROUND(VLOOKUP($G$3, Cadastro_Lote!$A:$F, 6, FALSE)*0.01, 0)), "CONFORME", "AMOSTRA BAIXA"))</f>
        <v>CONFORME</v>
      </c>
    </row>
  </sheetData>
  <sheetProtection sheet="1" objects="1" scenarios="1"/>
  <mergeCells count="1">
    <mergeCell ref="B3:C3"/>
  </mergeCells>
  <conditionalFormatting sqref="C12">
    <cfRule type="containsText" dxfId="14" priority="1" operator="containsText" text="CUIDADO!">
      <formula>NOT(ISERROR(SEARCH("CUIDADO!",C12)))</formula>
    </cfRule>
    <cfRule type="containsText" dxfId="13" priority="2" operator="containsText" text="REGULAR">
      <formula>NOT(ISERROR(SEARCH("REGULAR",C12)))</formula>
    </cfRule>
    <cfRule type="containsText" dxfId="12" priority="3" operator="containsText" text="BOA">
      <formula>NOT(ISERROR(SEARCH("BOA",C12)))</formula>
    </cfRule>
    <cfRule type="containsText" dxfId="11" priority="4" operator="containsText" text="ÓTIMA">
      <formula>NOT(ISERROR(SEARCH("ÓTIMA",C12)))</formula>
    </cfRule>
  </conditionalFormatting>
  <dataValidations count="3">
    <dataValidation allowBlank="1" showInputMessage="1" showErrorMessage="1" promptTitle="COEFICIENTE DE VARIAÇÃO (CV%):" prompt="Mede o grau de homogeneidade relativa do lote._x000a_• CV ≤ 8%: Excelente uniformidade._x000a_• CV 8% a 10%: Aceitável / Atenção._x000a_• CV &gt; 10%: Alta desuniformidade (avaliar espaço de comedouros, pressão de água e ventilação)." sqref="C7" xr:uid="{9C293A38-7588-7640-9F19-18A344CAC68D}"/>
    <dataValidation allowBlank="1" showInputMessage="1" showErrorMessage="1" promptTitle="DESVIO PADRÃO AMOSTRAL (s):" prompt="Indica a dispersão absoluta dos pesos em gramas (g) em torno da média calculada._x000a_Quanto menor o desvio padrão, mais próximos da média estão os pesos individuais das aves na amostragem." sqref="C6" xr:uid="{B98E7B40-5968-534E-AF7F-15BA9C6413AE}"/>
    <dataValidation allowBlank="1" showInputMessage="1" showErrorMessage="1" promptTitle="PESO ALVO DE REFERÊNCIA:" prompt="Meta de peso esperada para a idade (dias) segundo o manual oficial da linhagem._x000a_Permite avaliar se o ganho de peso corporal (GPC) está alinhado com o potencial genético do lote." sqref="C11" xr:uid="{6ED16524-D45C-AE4A-9E0A-F98349AA1930}"/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FF2BF9-5505-4C44-A11A-C91C883098E0}">
          <x14:formula1>
            <xm:f>OFFSET(Cadastro_Lote!$A$2, 0, 0, IF(COUNTA(Cadastro_Lote!$A:$A)-1&lt;1, 1, COUNTA(Cadastro_Lote!$A:$A)-1), 1)</xm:f>
          </x14:formula1>
          <xm:sqref>G3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27CC6-D219-4A4E-8027-58D4A637676D}">
  <sheetPr codeName="Planilha7"/>
  <dimension ref="A1:I53"/>
  <sheetViews>
    <sheetView zoomScale="110" zoomScaleNormal="110" workbookViewId="0"/>
  </sheetViews>
  <sheetFormatPr baseColWidth="10" defaultRowHeight="16" x14ac:dyDescent="0.2"/>
  <cols>
    <col min="1" max="1" width="15" style="30" bestFit="1" customWidth="1"/>
    <col min="2" max="2" width="18" style="30" bestFit="1" customWidth="1"/>
    <col min="3" max="3" width="16.83203125" style="30" bestFit="1" customWidth="1"/>
    <col min="4" max="4" width="19.1640625" style="30" bestFit="1" customWidth="1"/>
    <col min="5" max="5" width="20.1640625" style="30" bestFit="1" customWidth="1"/>
    <col min="6" max="6" width="22.1640625" style="30" bestFit="1" customWidth="1"/>
    <col min="7" max="7" width="18.1640625" style="50" customWidth="1"/>
    <col min="8" max="8" width="16" style="30" customWidth="1"/>
    <col min="9" max="9" width="27.5" style="30" bestFit="1" customWidth="1"/>
    <col min="10" max="16384" width="10.83203125" style="30"/>
  </cols>
  <sheetData>
    <row r="1" spans="1:9" x14ac:dyDescent="0.2">
      <c r="A1" s="29" t="s">
        <v>50</v>
      </c>
      <c r="B1" s="29" t="s">
        <v>67</v>
      </c>
      <c r="C1" s="29" t="s">
        <v>61</v>
      </c>
      <c r="D1" s="29" t="s">
        <v>68</v>
      </c>
      <c r="E1" s="29" t="s">
        <v>62</v>
      </c>
      <c r="F1" s="29" t="s">
        <v>63</v>
      </c>
      <c r="G1" s="49" t="s">
        <v>69</v>
      </c>
      <c r="H1" s="29" t="s">
        <v>64</v>
      </c>
      <c r="I1" s="29" t="s">
        <v>65</v>
      </c>
    </row>
    <row r="2" spans="1:9" x14ac:dyDescent="0.2">
      <c r="A2" t="s">
        <v>28</v>
      </c>
      <c r="B2" s="33">
        <v>45884</v>
      </c>
      <c r="C2" s="30">
        <v>7</v>
      </c>
      <c r="D2" s="30" t="s">
        <v>42</v>
      </c>
      <c r="E2" s="30">
        <v>68.400000000000006</v>
      </c>
      <c r="F2" s="34">
        <v>0.88</v>
      </c>
      <c r="G2" s="50">
        <v>5.2</v>
      </c>
      <c r="H2" s="30">
        <v>450</v>
      </c>
      <c r="I2" s="30" t="s">
        <v>118</v>
      </c>
    </row>
    <row r="3" spans="1:9" x14ac:dyDescent="0.2">
      <c r="A3" t="s">
        <v>28</v>
      </c>
      <c r="B3" s="33">
        <v>45891</v>
      </c>
      <c r="C3" s="30">
        <v>14</v>
      </c>
      <c r="D3" s="30" t="s">
        <v>42</v>
      </c>
      <c r="E3" s="30">
        <v>116.2</v>
      </c>
      <c r="F3" s="34">
        <v>0.87</v>
      </c>
      <c r="G3" s="50">
        <v>8.9</v>
      </c>
      <c r="H3" s="30">
        <v>450</v>
      </c>
      <c r="I3" s="30" t="s">
        <v>118</v>
      </c>
    </row>
    <row r="4" spans="1:9" x14ac:dyDescent="0.2">
      <c r="A4" t="s">
        <v>28</v>
      </c>
      <c r="B4" s="33">
        <v>45898</v>
      </c>
      <c r="C4" s="30">
        <v>21</v>
      </c>
      <c r="D4" s="30" t="s">
        <v>42</v>
      </c>
      <c r="E4" s="30">
        <v>186</v>
      </c>
      <c r="F4" s="34">
        <v>0.86</v>
      </c>
      <c r="G4" s="50">
        <v>14.5</v>
      </c>
      <c r="H4" s="30">
        <v>450</v>
      </c>
      <c r="I4" s="30" t="s">
        <v>118</v>
      </c>
    </row>
    <row r="5" spans="1:9" x14ac:dyDescent="0.2">
      <c r="A5" t="s">
        <v>28</v>
      </c>
      <c r="B5" s="33">
        <v>45905</v>
      </c>
      <c r="C5" s="30">
        <v>28</v>
      </c>
      <c r="D5" s="30" t="s">
        <v>42</v>
      </c>
      <c r="E5" s="30">
        <v>279.5</v>
      </c>
      <c r="F5" s="34">
        <v>0.86</v>
      </c>
      <c r="G5" s="50">
        <v>21.8</v>
      </c>
      <c r="H5" s="30">
        <v>450</v>
      </c>
      <c r="I5" s="30" t="s">
        <v>118</v>
      </c>
    </row>
    <row r="6" spans="1:9" x14ac:dyDescent="0.2">
      <c r="A6" t="s">
        <v>28</v>
      </c>
      <c r="B6" s="33">
        <v>45912</v>
      </c>
      <c r="C6" s="30">
        <v>35</v>
      </c>
      <c r="D6" s="30" t="s">
        <v>42</v>
      </c>
      <c r="E6" s="30">
        <v>371</v>
      </c>
      <c r="F6" s="34">
        <v>0.84</v>
      </c>
      <c r="G6" s="50">
        <v>30.5</v>
      </c>
      <c r="H6" s="30">
        <v>450</v>
      </c>
      <c r="I6" s="30" t="s">
        <v>118</v>
      </c>
    </row>
    <row r="7" spans="1:9" x14ac:dyDescent="0.2">
      <c r="A7" t="s">
        <v>28</v>
      </c>
      <c r="B7" s="33">
        <v>45919</v>
      </c>
      <c r="C7" s="30">
        <v>42</v>
      </c>
      <c r="D7" s="30" t="s">
        <v>43</v>
      </c>
      <c r="E7" s="30">
        <v>455.2</v>
      </c>
      <c r="F7" s="34">
        <v>0.76</v>
      </c>
      <c r="G7" s="50">
        <v>48.2</v>
      </c>
      <c r="H7" s="30">
        <v>450</v>
      </c>
      <c r="I7" s="30" t="s">
        <v>118</v>
      </c>
    </row>
    <row r="8" spans="1:9" x14ac:dyDescent="0.2">
      <c r="A8" t="s">
        <v>28</v>
      </c>
      <c r="B8" s="33">
        <v>45926</v>
      </c>
      <c r="C8" s="30">
        <v>49</v>
      </c>
      <c r="D8" s="30" t="s">
        <v>43</v>
      </c>
      <c r="E8" s="30">
        <v>538</v>
      </c>
      <c r="F8" s="34">
        <v>0.71</v>
      </c>
      <c r="G8" s="50">
        <v>62.8</v>
      </c>
      <c r="H8" s="30">
        <v>450</v>
      </c>
      <c r="I8" s="30" t="s">
        <v>118</v>
      </c>
    </row>
    <row r="9" spans="1:9" x14ac:dyDescent="0.2">
      <c r="A9" t="s">
        <v>28</v>
      </c>
      <c r="B9" s="33">
        <v>45933</v>
      </c>
      <c r="C9" s="30">
        <v>56</v>
      </c>
      <c r="D9" s="30" t="s">
        <v>43</v>
      </c>
      <c r="E9" s="30">
        <v>615.4</v>
      </c>
      <c r="F9" s="34">
        <v>0.68</v>
      </c>
      <c r="G9" s="50">
        <v>78.099999999999994</v>
      </c>
      <c r="H9" s="30">
        <v>450</v>
      </c>
      <c r="I9" s="30" t="s">
        <v>118</v>
      </c>
    </row>
    <row r="10" spans="1:9" x14ac:dyDescent="0.2">
      <c r="A10" t="s">
        <v>28</v>
      </c>
      <c r="B10" s="33">
        <v>45940</v>
      </c>
      <c r="C10" s="30">
        <v>63</v>
      </c>
      <c r="D10" s="30" t="s">
        <v>43</v>
      </c>
      <c r="E10" s="30">
        <v>702.1</v>
      </c>
      <c r="F10" s="34">
        <v>0.73</v>
      </c>
      <c r="G10" s="50">
        <v>75.400000000000006</v>
      </c>
      <c r="H10" s="30">
        <v>450</v>
      </c>
      <c r="I10" s="30" t="s">
        <v>118</v>
      </c>
    </row>
    <row r="11" spans="1:9" x14ac:dyDescent="0.2">
      <c r="A11" t="s">
        <v>28</v>
      </c>
      <c r="B11" s="33">
        <v>45947</v>
      </c>
      <c r="C11" s="30">
        <v>70</v>
      </c>
      <c r="D11" s="30" t="s">
        <v>43</v>
      </c>
      <c r="E11" s="30">
        <v>810.5</v>
      </c>
      <c r="F11" s="34">
        <v>0.78</v>
      </c>
      <c r="G11" s="50">
        <v>68</v>
      </c>
      <c r="H11" s="30">
        <v>450</v>
      </c>
      <c r="I11" s="30" t="s">
        <v>118</v>
      </c>
    </row>
    <row r="12" spans="1:9" x14ac:dyDescent="0.2">
      <c r="A12" t="s">
        <v>28</v>
      </c>
      <c r="B12" s="33">
        <v>45954</v>
      </c>
      <c r="C12" s="30">
        <v>77</v>
      </c>
      <c r="D12" s="30" t="s">
        <v>123</v>
      </c>
      <c r="E12" s="30">
        <v>912</v>
      </c>
      <c r="F12" s="34">
        <v>0.81</v>
      </c>
      <c r="G12" s="50">
        <v>65.2</v>
      </c>
      <c r="H12" s="30">
        <v>450</v>
      </c>
      <c r="I12" s="30" t="s">
        <v>118</v>
      </c>
    </row>
    <row r="13" spans="1:9" x14ac:dyDescent="0.2">
      <c r="A13" t="s">
        <v>28</v>
      </c>
      <c r="B13" s="33">
        <v>45961</v>
      </c>
      <c r="C13" s="30">
        <v>84</v>
      </c>
      <c r="D13" s="30" t="s">
        <v>123</v>
      </c>
      <c r="E13" s="30">
        <v>1015.4</v>
      </c>
      <c r="F13" s="34">
        <v>0.83</v>
      </c>
      <c r="G13" s="50">
        <v>64</v>
      </c>
      <c r="H13" s="30">
        <v>450</v>
      </c>
      <c r="I13" s="30" t="s">
        <v>118</v>
      </c>
    </row>
    <row r="14" spans="1:9" x14ac:dyDescent="0.2">
      <c r="A14" t="s">
        <v>28</v>
      </c>
      <c r="B14" s="33">
        <v>45968</v>
      </c>
      <c r="C14" s="30">
        <v>91</v>
      </c>
      <c r="D14" s="30" t="s">
        <v>123</v>
      </c>
      <c r="E14" s="30">
        <v>1110.2</v>
      </c>
      <c r="F14" s="34">
        <v>0.84</v>
      </c>
      <c r="G14" s="50">
        <v>66.3</v>
      </c>
      <c r="H14" s="30">
        <v>450</v>
      </c>
      <c r="I14" s="30" t="s">
        <v>118</v>
      </c>
    </row>
    <row r="15" spans="1:9" x14ac:dyDescent="0.2">
      <c r="A15" t="s">
        <v>28</v>
      </c>
      <c r="B15" s="33">
        <v>45975</v>
      </c>
      <c r="C15" s="30">
        <v>98</v>
      </c>
      <c r="D15" s="30" t="s">
        <v>123</v>
      </c>
      <c r="E15" s="30">
        <v>1198</v>
      </c>
      <c r="F15" s="34">
        <v>0.85</v>
      </c>
      <c r="G15" s="50">
        <v>68.5</v>
      </c>
      <c r="H15" s="30">
        <v>450</v>
      </c>
      <c r="I15" s="30" t="s">
        <v>118</v>
      </c>
    </row>
    <row r="16" spans="1:9" x14ac:dyDescent="0.2">
      <c r="A16" t="s">
        <v>28</v>
      </c>
      <c r="B16" s="33">
        <v>45982</v>
      </c>
      <c r="C16" s="30">
        <v>105</v>
      </c>
      <c r="D16" s="30" t="s">
        <v>123</v>
      </c>
      <c r="E16" s="30">
        <v>1282.5</v>
      </c>
      <c r="F16" s="34">
        <v>0.85</v>
      </c>
      <c r="G16" s="50">
        <v>71.2</v>
      </c>
      <c r="H16" s="30">
        <v>450</v>
      </c>
      <c r="I16" s="30" t="s">
        <v>118</v>
      </c>
    </row>
    <row r="17" spans="1:9" x14ac:dyDescent="0.2">
      <c r="A17" t="s">
        <v>28</v>
      </c>
      <c r="B17" s="33">
        <v>45989</v>
      </c>
      <c r="C17" s="30">
        <v>112</v>
      </c>
      <c r="D17" s="30" t="s">
        <v>124</v>
      </c>
      <c r="E17" s="30">
        <v>1365</v>
      </c>
      <c r="F17" s="34">
        <v>0.86</v>
      </c>
      <c r="G17" s="50">
        <v>73.400000000000006</v>
      </c>
      <c r="H17" s="30">
        <v>450</v>
      </c>
      <c r="I17" s="30" t="s">
        <v>118</v>
      </c>
    </row>
    <row r="18" spans="1:9" x14ac:dyDescent="0.2">
      <c r="A18" t="s">
        <v>28</v>
      </c>
      <c r="B18" s="33">
        <v>45996</v>
      </c>
      <c r="C18" s="30">
        <v>119</v>
      </c>
      <c r="D18" s="30" t="s">
        <v>124</v>
      </c>
      <c r="E18" s="30">
        <v>1448.2</v>
      </c>
      <c r="F18" s="34">
        <v>0.86</v>
      </c>
      <c r="G18" s="50">
        <v>75.8</v>
      </c>
      <c r="H18" s="30">
        <v>450</v>
      </c>
      <c r="I18" s="30" t="s">
        <v>118</v>
      </c>
    </row>
    <row r="19" spans="1:9" x14ac:dyDescent="0.2">
      <c r="A19" t="s">
        <v>28</v>
      </c>
      <c r="B19" s="33">
        <v>46003</v>
      </c>
      <c r="C19" s="30">
        <v>126</v>
      </c>
      <c r="D19" s="30" t="s">
        <v>124</v>
      </c>
      <c r="E19" s="30">
        <v>1520</v>
      </c>
      <c r="F19" s="34">
        <v>0.86</v>
      </c>
      <c r="G19" s="50">
        <v>78</v>
      </c>
      <c r="H19" s="30">
        <v>450</v>
      </c>
      <c r="I19" s="30" t="s">
        <v>118</v>
      </c>
    </row>
    <row r="20" spans="1:9" x14ac:dyDescent="0.2">
      <c r="A20" t="s">
        <v>28</v>
      </c>
      <c r="B20" s="33">
        <v>46010</v>
      </c>
      <c r="C20" s="30">
        <v>133</v>
      </c>
      <c r="D20" s="30" t="s">
        <v>125</v>
      </c>
      <c r="E20" s="30">
        <v>1590.4</v>
      </c>
      <c r="F20" s="34">
        <v>0.87</v>
      </c>
      <c r="G20" s="50">
        <v>79.5</v>
      </c>
      <c r="H20" s="30">
        <v>450</v>
      </c>
      <c r="I20" s="30" t="s">
        <v>118</v>
      </c>
    </row>
    <row r="21" spans="1:9" x14ac:dyDescent="0.2">
      <c r="A21" t="s">
        <v>28</v>
      </c>
      <c r="B21" s="33">
        <v>46017</v>
      </c>
      <c r="C21" s="30">
        <v>140</v>
      </c>
      <c r="D21" s="30" t="s">
        <v>125</v>
      </c>
      <c r="E21" s="30">
        <v>1645.8</v>
      </c>
      <c r="F21" s="34">
        <v>0.87</v>
      </c>
      <c r="G21" s="50">
        <v>81.2</v>
      </c>
      <c r="H21" s="30">
        <v>450</v>
      </c>
      <c r="I21" s="30" t="s">
        <v>118</v>
      </c>
    </row>
    <row r="22" spans="1:9" x14ac:dyDescent="0.2">
      <c r="A22" s="30" t="s">
        <v>121</v>
      </c>
      <c r="B22" s="33">
        <v>45923</v>
      </c>
      <c r="C22" s="30">
        <v>7</v>
      </c>
      <c r="D22" s="30" t="s">
        <v>41</v>
      </c>
      <c r="E22" s="30">
        <v>199.4</v>
      </c>
      <c r="F22" s="34">
        <v>0.89</v>
      </c>
      <c r="G22" s="50">
        <v>14.2</v>
      </c>
      <c r="H22" s="30">
        <v>500</v>
      </c>
      <c r="I22" s="30" t="s">
        <v>118</v>
      </c>
    </row>
    <row r="23" spans="1:9" x14ac:dyDescent="0.2">
      <c r="A23" s="30" t="s">
        <v>121</v>
      </c>
      <c r="B23" s="33">
        <v>45930</v>
      </c>
      <c r="C23" s="30">
        <v>14</v>
      </c>
      <c r="D23" s="30" t="s">
        <v>42</v>
      </c>
      <c r="E23" s="30">
        <v>514.79999999999995</v>
      </c>
      <c r="F23" s="34">
        <v>0.88</v>
      </c>
      <c r="G23" s="50">
        <v>34.6</v>
      </c>
      <c r="H23" s="30">
        <v>500</v>
      </c>
      <c r="I23" s="30" t="s">
        <v>118</v>
      </c>
    </row>
    <row r="24" spans="1:9" x14ac:dyDescent="0.2">
      <c r="A24" s="30" t="s">
        <v>121</v>
      </c>
      <c r="B24" s="33">
        <v>45937</v>
      </c>
      <c r="C24" s="30">
        <v>21</v>
      </c>
      <c r="D24" s="33" t="s">
        <v>43</v>
      </c>
      <c r="E24" s="30">
        <v>1018.2</v>
      </c>
      <c r="F24" s="34">
        <v>0.87</v>
      </c>
      <c r="G24" s="50">
        <v>65</v>
      </c>
      <c r="H24" s="30">
        <v>500</v>
      </c>
      <c r="I24" s="30" t="s">
        <v>118</v>
      </c>
    </row>
    <row r="25" spans="1:9" x14ac:dyDescent="0.2">
      <c r="A25" s="30" t="s">
        <v>121</v>
      </c>
      <c r="B25" s="33">
        <v>45944</v>
      </c>
      <c r="C25" s="30">
        <v>28</v>
      </c>
      <c r="D25" s="33" t="s">
        <v>43</v>
      </c>
      <c r="E25" s="30">
        <v>1684.5</v>
      </c>
      <c r="F25" s="34">
        <v>0.86</v>
      </c>
      <c r="G25" s="50">
        <v>103.1</v>
      </c>
      <c r="H25" s="30">
        <v>500</v>
      </c>
      <c r="I25" s="30" t="s">
        <v>118</v>
      </c>
    </row>
    <row r="26" spans="1:9" x14ac:dyDescent="0.2">
      <c r="A26" s="30" t="s">
        <v>121</v>
      </c>
      <c r="B26" s="33">
        <v>45951</v>
      </c>
      <c r="C26" s="30">
        <v>35</v>
      </c>
      <c r="D26" s="33" t="s">
        <v>43</v>
      </c>
      <c r="E26" s="30">
        <v>2462</v>
      </c>
      <c r="F26" s="34">
        <v>0.86</v>
      </c>
      <c r="G26" s="50">
        <v>145.19999999999999</v>
      </c>
      <c r="H26" s="30">
        <v>500</v>
      </c>
      <c r="I26" s="30" t="s">
        <v>118</v>
      </c>
    </row>
    <row r="27" spans="1:9" x14ac:dyDescent="0.2">
      <c r="A27" s="30" t="s">
        <v>121</v>
      </c>
      <c r="B27" s="33">
        <v>45958</v>
      </c>
      <c r="C27" s="30">
        <v>42</v>
      </c>
      <c r="D27" s="33" t="s">
        <v>45</v>
      </c>
      <c r="E27" s="30">
        <v>3295.4</v>
      </c>
      <c r="F27" s="34">
        <v>0.85</v>
      </c>
      <c r="G27" s="50">
        <v>184.8</v>
      </c>
      <c r="H27" s="30">
        <v>500</v>
      </c>
      <c r="I27" s="30" t="s">
        <v>118</v>
      </c>
    </row>
    <row r="28" spans="1:9" x14ac:dyDescent="0.2">
      <c r="A28" t="s">
        <v>122</v>
      </c>
      <c r="B28" s="33">
        <v>45777</v>
      </c>
      <c r="C28" s="30">
        <v>7</v>
      </c>
      <c r="D28" s="30" t="s">
        <v>41</v>
      </c>
      <c r="E28" s="30">
        <v>195.8</v>
      </c>
      <c r="F28" s="34">
        <v>0.89</v>
      </c>
      <c r="G28" s="50">
        <v>13.8</v>
      </c>
      <c r="H28" s="30">
        <v>690</v>
      </c>
      <c r="I28" s="30" t="s">
        <v>118</v>
      </c>
    </row>
    <row r="29" spans="1:9" x14ac:dyDescent="0.2">
      <c r="A29" t="s">
        <v>122</v>
      </c>
      <c r="B29" s="33">
        <v>45784</v>
      </c>
      <c r="C29" s="30">
        <v>14</v>
      </c>
      <c r="D29" s="30" t="s">
        <v>42</v>
      </c>
      <c r="E29" s="30">
        <v>498.4</v>
      </c>
      <c r="F29" s="34">
        <v>0.88</v>
      </c>
      <c r="G29" s="50">
        <v>33.200000000000003</v>
      </c>
      <c r="H29" s="30">
        <v>690</v>
      </c>
      <c r="I29" s="30" t="s">
        <v>118</v>
      </c>
    </row>
    <row r="30" spans="1:9" x14ac:dyDescent="0.2">
      <c r="A30" t="s">
        <v>122</v>
      </c>
      <c r="B30" s="33">
        <v>45791</v>
      </c>
      <c r="C30" s="30">
        <v>21</v>
      </c>
      <c r="D30" s="30" t="s">
        <v>43</v>
      </c>
      <c r="E30" s="30">
        <v>986.2</v>
      </c>
      <c r="F30" s="34">
        <v>0.87</v>
      </c>
      <c r="G30" s="50">
        <v>62.8</v>
      </c>
      <c r="H30" s="30">
        <v>690</v>
      </c>
      <c r="I30" s="30" t="s">
        <v>118</v>
      </c>
    </row>
    <row r="31" spans="1:9" x14ac:dyDescent="0.2">
      <c r="A31" t="s">
        <v>122</v>
      </c>
      <c r="B31" s="33">
        <v>45798</v>
      </c>
      <c r="C31" s="30">
        <v>28</v>
      </c>
      <c r="D31" s="30" t="s">
        <v>43</v>
      </c>
      <c r="E31" s="30">
        <v>1642</v>
      </c>
      <c r="F31" s="34">
        <v>0.86</v>
      </c>
      <c r="G31" s="50">
        <v>99.5</v>
      </c>
      <c r="H31" s="30">
        <v>690</v>
      </c>
      <c r="I31" s="30" t="s">
        <v>118</v>
      </c>
    </row>
    <row r="32" spans="1:9" x14ac:dyDescent="0.2">
      <c r="A32" t="s">
        <v>122</v>
      </c>
      <c r="B32" s="33">
        <v>45805</v>
      </c>
      <c r="C32" s="30">
        <v>35</v>
      </c>
      <c r="D32" s="30" t="s">
        <v>43</v>
      </c>
      <c r="E32" s="35">
        <v>2410.6</v>
      </c>
      <c r="F32" s="34">
        <v>0.86</v>
      </c>
      <c r="G32" s="50">
        <v>140.19999999999999</v>
      </c>
      <c r="H32" s="36">
        <v>690</v>
      </c>
      <c r="I32" s="30" t="s">
        <v>118</v>
      </c>
    </row>
    <row r="33" spans="1:9" x14ac:dyDescent="0.2">
      <c r="A33" t="s">
        <v>122</v>
      </c>
      <c r="B33" s="33">
        <v>45812</v>
      </c>
      <c r="C33" s="30">
        <v>42</v>
      </c>
      <c r="D33" s="30" t="s">
        <v>45</v>
      </c>
      <c r="E33" s="35">
        <v>3248</v>
      </c>
      <c r="F33" s="34">
        <v>0.85</v>
      </c>
      <c r="G33" s="50">
        <v>180.4</v>
      </c>
      <c r="H33" s="36">
        <v>690</v>
      </c>
      <c r="I33" s="30" t="s">
        <v>118</v>
      </c>
    </row>
    <row r="34" spans="1:9" x14ac:dyDescent="0.2">
      <c r="A34" s="30" t="s">
        <v>119</v>
      </c>
      <c r="B34" s="33">
        <v>45803</v>
      </c>
      <c r="C34" s="30">
        <v>7</v>
      </c>
      <c r="D34" s="30" t="s">
        <v>42</v>
      </c>
      <c r="E34" s="35">
        <v>61.8</v>
      </c>
      <c r="F34" s="34">
        <v>0.88</v>
      </c>
      <c r="G34" s="50">
        <v>4.8</v>
      </c>
      <c r="H34" s="36">
        <v>450</v>
      </c>
      <c r="I34" s="30" t="s">
        <v>118</v>
      </c>
    </row>
    <row r="35" spans="1:9" x14ac:dyDescent="0.2">
      <c r="A35" s="30" t="s">
        <v>119</v>
      </c>
      <c r="B35" s="33">
        <v>45810</v>
      </c>
      <c r="C35" s="30">
        <v>14</v>
      </c>
      <c r="D35" s="30" t="s">
        <v>42</v>
      </c>
      <c r="E35" s="35">
        <v>121.5</v>
      </c>
      <c r="F35" s="34">
        <v>0.88</v>
      </c>
      <c r="G35" s="50">
        <v>8.6</v>
      </c>
      <c r="H35" s="36">
        <v>450</v>
      </c>
      <c r="I35" s="30" t="s">
        <v>118</v>
      </c>
    </row>
    <row r="36" spans="1:9" x14ac:dyDescent="0.2">
      <c r="A36" s="30" t="s">
        <v>119</v>
      </c>
      <c r="B36" s="33">
        <v>45817</v>
      </c>
      <c r="C36" s="30">
        <v>21</v>
      </c>
      <c r="D36" s="30" t="s">
        <v>42</v>
      </c>
      <c r="E36" s="35">
        <v>196.2</v>
      </c>
      <c r="F36" s="34">
        <v>0.87</v>
      </c>
      <c r="G36" s="50">
        <v>13.5</v>
      </c>
      <c r="H36" s="36">
        <v>450</v>
      </c>
      <c r="I36" s="30" t="s">
        <v>118</v>
      </c>
    </row>
    <row r="37" spans="1:9" x14ac:dyDescent="0.2">
      <c r="A37" s="30" t="s">
        <v>119</v>
      </c>
      <c r="B37" s="33">
        <v>45824</v>
      </c>
      <c r="C37" s="30">
        <v>28</v>
      </c>
      <c r="D37" s="30" t="s">
        <v>42</v>
      </c>
      <c r="E37" s="35">
        <v>267</v>
      </c>
      <c r="F37" s="34">
        <v>0.87</v>
      </c>
      <c r="G37" s="50">
        <v>18.2</v>
      </c>
      <c r="H37" s="36">
        <v>450</v>
      </c>
      <c r="I37" s="30" t="s">
        <v>118</v>
      </c>
    </row>
    <row r="38" spans="1:9" x14ac:dyDescent="0.2">
      <c r="A38" s="30" t="s">
        <v>119</v>
      </c>
      <c r="B38" s="52">
        <v>45831</v>
      </c>
      <c r="C38" s="30">
        <v>35</v>
      </c>
      <c r="D38" s="30" t="s">
        <v>43</v>
      </c>
      <c r="E38" s="35">
        <v>342.8</v>
      </c>
      <c r="F38" s="34">
        <v>0.86</v>
      </c>
      <c r="G38" s="50">
        <v>23.8</v>
      </c>
      <c r="H38" s="36">
        <v>450</v>
      </c>
      <c r="I38" s="30" t="s">
        <v>118</v>
      </c>
    </row>
    <row r="39" spans="1:9" x14ac:dyDescent="0.2">
      <c r="A39" s="30" t="s">
        <v>119</v>
      </c>
      <c r="B39" s="52">
        <v>45838</v>
      </c>
      <c r="C39" s="30">
        <v>42</v>
      </c>
      <c r="D39" s="30" t="s">
        <v>43</v>
      </c>
      <c r="E39" s="35">
        <v>423.1</v>
      </c>
      <c r="F39" s="34">
        <v>0.86</v>
      </c>
      <c r="G39" s="50">
        <v>28.9</v>
      </c>
      <c r="H39" s="36">
        <v>450</v>
      </c>
      <c r="I39" s="30" t="s">
        <v>118</v>
      </c>
    </row>
    <row r="40" spans="1:9" x14ac:dyDescent="0.2">
      <c r="A40" s="30" t="s">
        <v>119</v>
      </c>
      <c r="B40" s="52">
        <v>45845</v>
      </c>
      <c r="C40" s="30">
        <v>49</v>
      </c>
      <c r="D40" s="30" t="s">
        <v>43</v>
      </c>
      <c r="E40" s="35">
        <v>503.5</v>
      </c>
      <c r="F40" s="34">
        <v>0.86</v>
      </c>
      <c r="G40" s="50">
        <v>34</v>
      </c>
      <c r="H40" s="36">
        <v>450</v>
      </c>
      <c r="I40" s="30" t="s">
        <v>118</v>
      </c>
    </row>
    <row r="41" spans="1:9" x14ac:dyDescent="0.2">
      <c r="A41" s="30" t="s">
        <v>119</v>
      </c>
      <c r="B41" s="52">
        <v>45852</v>
      </c>
      <c r="C41" s="30">
        <v>56</v>
      </c>
      <c r="D41" s="30" t="s">
        <v>43</v>
      </c>
      <c r="E41" s="35">
        <v>582</v>
      </c>
      <c r="F41" s="34">
        <v>0.85</v>
      </c>
      <c r="G41" s="50">
        <v>38.700000000000003</v>
      </c>
      <c r="H41" s="36">
        <v>450</v>
      </c>
      <c r="I41" s="30" t="s">
        <v>118</v>
      </c>
    </row>
    <row r="42" spans="1:9" x14ac:dyDescent="0.2">
      <c r="A42" s="30" t="s">
        <v>119</v>
      </c>
      <c r="B42" s="52">
        <v>45859</v>
      </c>
      <c r="C42" s="30">
        <v>63</v>
      </c>
      <c r="D42" s="30" t="s">
        <v>43</v>
      </c>
      <c r="E42" s="35">
        <v>663.4</v>
      </c>
      <c r="F42" s="34">
        <v>0.85</v>
      </c>
      <c r="G42" s="50">
        <v>43.5</v>
      </c>
      <c r="H42" s="36">
        <v>450</v>
      </c>
      <c r="I42" s="30" t="s">
        <v>118</v>
      </c>
    </row>
    <row r="43" spans="1:9" x14ac:dyDescent="0.2">
      <c r="A43" s="30" t="s">
        <v>119</v>
      </c>
      <c r="B43" s="52">
        <v>45866</v>
      </c>
      <c r="C43" s="30">
        <v>70</v>
      </c>
      <c r="D43" s="30" t="s">
        <v>43</v>
      </c>
      <c r="E43" s="35">
        <v>742.9</v>
      </c>
      <c r="F43" s="34">
        <v>0.85</v>
      </c>
      <c r="G43" s="50">
        <v>47.8</v>
      </c>
      <c r="H43" s="36">
        <v>450</v>
      </c>
      <c r="I43" s="30" t="s">
        <v>118</v>
      </c>
    </row>
    <row r="44" spans="1:9" x14ac:dyDescent="0.2">
      <c r="A44" s="30" t="s">
        <v>119</v>
      </c>
      <c r="B44" s="52">
        <v>45873</v>
      </c>
      <c r="C44" s="30">
        <v>77</v>
      </c>
      <c r="D44" s="30" t="s">
        <v>123</v>
      </c>
      <c r="E44" s="35">
        <v>822.1</v>
      </c>
      <c r="F44" s="34">
        <v>0.85</v>
      </c>
      <c r="G44" s="50">
        <v>51.5</v>
      </c>
      <c r="H44" s="36">
        <v>450</v>
      </c>
      <c r="I44" s="30" t="s">
        <v>118</v>
      </c>
    </row>
    <row r="45" spans="1:9" x14ac:dyDescent="0.2">
      <c r="A45" s="30" t="s">
        <v>119</v>
      </c>
      <c r="B45" s="52">
        <v>45880</v>
      </c>
      <c r="C45" s="30">
        <v>84</v>
      </c>
      <c r="D45" s="30" t="s">
        <v>123</v>
      </c>
      <c r="E45" s="35">
        <v>897.2</v>
      </c>
      <c r="F45" s="34">
        <v>0.86</v>
      </c>
      <c r="G45" s="50">
        <v>54.2</v>
      </c>
      <c r="H45" s="36">
        <v>450</v>
      </c>
      <c r="I45" s="30" t="s">
        <v>118</v>
      </c>
    </row>
    <row r="46" spans="1:9" x14ac:dyDescent="0.2">
      <c r="A46" s="30" t="s">
        <v>119</v>
      </c>
      <c r="B46" s="52">
        <v>45887</v>
      </c>
      <c r="C46" s="30">
        <v>91</v>
      </c>
      <c r="D46" s="30" t="s">
        <v>123</v>
      </c>
      <c r="E46" s="35">
        <v>968</v>
      </c>
      <c r="F46" s="34">
        <v>0.86</v>
      </c>
      <c r="G46" s="50">
        <v>57.3</v>
      </c>
      <c r="H46" s="36">
        <v>450</v>
      </c>
      <c r="I46" s="30" t="s">
        <v>118</v>
      </c>
    </row>
    <row r="47" spans="1:9" x14ac:dyDescent="0.2">
      <c r="A47" s="30" t="s">
        <v>119</v>
      </c>
      <c r="B47" s="52">
        <v>45894</v>
      </c>
      <c r="C47" s="30">
        <v>98</v>
      </c>
      <c r="D47" s="30" t="s">
        <v>123</v>
      </c>
      <c r="E47" s="35">
        <v>1032.5999999999999</v>
      </c>
      <c r="F47" s="34">
        <v>0.86</v>
      </c>
      <c r="G47" s="50">
        <v>59.8</v>
      </c>
      <c r="H47" s="36">
        <v>450</v>
      </c>
      <c r="I47" s="30" t="s">
        <v>118</v>
      </c>
    </row>
    <row r="48" spans="1:9" x14ac:dyDescent="0.2">
      <c r="A48" s="30" t="s">
        <v>119</v>
      </c>
      <c r="B48" s="52">
        <v>45901</v>
      </c>
      <c r="C48" s="30">
        <v>105</v>
      </c>
      <c r="D48" s="30" t="s">
        <v>123</v>
      </c>
      <c r="E48" s="35">
        <v>1096.5</v>
      </c>
      <c r="F48" s="34">
        <v>0.86</v>
      </c>
      <c r="G48" s="50">
        <v>62</v>
      </c>
      <c r="H48" s="36">
        <v>450</v>
      </c>
      <c r="I48" s="30" t="s">
        <v>118</v>
      </c>
    </row>
    <row r="49" spans="1:9" x14ac:dyDescent="0.2">
      <c r="A49" s="30" t="s">
        <v>119</v>
      </c>
      <c r="B49" s="52">
        <v>45908</v>
      </c>
      <c r="C49" s="30">
        <v>112</v>
      </c>
      <c r="D49" s="30" t="s">
        <v>123</v>
      </c>
      <c r="E49" s="35">
        <v>1152.4000000000001</v>
      </c>
      <c r="F49" s="34">
        <v>0.86</v>
      </c>
      <c r="G49" s="50">
        <v>64.099999999999994</v>
      </c>
      <c r="H49" s="36">
        <v>450</v>
      </c>
      <c r="I49" s="30" t="s">
        <v>118</v>
      </c>
    </row>
    <row r="50" spans="1:9" x14ac:dyDescent="0.2">
      <c r="A50" s="30" t="s">
        <v>119</v>
      </c>
      <c r="B50" s="52">
        <v>45915</v>
      </c>
      <c r="C50" s="30">
        <v>119</v>
      </c>
      <c r="D50" s="30" t="s">
        <v>124</v>
      </c>
      <c r="E50" s="35">
        <v>1204.8</v>
      </c>
      <c r="F50" s="34">
        <v>0.86</v>
      </c>
      <c r="G50" s="50">
        <v>66.400000000000006</v>
      </c>
      <c r="H50" s="36">
        <v>450</v>
      </c>
      <c r="I50" s="30" t="s">
        <v>118</v>
      </c>
    </row>
    <row r="51" spans="1:9" x14ac:dyDescent="0.2">
      <c r="A51" s="30" t="s">
        <v>119</v>
      </c>
      <c r="B51" s="52">
        <v>45922</v>
      </c>
      <c r="C51" s="30">
        <v>126</v>
      </c>
      <c r="D51" s="30" t="s">
        <v>124</v>
      </c>
      <c r="E51" s="35">
        <v>1253</v>
      </c>
      <c r="F51" s="34">
        <v>0.87</v>
      </c>
      <c r="G51" s="50">
        <v>68.5</v>
      </c>
      <c r="H51" s="36">
        <v>450</v>
      </c>
      <c r="I51" s="30" t="s">
        <v>118</v>
      </c>
    </row>
    <row r="52" spans="1:9" x14ac:dyDescent="0.2">
      <c r="A52" s="30" t="s">
        <v>119</v>
      </c>
      <c r="B52" s="52">
        <v>45929</v>
      </c>
      <c r="C52" s="30">
        <v>133</v>
      </c>
      <c r="D52" s="30" t="s">
        <v>125</v>
      </c>
      <c r="E52" s="35">
        <v>1308.5</v>
      </c>
      <c r="F52" s="34">
        <v>0.87</v>
      </c>
      <c r="G52" s="50">
        <v>70.2</v>
      </c>
      <c r="H52" s="36">
        <v>450</v>
      </c>
      <c r="I52" s="30" t="s">
        <v>118</v>
      </c>
    </row>
    <row r="53" spans="1:9" x14ac:dyDescent="0.2">
      <c r="A53" s="30" t="s">
        <v>119</v>
      </c>
      <c r="B53" s="52">
        <v>45936</v>
      </c>
      <c r="C53" s="30">
        <v>140</v>
      </c>
      <c r="D53" s="30" t="s">
        <v>125</v>
      </c>
      <c r="E53" s="35">
        <v>1372.8</v>
      </c>
      <c r="F53" s="34">
        <v>0.87</v>
      </c>
      <c r="G53" s="50">
        <v>72</v>
      </c>
      <c r="H53" s="36">
        <v>450</v>
      </c>
      <c r="I53" s="30" t="s">
        <v>118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0D26D-885E-9B40-8233-7C9BBBA8344B}">
  <sheetPr codeName="Planilha10">
    <tabColor theme="5" tint="0.39997558519241921"/>
  </sheetPr>
  <dimension ref="B2:G17"/>
  <sheetViews>
    <sheetView showGridLines="0" workbookViewId="0">
      <selection activeCell="L11" sqref="L11"/>
    </sheetView>
  </sheetViews>
  <sheetFormatPr baseColWidth="10" defaultRowHeight="16" x14ac:dyDescent="0.2"/>
  <cols>
    <col min="1" max="1" width="4.83203125" style="37" customWidth="1"/>
    <col min="2" max="2" width="6.83203125" style="37" customWidth="1"/>
    <col min="3" max="3" width="32.83203125" style="37" customWidth="1"/>
    <col min="4" max="4" width="16.83203125" style="37" customWidth="1"/>
    <col min="5" max="5" width="6.83203125" style="37" customWidth="1"/>
    <col min="6" max="7" width="26.83203125" style="37" customWidth="1"/>
    <col min="8" max="8" width="4.83203125" style="37" customWidth="1"/>
    <col min="9" max="16384" width="10.83203125" style="37"/>
  </cols>
  <sheetData>
    <row r="2" spans="2:7" ht="25" customHeight="1" x14ac:dyDescent="0.2">
      <c r="B2" s="101" t="s">
        <v>104</v>
      </c>
      <c r="C2" s="101"/>
      <c r="D2" s="101"/>
      <c r="E2" s="101"/>
      <c r="F2" s="101"/>
      <c r="G2" s="101"/>
    </row>
    <row r="3" spans="2:7" ht="25" customHeight="1" x14ac:dyDescent="0.2">
      <c r="B3" s="101"/>
      <c r="C3" s="101"/>
      <c r="D3" s="101"/>
      <c r="E3" s="101"/>
      <c r="F3" s="101"/>
      <c r="G3" s="101"/>
    </row>
    <row r="4" spans="2:7" ht="22" customHeight="1" x14ac:dyDescent="0.2">
      <c r="B4" s="102" t="s">
        <v>94</v>
      </c>
      <c r="C4" s="103"/>
      <c r="D4" s="103"/>
      <c r="E4" s="103"/>
      <c r="F4" s="103"/>
      <c r="G4" s="104"/>
    </row>
    <row r="5" spans="2:7" ht="15" customHeight="1" x14ac:dyDescent="0.2"/>
    <row r="6" spans="2:7" ht="26" customHeight="1" x14ac:dyDescent="0.2">
      <c r="B6" s="105" t="s">
        <v>103</v>
      </c>
      <c r="C6" s="105"/>
      <c r="D6" s="105"/>
      <c r="F6" s="105" t="s">
        <v>105</v>
      </c>
      <c r="G6" s="105"/>
    </row>
    <row r="7" spans="2:7" ht="24" customHeight="1" x14ac:dyDescent="0.2">
      <c r="B7" s="53" t="s">
        <v>106</v>
      </c>
      <c r="C7" s="40" t="s">
        <v>95</v>
      </c>
      <c r="D7" s="76">
        <v>0.1</v>
      </c>
      <c r="F7" s="38"/>
      <c r="G7" s="38"/>
    </row>
    <row r="8" spans="2:7" ht="24" customHeight="1" x14ac:dyDescent="0.2">
      <c r="B8" s="53" t="s">
        <v>107</v>
      </c>
      <c r="C8" s="40" t="s">
        <v>96</v>
      </c>
      <c r="D8" s="76">
        <v>0.85</v>
      </c>
      <c r="F8" s="38"/>
      <c r="G8" s="38"/>
    </row>
    <row r="9" spans="2:7" ht="24" customHeight="1" x14ac:dyDescent="0.2">
      <c r="B9" s="53" t="s">
        <v>108</v>
      </c>
      <c r="C9" s="40" t="s">
        <v>97</v>
      </c>
      <c r="D9" s="76">
        <v>0.8</v>
      </c>
      <c r="F9" s="38"/>
      <c r="G9" s="38"/>
    </row>
    <row r="10" spans="2:7" ht="24" customHeight="1" x14ac:dyDescent="0.2">
      <c r="B10" s="53" t="s">
        <v>109</v>
      </c>
      <c r="C10" s="40" t="s">
        <v>98</v>
      </c>
      <c r="D10" s="76">
        <v>0.7</v>
      </c>
      <c r="F10" s="38"/>
      <c r="G10" s="38"/>
    </row>
    <row r="11" spans="2:7" ht="24" customHeight="1" x14ac:dyDescent="0.2">
      <c r="B11" s="53" t="s">
        <v>110</v>
      </c>
      <c r="C11" s="40" t="s">
        <v>99</v>
      </c>
      <c r="D11" s="76" t="s">
        <v>100</v>
      </c>
      <c r="F11" s="38"/>
      <c r="G11" s="38"/>
    </row>
    <row r="12" spans="2:7" ht="24" customHeight="1" x14ac:dyDescent="0.2">
      <c r="F12" s="38"/>
      <c r="G12" s="38"/>
    </row>
    <row r="13" spans="2:7" ht="24" customHeight="1" x14ac:dyDescent="0.2">
      <c r="F13" s="38"/>
      <c r="G13" s="38"/>
    </row>
    <row r="14" spans="2:7" ht="24" customHeight="1" x14ac:dyDescent="0.2">
      <c r="B14" s="105" t="s">
        <v>111</v>
      </c>
      <c r="C14" s="105"/>
      <c r="D14" s="105"/>
      <c r="F14" s="38"/>
      <c r="G14" s="38"/>
    </row>
    <row r="15" spans="2:7" ht="24" customHeight="1" x14ac:dyDescent="0.2">
      <c r="B15" s="39" t="s">
        <v>106</v>
      </c>
      <c r="C15" s="40" t="s">
        <v>101</v>
      </c>
      <c r="D15" s="76">
        <v>0.01</v>
      </c>
      <c r="F15" s="38"/>
      <c r="G15" s="38"/>
    </row>
    <row r="16" spans="2:7" ht="24" customHeight="1" x14ac:dyDescent="0.2">
      <c r="B16" s="39" t="s">
        <v>107</v>
      </c>
      <c r="C16" s="40" t="s">
        <v>102</v>
      </c>
      <c r="D16" s="77">
        <v>100</v>
      </c>
      <c r="F16" s="38"/>
      <c r="G16" s="38"/>
    </row>
    <row r="17" ht="24" customHeight="1" x14ac:dyDescent="0.2"/>
  </sheetData>
  <sheetProtection algorithmName="SHA-512" hashValue="9ZWPAHzvp48J18G8ZQ9DbnNL0MocyKbE/KKpj/kp/AUIBkuCXD04Ekwmy3/xs9NUMw9P0FqKS7YHLK5DPIt/QQ==" saltValue="jQiOQZrIEqM/BVWIScZndQ==" spinCount="100000" sheet="1" objects="1" scenarios="1"/>
  <mergeCells count="5">
    <mergeCell ref="B2:G3"/>
    <mergeCell ref="B4:G4"/>
    <mergeCell ref="B6:D6"/>
    <mergeCell ref="B14:D14"/>
    <mergeCell ref="F6:G6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5</vt:i4>
      </vt:variant>
    </vt:vector>
  </HeadingPairs>
  <TitlesOfParts>
    <vt:vector size="6" baseType="lpstr">
      <vt:lpstr>INICIO</vt:lpstr>
      <vt:lpstr>Linhagem_Frango</vt:lpstr>
      <vt:lpstr>Linhagem_Poedeira_Branca</vt:lpstr>
      <vt:lpstr>Linhagem_Poedeira_Marrom</vt:lpstr>
      <vt:lpstr>Tipo_Frango</vt:lpstr>
      <vt:lpstr>Tipo_Poedeira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Rafael Ferreira</dc:creator>
  <cp:keywords/>
  <dc:description/>
  <cp:lastModifiedBy>Rafael Ferreira</cp:lastModifiedBy>
  <dcterms:created xsi:type="dcterms:W3CDTF">2026-07-24T13:47:24Z</dcterms:created>
  <dcterms:modified xsi:type="dcterms:W3CDTF">2026-10-02T15:39:32Z</dcterms:modified>
  <cp:category/>
</cp:coreProperties>
</file>